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730" windowHeight="11160" activeTab="1"/>
  </bookViews>
  <sheets>
    <sheet name="SBI and SPY" sheetId="1" r:id="rId1"/>
    <sheet name="SPY Bollinger Bands" sheetId="2" r:id="rId2"/>
    <sheet name="Bank of America Monte Carlo" sheetId="3" r:id="rId3"/>
  </sheets>
  <calcPr calcId="144525"/>
</workbook>
</file>

<file path=xl/calcChain.xml><?xml version="1.0" encoding="utf-8"?>
<calcChain xmlns="http://schemas.openxmlformats.org/spreadsheetml/2006/main">
  <c r="Z7" i="3" l="1"/>
  <c r="Z8" i="3" s="1"/>
  <c r="Z9" i="3" s="1"/>
  <c r="Z10" i="3" s="1"/>
  <c r="Z11" i="3" s="1"/>
  <c r="Z12" i="3" s="1"/>
  <c r="Z13" i="3" s="1"/>
  <c r="Z14" i="3" s="1"/>
  <c r="Z15" i="3" s="1"/>
  <c r="Z16" i="3" s="1"/>
  <c r="Z17" i="3" s="1"/>
  <c r="Z18" i="3" s="1"/>
  <c r="Z19" i="3" s="1"/>
  <c r="Z20" i="3" s="1"/>
  <c r="Z21" i="3" s="1"/>
  <c r="Z22" i="3" s="1"/>
  <c r="Z23" i="3" s="1"/>
  <c r="Z24" i="3" s="1"/>
  <c r="Z25" i="3" s="1"/>
  <c r="Z26" i="3" s="1"/>
  <c r="Y7" i="3"/>
  <c r="Y8" i="3" s="1"/>
  <c r="Y9" i="3" s="1"/>
  <c r="Y10" i="3" s="1"/>
  <c r="Y11" i="3" s="1"/>
  <c r="Y12" i="3" s="1"/>
  <c r="Y13" i="3" s="1"/>
  <c r="Y14" i="3" s="1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X7" i="3"/>
  <c r="X8" i="3" s="1"/>
  <c r="X9" i="3" s="1"/>
  <c r="X10" i="3" s="1"/>
  <c r="X11" i="3" s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W7" i="3"/>
  <c r="W8" i="3" s="1"/>
  <c r="W9" i="3" s="1"/>
  <c r="W10" i="3" s="1"/>
  <c r="W11" i="3" s="1"/>
  <c r="W12" i="3" s="1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V7" i="3"/>
  <c r="V8" i="3" s="1"/>
  <c r="V9" i="3" s="1"/>
  <c r="V10" i="3" s="1"/>
  <c r="V11" i="3" s="1"/>
  <c r="V12" i="3" s="1"/>
  <c r="V13" i="3" s="1"/>
  <c r="V14" i="3" s="1"/>
  <c r="V15" i="3" s="1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V26" i="3" s="1"/>
  <c r="U7" i="3"/>
  <c r="U8" i="3" s="1"/>
  <c r="U9" i="3" s="1"/>
  <c r="U10" i="3" s="1"/>
  <c r="U11" i="3" s="1"/>
  <c r="U12" i="3" s="1"/>
  <c r="U13" i="3" s="1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T7" i="3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S7" i="3"/>
  <c r="S8" i="3" s="1"/>
  <c r="S9" i="3" s="1"/>
  <c r="S10" i="3" s="1"/>
  <c r="S11" i="3" s="1"/>
  <c r="S12" i="3" s="1"/>
  <c r="S13" i="3" s="1"/>
  <c r="S14" i="3" s="1"/>
  <c r="S15" i="3" s="1"/>
  <c r="S16" i="3" s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R7" i="3"/>
  <c r="R8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Q7" i="3"/>
  <c r="Q8" i="3" s="1"/>
  <c r="Q9" i="3" s="1"/>
  <c r="Q10" i="3" s="1"/>
  <c r="Q11" i="3" s="1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P7" i="3"/>
  <c r="P8" i="3" s="1"/>
  <c r="P9" i="3" s="1"/>
  <c r="P10" i="3" s="1"/>
  <c r="P11" i="3" s="1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O7" i="3"/>
  <c r="O8" i="3" s="1"/>
  <c r="O9" i="3" s="1"/>
  <c r="O10" i="3" s="1"/>
  <c r="O11" i="3" s="1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N7" i="3"/>
  <c r="N8" i="3" s="1"/>
  <c r="N9" i="3" s="1"/>
  <c r="N10" i="3" s="1"/>
  <c r="N11" i="3" s="1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M7" i="3"/>
  <c r="M8" i="3" s="1"/>
  <c r="M9" i="3" s="1"/>
  <c r="M10" i="3" s="1"/>
  <c r="M11" i="3" s="1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L7" i="3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K7" i="3"/>
  <c r="K8" i="3" s="1"/>
  <c r="K9" i="3" s="1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23" i="3"/>
  <c r="J24" i="3" s="1"/>
  <c r="J25" i="3" s="1"/>
  <c r="J26" i="3" s="1"/>
  <c r="J8" i="3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7" i="3"/>
  <c r="C5" i="3"/>
  <c r="C6" i="3"/>
  <c r="E4" i="3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1261" i="3"/>
  <c r="C1260" i="3"/>
  <c r="C1259" i="3"/>
  <c r="C1258" i="3"/>
  <c r="C1257" i="3"/>
  <c r="C1256" i="3"/>
  <c r="C1255" i="3"/>
  <c r="C1254" i="3"/>
  <c r="C1253" i="3"/>
  <c r="C1252" i="3"/>
  <c r="C1251" i="3"/>
  <c r="C1250" i="3"/>
  <c r="C1249" i="3"/>
  <c r="C1248" i="3"/>
  <c r="C1247" i="3"/>
  <c r="C1246" i="3"/>
  <c r="C1245" i="3"/>
  <c r="C1244" i="3"/>
  <c r="C1243" i="3"/>
  <c r="C1242" i="3"/>
  <c r="C1241" i="3"/>
  <c r="C1240" i="3"/>
  <c r="C1239" i="3"/>
  <c r="C1238" i="3"/>
  <c r="C1237" i="3"/>
  <c r="C1236" i="3"/>
  <c r="C1235" i="3"/>
  <c r="C1234" i="3"/>
  <c r="C1233" i="3"/>
  <c r="C1232" i="3"/>
  <c r="C1231" i="3"/>
  <c r="C1230" i="3"/>
  <c r="C1229" i="3"/>
  <c r="C1228" i="3"/>
  <c r="C1227" i="3"/>
  <c r="C1226" i="3"/>
  <c r="C1225" i="3"/>
  <c r="C1224" i="3"/>
  <c r="C1223" i="3"/>
  <c r="C1222" i="3"/>
  <c r="C1221" i="3"/>
  <c r="C1220" i="3"/>
  <c r="C1219" i="3"/>
  <c r="C1218" i="3"/>
  <c r="C1217" i="3"/>
  <c r="C1216" i="3"/>
  <c r="C1215" i="3"/>
  <c r="C1214" i="3"/>
  <c r="C1213" i="3"/>
  <c r="C1212" i="3"/>
  <c r="C1211" i="3"/>
  <c r="C1210" i="3"/>
  <c r="C1209" i="3"/>
  <c r="C1208" i="3"/>
  <c r="C1207" i="3"/>
  <c r="C1206" i="3"/>
  <c r="C1205" i="3"/>
  <c r="C1204" i="3"/>
  <c r="C1203" i="3"/>
  <c r="C1202" i="3"/>
  <c r="C1201" i="3"/>
  <c r="C1200" i="3"/>
  <c r="C1199" i="3"/>
  <c r="C1198" i="3"/>
  <c r="C1197" i="3"/>
  <c r="C1196" i="3"/>
  <c r="C1195" i="3"/>
  <c r="C1194" i="3"/>
  <c r="C1193" i="3"/>
  <c r="C1192" i="3"/>
  <c r="C1191" i="3"/>
  <c r="C1190" i="3"/>
  <c r="C1189" i="3"/>
  <c r="C1188" i="3"/>
  <c r="C1187" i="3"/>
  <c r="C1186" i="3"/>
  <c r="C1185" i="3"/>
  <c r="C1184" i="3"/>
  <c r="C1183" i="3"/>
  <c r="C1182" i="3"/>
  <c r="C1181" i="3"/>
  <c r="C1180" i="3"/>
  <c r="C1179" i="3"/>
  <c r="C1178" i="3"/>
  <c r="C1177" i="3"/>
  <c r="C1176" i="3"/>
  <c r="C1175" i="3"/>
  <c r="C1174" i="3"/>
  <c r="C1173" i="3"/>
  <c r="C1172" i="3"/>
  <c r="C1171" i="3"/>
  <c r="C1170" i="3"/>
  <c r="C1169" i="3"/>
  <c r="C1168" i="3"/>
  <c r="C1167" i="3"/>
  <c r="C1166" i="3"/>
  <c r="C1165" i="3"/>
  <c r="C1164" i="3"/>
  <c r="C1163" i="3"/>
  <c r="C1162" i="3"/>
  <c r="C1161" i="3"/>
  <c r="C1160" i="3"/>
  <c r="C1159" i="3"/>
  <c r="C1158" i="3"/>
  <c r="C1157" i="3"/>
  <c r="C1156" i="3"/>
  <c r="C1155" i="3"/>
  <c r="C1154" i="3"/>
  <c r="C1153" i="3"/>
  <c r="C1152" i="3"/>
  <c r="C1151" i="3"/>
  <c r="C1150" i="3"/>
  <c r="C1149" i="3"/>
  <c r="C1148" i="3"/>
  <c r="C1147" i="3"/>
  <c r="C1146" i="3"/>
  <c r="C1145" i="3"/>
  <c r="C1144" i="3"/>
  <c r="C1143" i="3"/>
  <c r="C1142" i="3"/>
  <c r="C1141" i="3"/>
  <c r="C1140" i="3"/>
  <c r="C1139" i="3"/>
  <c r="C1138" i="3"/>
  <c r="C1137" i="3"/>
  <c r="C1136" i="3"/>
  <c r="C1135" i="3"/>
  <c r="C1134" i="3"/>
  <c r="C1133" i="3"/>
  <c r="C1132" i="3"/>
  <c r="C1131" i="3"/>
  <c r="C1130" i="3"/>
  <c r="C1129" i="3"/>
  <c r="C1128" i="3"/>
  <c r="C1127" i="3"/>
  <c r="C1126" i="3"/>
  <c r="C1125" i="3"/>
  <c r="C1124" i="3"/>
  <c r="C1123" i="3"/>
  <c r="C1122" i="3"/>
  <c r="C1121" i="3"/>
  <c r="C1120" i="3"/>
  <c r="C1119" i="3"/>
  <c r="C1118" i="3"/>
  <c r="C1117" i="3"/>
  <c r="C1116" i="3"/>
  <c r="C1115" i="3"/>
  <c r="C1114" i="3"/>
  <c r="C1113" i="3"/>
  <c r="C1112" i="3"/>
  <c r="C1111" i="3"/>
  <c r="C1110" i="3"/>
  <c r="C1109" i="3"/>
  <c r="C1108" i="3"/>
  <c r="C1107" i="3"/>
  <c r="C1106" i="3"/>
  <c r="C1105" i="3"/>
  <c r="C1104" i="3"/>
  <c r="C1103" i="3"/>
  <c r="C1102" i="3"/>
  <c r="C1101" i="3"/>
  <c r="C1100" i="3"/>
  <c r="C1099" i="3"/>
  <c r="C1098" i="3"/>
  <c r="C1097" i="3"/>
  <c r="C1096" i="3"/>
  <c r="C1095" i="3"/>
  <c r="C1094" i="3"/>
  <c r="C1093" i="3"/>
  <c r="C1092" i="3"/>
  <c r="C1091" i="3"/>
  <c r="C1090" i="3"/>
  <c r="C1089" i="3"/>
  <c r="C1088" i="3"/>
  <c r="C1087" i="3"/>
  <c r="C1086" i="3"/>
  <c r="C1085" i="3"/>
  <c r="C1084" i="3"/>
  <c r="C1083" i="3"/>
  <c r="C1082" i="3"/>
  <c r="C1081" i="3"/>
  <c r="C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C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G18" i="3" l="1"/>
  <c r="G23" i="3" s="1"/>
  <c r="F14" i="3"/>
  <c r="G14" i="3"/>
  <c r="G4" i="3"/>
  <c r="F4" i="3"/>
  <c r="G1260" i="2" l="1"/>
  <c r="G1259" i="2"/>
  <c r="G1258" i="2"/>
  <c r="G1257" i="2"/>
  <c r="G1256" i="2"/>
  <c r="G1255" i="2"/>
  <c r="G1254" i="2"/>
  <c r="G1253" i="2"/>
  <c r="G1252" i="2"/>
  <c r="G1251" i="2"/>
  <c r="G1250" i="2"/>
  <c r="G1249" i="2"/>
  <c r="G1248" i="2"/>
  <c r="G1247" i="2"/>
  <c r="G1246" i="2"/>
  <c r="G1245" i="2"/>
  <c r="G1244" i="2"/>
  <c r="G1243" i="2"/>
  <c r="G1242" i="2"/>
  <c r="G1241" i="2"/>
  <c r="G1240" i="2"/>
  <c r="G1239" i="2"/>
  <c r="G1238" i="2"/>
  <c r="G1237" i="2"/>
  <c r="G1236" i="2"/>
  <c r="G1235" i="2"/>
  <c r="G1234" i="2"/>
  <c r="G1233" i="2"/>
  <c r="G1232" i="2"/>
  <c r="G1231" i="2"/>
  <c r="G1230" i="2"/>
  <c r="G1229" i="2"/>
  <c r="G1228" i="2"/>
  <c r="G1227" i="2"/>
  <c r="G1226" i="2"/>
  <c r="G1225" i="2"/>
  <c r="G1224" i="2"/>
  <c r="G1223" i="2"/>
  <c r="G1222" i="2"/>
  <c r="G1221" i="2"/>
  <c r="G1220" i="2"/>
  <c r="G1219" i="2"/>
  <c r="G1218" i="2"/>
  <c r="G1217" i="2"/>
  <c r="G1216" i="2"/>
  <c r="G1215" i="2"/>
  <c r="G1214" i="2"/>
  <c r="G1213" i="2"/>
  <c r="G1212" i="2"/>
  <c r="G1211" i="2"/>
  <c r="G1210" i="2"/>
  <c r="G1209" i="2"/>
  <c r="G1208" i="2"/>
  <c r="G1207" i="2"/>
  <c r="G1206" i="2"/>
  <c r="G1205" i="2"/>
  <c r="G1204" i="2"/>
  <c r="G1203" i="2"/>
  <c r="G1202" i="2"/>
  <c r="G1201" i="2"/>
  <c r="G1200" i="2"/>
  <c r="G1199" i="2"/>
  <c r="G1198" i="2"/>
  <c r="G1197" i="2"/>
  <c r="G1196" i="2"/>
  <c r="G1195" i="2"/>
  <c r="G1194" i="2"/>
  <c r="G1193" i="2"/>
  <c r="G1192" i="2"/>
  <c r="G1191" i="2"/>
  <c r="G1190" i="2"/>
  <c r="G1189" i="2"/>
  <c r="G1188" i="2"/>
  <c r="G1187" i="2"/>
  <c r="G1186" i="2"/>
  <c r="G1185" i="2"/>
  <c r="G1184" i="2"/>
  <c r="G1183" i="2"/>
  <c r="G1182" i="2"/>
  <c r="G1181" i="2"/>
  <c r="G1180" i="2"/>
  <c r="G1179" i="2"/>
  <c r="G1178" i="2"/>
  <c r="G1177" i="2"/>
  <c r="G1176" i="2"/>
  <c r="G1175" i="2"/>
  <c r="G1174" i="2"/>
  <c r="G1173" i="2"/>
  <c r="G1172" i="2"/>
  <c r="G1171" i="2"/>
  <c r="G1170" i="2"/>
  <c r="G1169" i="2"/>
  <c r="G1168" i="2"/>
  <c r="G1167" i="2"/>
  <c r="G1166" i="2"/>
  <c r="G1165" i="2"/>
  <c r="G1164" i="2"/>
  <c r="G1163" i="2"/>
  <c r="G1162" i="2"/>
  <c r="G1161" i="2"/>
  <c r="G1160" i="2"/>
  <c r="G1159" i="2"/>
  <c r="G1158" i="2"/>
  <c r="G1157" i="2"/>
  <c r="G1156" i="2"/>
  <c r="G1155" i="2"/>
  <c r="G1154" i="2"/>
  <c r="G1153" i="2"/>
  <c r="G1152" i="2"/>
  <c r="G1151" i="2"/>
  <c r="G1150" i="2"/>
  <c r="G1149" i="2"/>
  <c r="G1148" i="2"/>
  <c r="G1147" i="2"/>
  <c r="G1146" i="2"/>
  <c r="G1145" i="2"/>
  <c r="G1144" i="2"/>
  <c r="G1143" i="2"/>
  <c r="G1142" i="2"/>
  <c r="G1141" i="2"/>
  <c r="G1140" i="2"/>
  <c r="G1139" i="2"/>
  <c r="G1138" i="2"/>
  <c r="G1137" i="2"/>
  <c r="G1136" i="2"/>
  <c r="G1135" i="2"/>
  <c r="G1134" i="2"/>
  <c r="G1133" i="2"/>
  <c r="G1132" i="2"/>
  <c r="G1131" i="2"/>
  <c r="G1130" i="2"/>
  <c r="G1129" i="2"/>
  <c r="G1128" i="2"/>
  <c r="G1127" i="2"/>
  <c r="G1126" i="2"/>
  <c r="G1125" i="2"/>
  <c r="G1124" i="2"/>
  <c r="G1123" i="2"/>
  <c r="G1122" i="2"/>
  <c r="G1121" i="2"/>
  <c r="G1120" i="2"/>
  <c r="G1119" i="2"/>
  <c r="G1118" i="2"/>
  <c r="G1117" i="2"/>
  <c r="G1116" i="2"/>
  <c r="G1115" i="2"/>
  <c r="G1114" i="2"/>
  <c r="G1113" i="2"/>
  <c r="G1112" i="2"/>
  <c r="G1111" i="2"/>
  <c r="G1110" i="2"/>
  <c r="G1109" i="2"/>
  <c r="G1108" i="2"/>
  <c r="G1107" i="2"/>
  <c r="G1106" i="2"/>
  <c r="G1105" i="2"/>
  <c r="G1104" i="2"/>
  <c r="G1103" i="2"/>
  <c r="G1102" i="2"/>
  <c r="G1101" i="2"/>
  <c r="G1100" i="2"/>
  <c r="G1099" i="2"/>
  <c r="G1098" i="2"/>
  <c r="G1097" i="2"/>
  <c r="G1096" i="2"/>
  <c r="G1095" i="2"/>
  <c r="G1094" i="2"/>
  <c r="G1093" i="2"/>
  <c r="G1092" i="2"/>
  <c r="G1091" i="2"/>
  <c r="G1090" i="2"/>
  <c r="G1089" i="2"/>
  <c r="G1088" i="2"/>
  <c r="G1087" i="2"/>
  <c r="G1086" i="2"/>
  <c r="G1085" i="2"/>
  <c r="G1084" i="2"/>
  <c r="G1083" i="2"/>
  <c r="G1082" i="2"/>
  <c r="G1081" i="2"/>
  <c r="G1080" i="2"/>
  <c r="G1079" i="2"/>
  <c r="G1078" i="2"/>
  <c r="G1077" i="2"/>
  <c r="G1076" i="2"/>
  <c r="G1075" i="2"/>
  <c r="G1074" i="2"/>
  <c r="G1073" i="2"/>
  <c r="G1072" i="2"/>
  <c r="G1071" i="2"/>
  <c r="G1070" i="2"/>
  <c r="G1069" i="2"/>
  <c r="G1068" i="2"/>
  <c r="G1067" i="2"/>
  <c r="G1066" i="2"/>
  <c r="G1065" i="2"/>
  <c r="G1064" i="2"/>
  <c r="G1063" i="2"/>
  <c r="G1062" i="2"/>
  <c r="G1061" i="2"/>
  <c r="G1060" i="2"/>
  <c r="G1059" i="2"/>
  <c r="G1058" i="2"/>
  <c r="G1057" i="2"/>
  <c r="G1056" i="2"/>
  <c r="G1055" i="2"/>
  <c r="G1054" i="2"/>
  <c r="G1053" i="2"/>
  <c r="G1052" i="2"/>
  <c r="G1051" i="2"/>
  <c r="G1050" i="2"/>
  <c r="G1049" i="2"/>
  <c r="G1048" i="2"/>
  <c r="G1047" i="2"/>
  <c r="G1046" i="2"/>
  <c r="G1045" i="2"/>
  <c r="G1044" i="2"/>
  <c r="G1043" i="2"/>
  <c r="G1042" i="2"/>
  <c r="G1041" i="2"/>
  <c r="G1040" i="2"/>
  <c r="G1039" i="2"/>
  <c r="G1038" i="2"/>
  <c r="G1037" i="2"/>
  <c r="G1036" i="2"/>
  <c r="G1035" i="2"/>
  <c r="G1034" i="2"/>
  <c r="G1033" i="2"/>
  <c r="G1032" i="2"/>
  <c r="G1031" i="2"/>
  <c r="G1030" i="2"/>
  <c r="G1029" i="2"/>
  <c r="G1028" i="2"/>
  <c r="G1027" i="2"/>
  <c r="G1026" i="2"/>
  <c r="G1025" i="2"/>
  <c r="G1024" i="2"/>
  <c r="G1023" i="2"/>
  <c r="G1022" i="2"/>
  <c r="G1021" i="2"/>
  <c r="G1020" i="2"/>
  <c r="G1019" i="2"/>
  <c r="G1018" i="2"/>
  <c r="G1017" i="2"/>
  <c r="G1016" i="2"/>
  <c r="G1015" i="2"/>
  <c r="G1014" i="2"/>
  <c r="G1013" i="2"/>
  <c r="G1012" i="2"/>
  <c r="G1011" i="2"/>
  <c r="G1010" i="2"/>
  <c r="G1009" i="2"/>
  <c r="G1008" i="2"/>
  <c r="G1007" i="2"/>
  <c r="G1006" i="2"/>
  <c r="G1005" i="2"/>
  <c r="G1004" i="2"/>
  <c r="G1003" i="2"/>
  <c r="G1002" i="2"/>
  <c r="G1001" i="2"/>
  <c r="G1000" i="2"/>
  <c r="G999" i="2"/>
  <c r="G998" i="2"/>
  <c r="G997" i="2"/>
  <c r="G996" i="2"/>
  <c r="G995" i="2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F1260" i="2"/>
  <c r="F1259" i="2"/>
  <c r="F1258" i="2"/>
  <c r="F1257" i="2"/>
  <c r="F1256" i="2"/>
  <c r="F1255" i="2"/>
  <c r="F1254" i="2"/>
  <c r="F1253" i="2"/>
  <c r="F1252" i="2"/>
  <c r="F1251" i="2"/>
  <c r="F1250" i="2"/>
  <c r="F1249" i="2"/>
  <c r="F1248" i="2"/>
  <c r="F1247" i="2"/>
  <c r="F1246" i="2"/>
  <c r="F1245" i="2"/>
  <c r="F1244" i="2"/>
  <c r="F1243" i="2"/>
  <c r="F1242" i="2"/>
  <c r="F1241" i="2"/>
  <c r="F1240" i="2"/>
  <c r="F1239" i="2"/>
  <c r="F1238" i="2"/>
  <c r="F1237" i="2"/>
  <c r="F1236" i="2"/>
  <c r="F1235" i="2"/>
  <c r="F1234" i="2"/>
  <c r="F1233" i="2"/>
  <c r="F1232" i="2"/>
  <c r="F1231" i="2"/>
  <c r="F1230" i="2"/>
  <c r="F1229" i="2"/>
  <c r="F1228" i="2"/>
  <c r="F1227" i="2"/>
  <c r="F1226" i="2"/>
  <c r="F1225" i="2"/>
  <c r="F1224" i="2"/>
  <c r="F1223" i="2"/>
  <c r="F1222" i="2"/>
  <c r="F1221" i="2"/>
  <c r="F1220" i="2"/>
  <c r="F1219" i="2"/>
  <c r="F1218" i="2"/>
  <c r="F1217" i="2"/>
  <c r="F1216" i="2"/>
  <c r="F1215" i="2"/>
  <c r="F1214" i="2"/>
  <c r="F1213" i="2"/>
  <c r="F1212" i="2"/>
  <c r="F1211" i="2"/>
  <c r="F1210" i="2"/>
  <c r="F1209" i="2"/>
  <c r="F1208" i="2"/>
  <c r="F1207" i="2"/>
  <c r="F1206" i="2"/>
  <c r="F1205" i="2"/>
  <c r="F1204" i="2"/>
  <c r="F1203" i="2"/>
  <c r="F1202" i="2"/>
  <c r="F1201" i="2"/>
  <c r="F1200" i="2"/>
  <c r="F1199" i="2"/>
  <c r="F1198" i="2"/>
  <c r="F1197" i="2"/>
  <c r="F1196" i="2"/>
  <c r="F1195" i="2"/>
  <c r="F1194" i="2"/>
  <c r="F1193" i="2"/>
  <c r="F1192" i="2"/>
  <c r="F1191" i="2"/>
  <c r="F1190" i="2"/>
  <c r="F1189" i="2"/>
  <c r="F1188" i="2"/>
  <c r="F1187" i="2"/>
  <c r="F1186" i="2"/>
  <c r="F1185" i="2"/>
  <c r="F1184" i="2"/>
  <c r="F1183" i="2"/>
  <c r="F1182" i="2"/>
  <c r="F1181" i="2"/>
  <c r="F1180" i="2"/>
  <c r="F1179" i="2"/>
  <c r="F1178" i="2"/>
  <c r="F1177" i="2"/>
  <c r="F1176" i="2"/>
  <c r="F1175" i="2"/>
  <c r="F1174" i="2"/>
  <c r="F1173" i="2"/>
  <c r="F1172" i="2"/>
  <c r="F1171" i="2"/>
  <c r="F1170" i="2"/>
  <c r="F1169" i="2"/>
  <c r="F1168" i="2"/>
  <c r="F1167" i="2"/>
  <c r="F1166" i="2"/>
  <c r="F1165" i="2"/>
  <c r="F1164" i="2"/>
  <c r="F1163" i="2"/>
  <c r="F1162" i="2"/>
  <c r="F1161" i="2"/>
  <c r="F1160" i="2"/>
  <c r="F1159" i="2"/>
  <c r="F1158" i="2"/>
  <c r="F1157" i="2"/>
  <c r="F1156" i="2"/>
  <c r="F1155" i="2"/>
  <c r="F1154" i="2"/>
  <c r="F1153" i="2"/>
  <c r="F1152" i="2"/>
  <c r="F1151" i="2"/>
  <c r="F1150" i="2"/>
  <c r="F1149" i="2"/>
  <c r="F1148" i="2"/>
  <c r="F1147" i="2"/>
  <c r="F1146" i="2"/>
  <c r="F1145" i="2"/>
  <c r="F1144" i="2"/>
  <c r="F1143" i="2"/>
  <c r="F1142" i="2"/>
  <c r="F1141" i="2"/>
  <c r="F1140" i="2"/>
  <c r="F1139" i="2"/>
  <c r="F1138" i="2"/>
  <c r="F1137" i="2"/>
  <c r="F1136" i="2"/>
  <c r="F1135" i="2"/>
  <c r="F1134" i="2"/>
  <c r="F1133" i="2"/>
  <c r="F1132" i="2"/>
  <c r="F1131" i="2"/>
  <c r="F1130" i="2"/>
  <c r="F1129" i="2"/>
  <c r="F1128" i="2"/>
  <c r="F1127" i="2"/>
  <c r="F1126" i="2"/>
  <c r="F1125" i="2"/>
  <c r="F1124" i="2"/>
  <c r="F1123" i="2"/>
  <c r="F1122" i="2"/>
  <c r="F1121" i="2"/>
  <c r="F1120" i="2"/>
  <c r="F1119" i="2"/>
  <c r="F1118" i="2"/>
  <c r="F1117" i="2"/>
  <c r="F1116" i="2"/>
  <c r="F1115" i="2"/>
  <c r="F1114" i="2"/>
  <c r="F1113" i="2"/>
  <c r="F1112" i="2"/>
  <c r="F1111" i="2"/>
  <c r="F1110" i="2"/>
  <c r="F1109" i="2"/>
  <c r="F1108" i="2"/>
  <c r="F1107" i="2"/>
  <c r="F1106" i="2"/>
  <c r="F1105" i="2"/>
  <c r="F1104" i="2"/>
  <c r="F1103" i="2"/>
  <c r="F1102" i="2"/>
  <c r="F1101" i="2"/>
  <c r="F1100" i="2"/>
  <c r="F1099" i="2"/>
  <c r="F1098" i="2"/>
  <c r="F1097" i="2"/>
  <c r="F1096" i="2"/>
  <c r="F1095" i="2"/>
  <c r="F1094" i="2"/>
  <c r="F1093" i="2"/>
  <c r="F1092" i="2"/>
  <c r="F1091" i="2"/>
  <c r="F1090" i="2"/>
  <c r="F1089" i="2"/>
  <c r="F1088" i="2"/>
  <c r="F1087" i="2"/>
  <c r="F1086" i="2"/>
  <c r="F1085" i="2"/>
  <c r="F1084" i="2"/>
  <c r="F1083" i="2"/>
  <c r="F1082" i="2"/>
  <c r="F1081" i="2"/>
  <c r="F1080" i="2"/>
  <c r="F1079" i="2"/>
  <c r="F1078" i="2"/>
  <c r="F1077" i="2"/>
  <c r="F1076" i="2"/>
  <c r="F1075" i="2"/>
  <c r="F1074" i="2"/>
  <c r="F1073" i="2"/>
  <c r="F1072" i="2"/>
  <c r="F1071" i="2"/>
  <c r="F1070" i="2"/>
  <c r="F1069" i="2"/>
  <c r="F1068" i="2"/>
  <c r="F1067" i="2"/>
  <c r="F1066" i="2"/>
  <c r="F1065" i="2"/>
  <c r="F1064" i="2"/>
  <c r="F1063" i="2"/>
  <c r="F1062" i="2"/>
  <c r="F1061" i="2"/>
  <c r="F1060" i="2"/>
  <c r="F1059" i="2"/>
  <c r="F1058" i="2"/>
  <c r="F1057" i="2"/>
  <c r="F1056" i="2"/>
  <c r="F1055" i="2"/>
  <c r="F1054" i="2"/>
  <c r="F1053" i="2"/>
  <c r="F1052" i="2"/>
  <c r="F1051" i="2"/>
  <c r="F1050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6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F1008" i="2"/>
  <c r="F1007" i="2"/>
  <c r="F1006" i="2"/>
  <c r="F1005" i="2"/>
  <c r="F1004" i="2"/>
  <c r="F1003" i="2"/>
  <c r="F1002" i="2"/>
  <c r="F1001" i="2"/>
  <c r="F1000" i="2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D1260" i="2"/>
  <c r="D1259" i="2"/>
  <c r="D1258" i="2"/>
  <c r="D1257" i="2"/>
  <c r="D1256" i="2"/>
  <c r="D1255" i="2"/>
  <c r="D1254" i="2"/>
  <c r="D1253" i="2"/>
  <c r="D1252" i="2"/>
  <c r="D1251" i="2"/>
  <c r="D1250" i="2"/>
  <c r="D1249" i="2"/>
  <c r="D1248" i="2"/>
  <c r="D1247" i="2"/>
  <c r="D1246" i="2"/>
  <c r="D1245" i="2"/>
  <c r="D1244" i="2"/>
  <c r="D1243" i="2"/>
  <c r="D1242" i="2"/>
  <c r="D1241" i="2"/>
  <c r="D1240" i="2"/>
  <c r="D1239" i="2"/>
  <c r="D1238" i="2"/>
  <c r="D1237" i="2"/>
  <c r="D1236" i="2"/>
  <c r="D1235" i="2"/>
  <c r="D1234" i="2"/>
  <c r="D1233" i="2"/>
  <c r="D1232" i="2"/>
  <c r="D1231" i="2"/>
  <c r="D1230" i="2"/>
  <c r="D1229" i="2"/>
  <c r="D1228" i="2"/>
  <c r="D1227" i="2"/>
  <c r="D1226" i="2"/>
  <c r="D1225" i="2"/>
  <c r="D1224" i="2"/>
  <c r="D1223" i="2"/>
  <c r="D1222" i="2"/>
  <c r="D1221" i="2"/>
  <c r="D1220" i="2"/>
  <c r="D1219" i="2"/>
  <c r="D1218" i="2"/>
  <c r="D1217" i="2"/>
  <c r="D1216" i="2"/>
  <c r="D1215" i="2"/>
  <c r="D1214" i="2"/>
  <c r="D1213" i="2"/>
  <c r="D1212" i="2"/>
  <c r="D1211" i="2"/>
  <c r="D1210" i="2"/>
  <c r="D1209" i="2"/>
  <c r="D1208" i="2"/>
  <c r="D1207" i="2"/>
  <c r="D1206" i="2"/>
  <c r="D1205" i="2"/>
  <c r="D1204" i="2"/>
  <c r="D1203" i="2"/>
  <c r="D1202" i="2"/>
  <c r="D1201" i="2"/>
  <c r="D1200" i="2"/>
  <c r="D1199" i="2"/>
  <c r="D1198" i="2"/>
  <c r="D1197" i="2"/>
  <c r="D1196" i="2"/>
  <c r="D1195" i="2"/>
  <c r="D1194" i="2"/>
  <c r="D1193" i="2"/>
  <c r="D1192" i="2"/>
  <c r="D1191" i="2"/>
  <c r="D1190" i="2"/>
  <c r="D1189" i="2"/>
  <c r="D1188" i="2"/>
  <c r="D1187" i="2"/>
  <c r="D1186" i="2"/>
  <c r="D1185" i="2"/>
  <c r="D1184" i="2"/>
  <c r="D1183" i="2"/>
  <c r="D1182" i="2"/>
  <c r="D1181" i="2"/>
  <c r="D1180" i="2"/>
  <c r="D1179" i="2"/>
  <c r="D1178" i="2"/>
  <c r="D1177" i="2"/>
  <c r="D1176" i="2"/>
  <c r="D1175" i="2"/>
  <c r="D1174" i="2"/>
  <c r="D1173" i="2"/>
  <c r="D1172" i="2"/>
  <c r="D1171" i="2"/>
  <c r="D1170" i="2"/>
  <c r="D1169" i="2"/>
  <c r="D1168" i="2"/>
  <c r="D1167" i="2"/>
  <c r="D1166" i="2"/>
  <c r="D1165" i="2"/>
  <c r="D1164" i="2"/>
  <c r="D1163" i="2"/>
  <c r="D1162" i="2"/>
  <c r="D1161" i="2"/>
  <c r="D1160" i="2"/>
  <c r="D1159" i="2"/>
  <c r="D1158" i="2"/>
  <c r="D1157" i="2"/>
  <c r="D1156" i="2"/>
  <c r="D1155" i="2"/>
  <c r="D1154" i="2"/>
  <c r="D1153" i="2"/>
  <c r="D1152" i="2"/>
  <c r="D1151" i="2"/>
  <c r="D1150" i="2"/>
  <c r="D1149" i="2"/>
  <c r="D1148" i="2"/>
  <c r="D1147" i="2"/>
  <c r="D1146" i="2"/>
  <c r="D1145" i="2"/>
  <c r="D1144" i="2"/>
  <c r="D1143" i="2"/>
  <c r="D1142" i="2"/>
  <c r="D1141" i="2"/>
  <c r="D1140" i="2"/>
  <c r="D1139" i="2"/>
  <c r="D1138" i="2"/>
  <c r="D1137" i="2"/>
  <c r="D1136" i="2"/>
  <c r="D1135" i="2"/>
  <c r="D1134" i="2"/>
  <c r="D1133" i="2"/>
  <c r="D1132" i="2"/>
  <c r="D1131" i="2"/>
  <c r="D1130" i="2"/>
  <c r="D1129" i="2"/>
  <c r="D1128" i="2"/>
  <c r="D1127" i="2"/>
  <c r="D1126" i="2"/>
  <c r="D1125" i="2"/>
  <c r="D1124" i="2"/>
  <c r="D1123" i="2"/>
  <c r="D1122" i="2"/>
  <c r="D1121" i="2"/>
  <c r="D1120" i="2"/>
  <c r="D1119" i="2"/>
  <c r="D1118" i="2"/>
  <c r="D1117" i="2"/>
  <c r="D1116" i="2"/>
  <c r="D1115" i="2"/>
  <c r="D1114" i="2"/>
  <c r="D1113" i="2"/>
  <c r="D1112" i="2"/>
  <c r="D1111" i="2"/>
  <c r="D1110" i="2"/>
  <c r="D1109" i="2"/>
  <c r="D1108" i="2"/>
  <c r="D1107" i="2"/>
  <c r="D1106" i="2"/>
  <c r="D1105" i="2"/>
  <c r="D1104" i="2"/>
  <c r="D1103" i="2"/>
  <c r="D1102" i="2"/>
  <c r="D1101" i="2"/>
  <c r="D1100" i="2"/>
  <c r="D1099" i="2"/>
  <c r="D1098" i="2"/>
  <c r="D1097" i="2"/>
  <c r="D1096" i="2"/>
  <c r="D1095" i="2"/>
  <c r="D1094" i="2"/>
  <c r="D1093" i="2"/>
  <c r="D1092" i="2"/>
  <c r="D1091" i="2"/>
  <c r="D1090" i="2"/>
  <c r="D1089" i="2"/>
  <c r="D1088" i="2"/>
  <c r="D1087" i="2"/>
  <c r="D1086" i="2"/>
  <c r="D1085" i="2"/>
  <c r="D1084" i="2"/>
  <c r="D1083" i="2"/>
  <c r="D1082" i="2"/>
  <c r="D1081" i="2"/>
  <c r="D1080" i="2"/>
  <c r="D1079" i="2"/>
  <c r="D1078" i="2"/>
  <c r="D1077" i="2"/>
  <c r="D1076" i="2"/>
  <c r="D1075" i="2"/>
  <c r="D1074" i="2"/>
  <c r="D1073" i="2"/>
  <c r="D1072" i="2"/>
  <c r="D1071" i="2"/>
  <c r="D1070" i="2"/>
  <c r="D1069" i="2"/>
  <c r="D1068" i="2"/>
  <c r="D1067" i="2"/>
  <c r="D1066" i="2"/>
  <c r="D1065" i="2"/>
  <c r="D1064" i="2"/>
  <c r="D1063" i="2"/>
  <c r="D1062" i="2"/>
  <c r="D1061" i="2"/>
  <c r="D1060" i="2"/>
  <c r="D1059" i="2"/>
  <c r="D1058" i="2"/>
  <c r="D1057" i="2"/>
  <c r="D1056" i="2"/>
  <c r="D1055" i="2"/>
  <c r="D1054" i="2"/>
  <c r="D1053" i="2"/>
  <c r="D1052" i="2"/>
  <c r="D1051" i="2"/>
  <c r="D1050" i="2"/>
  <c r="D1049" i="2"/>
  <c r="D1048" i="2"/>
  <c r="D1047" i="2"/>
  <c r="D1046" i="2"/>
  <c r="D1045" i="2"/>
  <c r="D1044" i="2"/>
  <c r="D1043" i="2"/>
  <c r="D1042" i="2"/>
  <c r="D1041" i="2"/>
  <c r="D1040" i="2"/>
  <c r="D1039" i="2"/>
  <c r="D1038" i="2"/>
  <c r="D1037" i="2"/>
  <c r="D1036" i="2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9" i="2"/>
  <c r="Q5" i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79" i="1" s="1"/>
  <c r="Q180" i="1" s="1"/>
  <c r="Q181" i="1" s="1"/>
  <c r="Q182" i="1" s="1"/>
  <c r="P6" i="1"/>
  <c r="P7" i="1" s="1"/>
  <c r="P5" i="1"/>
  <c r="P8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4" i="1"/>
  <c r="D5" i="1"/>
  <c r="D6" i="1"/>
  <c r="F5" i="1" s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4" i="1"/>
  <c r="G4" i="1" l="1"/>
  <c r="M24" i="1"/>
  <c r="I4" i="1"/>
  <c r="K4" i="1" s="1"/>
  <c r="G3" i="1"/>
  <c r="I15" i="1"/>
  <c r="K15" i="1" s="1"/>
  <c r="I7" i="1"/>
  <c r="K7" i="1" s="1"/>
  <c r="F17" i="1"/>
  <c r="F13" i="1"/>
  <c r="G19" i="1"/>
  <c r="I19" i="1" s="1"/>
  <c r="K19" i="1" s="1"/>
  <c r="G15" i="1"/>
  <c r="G7" i="1"/>
  <c r="L24" i="1"/>
  <c r="O24" i="1"/>
  <c r="F3" i="1"/>
  <c r="F4" i="1"/>
  <c r="H4" i="1" s="1"/>
  <c r="I22" i="1"/>
  <c r="K22" i="1" s="1"/>
  <c r="I18" i="1"/>
  <c r="K18" i="1" s="1"/>
  <c r="I6" i="1"/>
  <c r="K6" i="1" s="1"/>
  <c r="F20" i="1"/>
  <c r="F16" i="1"/>
  <c r="H16" i="1" s="1"/>
  <c r="F12" i="1"/>
  <c r="H12" i="1" s="1"/>
  <c r="F8" i="1"/>
  <c r="H8" i="1" s="1"/>
  <c r="G22" i="1"/>
  <c r="G18" i="1"/>
  <c r="G14" i="1"/>
  <c r="I14" i="1" s="1"/>
  <c r="K14" i="1" s="1"/>
  <c r="G10" i="1"/>
  <c r="I10" i="1" s="1"/>
  <c r="K10" i="1" s="1"/>
  <c r="G6" i="1"/>
  <c r="P9" i="1"/>
  <c r="R8" i="1"/>
  <c r="H14" i="1"/>
  <c r="I9" i="1"/>
  <c r="K9" i="1" s="1"/>
  <c r="F19" i="1"/>
  <c r="H19" i="1" s="1"/>
  <c r="F7" i="1"/>
  <c r="H7" i="1" s="1"/>
  <c r="G9" i="1"/>
  <c r="H10" i="1"/>
  <c r="I21" i="1"/>
  <c r="K21" i="1" s="1"/>
  <c r="I5" i="1"/>
  <c r="K5" i="1" s="1"/>
  <c r="F15" i="1"/>
  <c r="H15" i="1" s="1"/>
  <c r="F11" i="1"/>
  <c r="H11" i="1" s="1"/>
  <c r="G21" i="1"/>
  <c r="G17" i="1"/>
  <c r="I17" i="1" s="1"/>
  <c r="K17" i="1" s="1"/>
  <c r="G13" i="1"/>
  <c r="I13" i="1" s="1"/>
  <c r="K13" i="1" s="1"/>
  <c r="G5" i="1"/>
  <c r="H17" i="1"/>
  <c r="H13" i="1"/>
  <c r="H5" i="1"/>
  <c r="I20" i="1"/>
  <c r="K20" i="1" s="1"/>
  <c r="I16" i="1"/>
  <c r="K16" i="1" s="1"/>
  <c r="F22" i="1"/>
  <c r="H22" i="1" s="1"/>
  <c r="F18" i="1"/>
  <c r="H18" i="1" s="1"/>
  <c r="F14" i="1"/>
  <c r="F10" i="1"/>
  <c r="F6" i="1"/>
  <c r="H6" i="1" s="1"/>
  <c r="G20" i="1"/>
  <c r="G16" i="1"/>
  <c r="G12" i="1"/>
  <c r="I12" i="1" s="1"/>
  <c r="K12" i="1" s="1"/>
  <c r="G8" i="1"/>
  <c r="I8" i="1" s="1"/>
  <c r="K8" i="1" s="1"/>
  <c r="H20" i="1"/>
  <c r="I11" i="1"/>
  <c r="K11" i="1" s="1"/>
  <c r="F21" i="1"/>
  <c r="H21" i="1" s="1"/>
  <c r="F9" i="1"/>
  <c r="H9" i="1" s="1"/>
  <c r="G11" i="1"/>
  <c r="J21" i="1" l="1"/>
  <c r="N21" i="1"/>
  <c r="J19" i="1"/>
  <c r="N19" i="1"/>
  <c r="J16" i="1"/>
  <c r="N16" i="1"/>
  <c r="J11" i="1"/>
  <c r="N11" i="1"/>
  <c r="J4" i="1"/>
  <c r="N4" i="1"/>
  <c r="J18" i="1"/>
  <c r="N18" i="1"/>
  <c r="N15" i="1"/>
  <c r="J15" i="1"/>
  <c r="J8" i="1"/>
  <c r="N8" i="1"/>
  <c r="N9" i="1"/>
  <c r="J9" i="1"/>
  <c r="N6" i="1"/>
  <c r="J6" i="1"/>
  <c r="J22" i="1"/>
  <c r="N22" i="1"/>
  <c r="N7" i="1"/>
  <c r="J7" i="1"/>
  <c r="J12" i="1"/>
  <c r="N12" i="1"/>
  <c r="J5" i="1"/>
  <c r="N5" i="1"/>
  <c r="P10" i="1"/>
  <c r="R9" i="1"/>
  <c r="J20" i="1"/>
  <c r="N20" i="1"/>
  <c r="J13" i="1"/>
  <c r="N13" i="1"/>
  <c r="N14" i="1"/>
  <c r="J14" i="1"/>
  <c r="R4" i="1"/>
  <c r="R5" i="1"/>
  <c r="R7" i="1"/>
  <c r="R6" i="1"/>
  <c r="M16" i="1"/>
  <c r="M5" i="1"/>
  <c r="M9" i="1"/>
  <c r="M13" i="1"/>
  <c r="M17" i="1"/>
  <c r="M21" i="1"/>
  <c r="M6" i="1"/>
  <c r="M10" i="1"/>
  <c r="M14" i="1"/>
  <c r="M18" i="1"/>
  <c r="M22" i="1"/>
  <c r="M7" i="1"/>
  <c r="M11" i="1"/>
  <c r="M15" i="1"/>
  <c r="M19" i="1"/>
  <c r="M4" i="1"/>
  <c r="M8" i="1"/>
  <c r="M12" i="1"/>
  <c r="M20" i="1"/>
  <c r="J17" i="1"/>
  <c r="N17" i="1"/>
  <c r="J10" i="1"/>
  <c r="N10" i="1"/>
  <c r="O4" i="1" l="1"/>
  <c r="O8" i="1"/>
  <c r="O12" i="1"/>
  <c r="O16" i="1"/>
  <c r="O20" i="1"/>
  <c r="O5" i="1"/>
  <c r="O9" i="1"/>
  <c r="O13" i="1"/>
  <c r="O17" i="1"/>
  <c r="O21" i="1"/>
  <c r="O6" i="1"/>
  <c r="O10" i="1"/>
  <c r="O14" i="1"/>
  <c r="O18" i="1"/>
  <c r="O22" i="1"/>
  <c r="O7" i="1"/>
  <c r="O11" i="1"/>
  <c r="O15" i="1"/>
  <c r="O19" i="1"/>
  <c r="P11" i="1"/>
  <c r="R10" i="1"/>
  <c r="L5" i="1"/>
  <c r="L17" i="1"/>
  <c r="L22" i="1"/>
  <c r="L6" i="1"/>
  <c r="L14" i="1"/>
  <c r="L7" i="1"/>
  <c r="L11" i="1"/>
  <c r="L15" i="1"/>
  <c r="L19" i="1"/>
  <c r="L4" i="1"/>
  <c r="L8" i="1"/>
  <c r="L12" i="1"/>
  <c r="L16" i="1"/>
  <c r="L20" i="1"/>
  <c r="L9" i="1"/>
  <c r="L13" i="1"/>
  <c r="L21" i="1"/>
  <c r="L10" i="1"/>
  <c r="L18" i="1"/>
  <c r="S4" i="1" l="1"/>
  <c r="S5" i="1"/>
  <c r="S7" i="1"/>
  <c r="S6" i="1"/>
  <c r="S8" i="1"/>
  <c r="S9" i="1"/>
  <c r="P12" i="1"/>
  <c r="S11" i="1"/>
  <c r="R11" i="1"/>
  <c r="S10" i="1"/>
  <c r="P13" i="1" l="1"/>
  <c r="S12" i="1"/>
  <c r="R12" i="1"/>
  <c r="P14" i="1" l="1"/>
  <c r="S13" i="1"/>
  <c r="R13" i="1"/>
  <c r="R14" i="1" l="1"/>
  <c r="P15" i="1"/>
  <c r="S14" i="1"/>
  <c r="P16" i="1" l="1"/>
  <c r="S15" i="1"/>
  <c r="R15" i="1"/>
  <c r="P17" i="1" l="1"/>
  <c r="S16" i="1"/>
  <c r="R16" i="1"/>
  <c r="P18" i="1" l="1"/>
  <c r="S17" i="1"/>
  <c r="R17" i="1"/>
  <c r="P19" i="1" l="1"/>
  <c r="R18" i="1"/>
  <c r="S18" i="1"/>
  <c r="P20" i="1" l="1"/>
  <c r="S19" i="1"/>
  <c r="R19" i="1"/>
  <c r="S20" i="1" l="1"/>
  <c r="P21" i="1"/>
  <c r="P22" i="1" s="1"/>
  <c r="R20" i="1"/>
  <c r="R22" i="1" l="1"/>
  <c r="P23" i="1"/>
  <c r="S22" i="1"/>
  <c r="S21" i="1"/>
  <c r="R21" i="1"/>
  <c r="P24" i="1" l="1"/>
  <c r="S23" i="1"/>
  <c r="R23" i="1"/>
  <c r="P25" i="1" l="1"/>
  <c r="S24" i="1"/>
  <c r="R24" i="1"/>
  <c r="P26" i="1" l="1"/>
  <c r="S25" i="1"/>
  <c r="R25" i="1"/>
  <c r="P27" i="1" l="1"/>
  <c r="S26" i="1"/>
  <c r="R26" i="1"/>
  <c r="P28" i="1" l="1"/>
  <c r="S27" i="1"/>
  <c r="R27" i="1"/>
  <c r="P29" i="1" l="1"/>
  <c r="S28" i="1"/>
  <c r="R28" i="1"/>
  <c r="P30" i="1" l="1"/>
  <c r="S29" i="1"/>
  <c r="R29" i="1"/>
  <c r="P31" i="1" l="1"/>
  <c r="S30" i="1"/>
  <c r="R30" i="1"/>
  <c r="P32" i="1" l="1"/>
  <c r="S31" i="1"/>
  <c r="R31" i="1"/>
  <c r="P33" i="1" l="1"/>
  <c r="S32" i="1"/>
  <c r="R32" i="1"/>
  <c r="P34" i="1" l="1"/>
  <c r="S33" i="1"/>
  <c r="R33" i="1"/>
  <c r="P35" i="1" l="1"/>
  <c r="S34" i="1"/>
  <c r="R34" i="1"/>
  <c r="P36" i="1" l="1"/>
  <c r="S35" i="1"/>
  <c r="R35" i="1"/>
  <c r="P37" i="1" l="1"/>
  <c r="S36" i="1"/>
  <c r="R36" i="1"/>
  <c r="P38" i="1" l="1"/>
  <c r="S37" i="1"/>
  <c r="R37" i="1"/>
  <c r="P39" i="1" l="1"/>
  <c r="S38" i="1"/>
  <c r="R38" i="1"/>
  <c r="P40" i="1" l="1"/>
  <c r="S39" i="1"/>
  <c r="R39" i="1"/>
  <c r="P41" i="1" l="1"/>
  <c r="S40" i="1"/>
  <c r="R40" i="1"/>
  <c r="P42" i="1" l="1"/>
  <c r="S41" i="1"/>
  <c r="R41" i="1"/>
  <c r="P43" i="1" l="1"/>
  <c r="S42" i="1"/>
  <c r="R42" i="1"/>
  <c r="P44" i="1" l="1"/>
  <c r="S43" i="1"/>
  <c r="R43" i="1"/>
  <c r="P45" i="1" l="1"/>
  <c r="S44" i="1"/>
  <c r="R44" i="1"/>
  <c r="P46" i="1" l="1"/>
  <c r="S45" i="1"/>
  <c r="R45" i="1"/>
  <c r="P47" i="1" l="1"/>
  <c r="S46" i="1"/>
  <c r="R46" i="1"/>
  <c r="P48" i="1" l="1"/>
  <c r="S47" i="1"/>
  <c r="R47" i="1"/>
  <c r="P49" i="1" l="1"/>
  <c r="S48" i="1"/>
  <c r="R48" i="1"/>
  <c r="P50" i="1" l="1"/>
  <c r="S49" i="1"/>
  <c r="R49" i="1"/>
  <c r="P51" i="1" l="1"/>
  <c r="S50" i="1"/>
  <c r="R50" i="1"/>
  <c r="P52" i="1" l="1"/>
  <c r="S51" i="1"/>
  <c r="R51" i="1"/>
  <c r="P53" i="1" l="1"/>
  <c r="S52" i="1"/>
  <c r="R52" i="1"/>
  <c r="P54" i="1" l="1"/>
  <c r="S53" i="1"/>
  <c r="R53" i="1"/>
  <c r="P55" i="1" l="1"/>
  <c r="S54" i="1"/>
  <c r="R54" i="1"/>
  <c r="P56" i="1" l="1"/>
  <c r="S55" i="1"/>
  <c r="R55" i="1"/>
  <c r="P57" i="1" l="1"/>
  <c r="S56" i="1"/>
  <c r="R56" i="1"/>
  <c r="P58" i="1" l="1"/>
  <c r="S57" i="1"/>
  <c r="R57" i="1"/>
  <c r="P59" i="1" l="1"/>
  <c r="S58" i="1"/>
  <c r="R58" i="1"/>
  <c r="P60" i="1" l="1"/>
  <c r="S59" i="1"/>
  <c r="R59" i="1"/>
  <c r="P61" i="1" l="1"/>
  <c r="S60" i="1"/>
  <c r="R60" i="1"/>
  <c r="P62" i="1" l="1"/>
  <c r="S61" i="1"/>
  <c r="R61" i="1"/>
  <c r="P63" i="1" l="1"/>
  <c r="S62" i="1"/>
  <c r="R62" i="1"/>
  <c r="P64" i="1" l="1"/>
  <c r="S63" i="1"/>
  <c r="R63" i="1"/>
  <c r="P65" i="1" l="1"/>
  <c r="S64" i="1"/>
  <c r="R64" i="1"/>
  <c r="P66" i="1" l="1"/>
  <c r="S65" i="1"/>
  <c r="R65" i="1"/>
  <c r="P67" i="1" l="1"/>
  <c r="S66" i="1"/>
  <c r="R66" i="1"/>
  <c r="P68" i="1" l="1"/>
  <c r="S67" i="1"/>
  <c r="R67" i="1"/>
  <c r="P69" i="1" l="1"/>
  <c r="S68" i="1"/>
  <c r="R68" i="1"/>
  <c r="P70" i="1" l="1"/>
  <c r="S69" i="1"/>
  <c r="R69" i="1"/>
  <c r="P71" i="1" l="1"/>
  <c r="S70" i="1"/>
  <c r="R70" i="1"/>
  <c r="P72" i="1" l="1"/>
  <c r="S71" i="1"/>
  <c r="R71" i="1"/>
  <c r="P73" i="1" l="1"/>
  <c r="S72" i="1"/>
  <c r="R72" i="1"/>
  <c r="P74" i="1" l="1"/>
  <c r="S73" i="1"/>
  <c r="R73" i="1"/>
  <c r="P75" i="1" l="1"/>
  <c r="S74" i="1"/>
  <c r="R74" i="1"/>
  <c r="P76" i="1" l="1"/>
  <c r="S75" i="1"/>
  <c r="R75" i="1"/>
  <c r="P77" i="1" l="1"/>
  <c r="S76" i="1"/>
  <c r="R76" i="1"/>
  <c r="P78" i="1" l="1"/>
  <c r="S77" i="1"/>
  <c r="R77" i="1"/>
  <c r="P79" i="1" l="1"/>
  <c r="S78" i="1"/>
  <c r="R78" i="1"/>
  <c r="P80" i="1" l="1"/>
  <c r="S79" i="1"/>
  <c r="R79" i="1"/>
  <c r="P81" i="1" l="1"/>
  <c r="S80" i="1"/>
  <c r="R80" i="1"/>
  <c r="P82" i="1" l="1"/>
  <c r="S81" i="1"/>
  <c r="R81" i="1"/>
  <c r="P83" i="1" l="1"/>
  <c r="S82" i="1"/>
  <c r="R82" i="1"/>
  <c r="P84" i="1" l="1"/>
  <c r="S83" i="1"/>
  <c r="R83" i="1"/>
  <c r="P85" i="1" l="1"/>
  <c r="S84" i="1"/>
  <c r="R84" i="1"/>
  <c r="P86" i="1" l="1"/>
  <c r="S85" i="1"/>
  <c r="R85" i="1"/>
  <c r="P87" i="1" l="1"/>
  <c r="S86" i="1"/>
  <c r="R86" i="1"/>
  <c r="P88" i="1" l="1"/>
  <c r="S87" i="1"/>
  <c r="R87" i="1"/>
  <c r="P89" i="1" l="1"/>
  <c r="S88" i="1"/>
  <c r="R88" i="1"/>
  <c r="P90" i="1" l="1"/>
  <c r="S89" i="1"/>
  <c r="R89" i="1"/>
  <c r="P91" i="1" l="1"/>
  <c r="S90" i="1"/>
  <c r="R90" i="1"/>
  <c r="P92" i="1" l="1"/>
  <c r="S91" i="1"/>
  <c r="R91" i="1"/>
  <c r="P93" i="1" l="1"/>
  <c r="S92" i="1"/>
  <c r="R92" i="1"/>
  <c r="P94" i="1" l="1"/>
  <c r="S93" i="1"/>
  <c r="R93" i="1"/>
  <c r="P95" i="1" l="1"/>
  <c r="S94" i="1"/>
  <c r="R94" i="1"/>
  <c r="P96" i="1" l="1"/>
  <c r="S95" i="1"/>
  <c r="R95" i="1"/>
  <c r="P97" i="1" l="1"/>
  <c r="S96" i="1"/>
  <c r="R96" i="1"/>
  <c r="P98" i="1" l="1"/>
  <c r="S97" i="1"/>
  <c r="R97" i="1"/>
  <c r="P99" i="1" l="1"/>
  <c r="S98" i="1"/>
  <c r="R98" i="1"/>
  <c r="P100" i="1" l="1"/>
  <c r="S99" i="1"/>
  <c r="R99" i="1"/>
  <c r="P101" i="1" l="1"/>
  <c r="S100" i="1"/>
  <c r="R100" i="1"/>
  <c r="P102" i="1" l="1"/>
  <c r="S101" i="1"/>
  <c r="R101" i="1"/>
  <c r="P103" i="1" l="1"/>
  <c r="S102" i="1"/>
  <c r="R102" i="1"/>
  <c r="P104" i="1" l="1"/>
  <c r="S103" i="1"/>
  <c r="R103" i="1"/>
  <c r="P105" i="1" l="1"/>
  <c r="S104" i="1"/>
  <c r="R104" i="1"/>
  <c r="P106" i="1" l="1"/>
  <c r="S105" i="1"/>
  <c r="R105" i="1"/>
  <c r="P107" i="1" l="1"/>
  <c r="S106" i="1"/>
  <c r="R106" i="1"/>
  <c r="P108" i="1" l="1"/>
  <c r="S107" i="1"/>
  <c r="R107" i="1"/>
  <c r="P109" i="1" l="1"/>
  <c r="S108" i="1"/>
  <c r="R108" i="1"/>
  <c r="P110" i="1" l="1"/>
  <c r="S109" i="1"/>
  <c r="R109" i="1"/>
  <c r="P111" i="1" l="1"/>
  <c r="S110" i="1"/>
  <c r="R110" i="1"/>
  <c r="P112" i="1" l="1"/>
  <c r="S111" i="1"/>
  <c r="R111" i="1"/>
  <c r="P113" i="1" l="1"/>
  <c r="S112" i="1"/>
  <c r="R112" i="1"/>
  <c r="P114" i="1" l="1"/>
  <c r="S113" i="1"/>
  <c r="R113" i="1"/>
  <c r="P115" i="1" l="1"/>
  <c r="S114" i="1"/>
  <c r="R114" i="1"/>
  <c r="P116" i="1" l="1"/>
  <c r="S115" i="1"/>
  <c r="R115" i="1"/>
  <c r="P117" i="1" l="1"/>
  <c r="S116" i="1"/>
  <c r="R116" i="1"/>
  <c r="P118" i="1" l="1"/>
  <c r="S117" i="1"/>
  <c r="R117" i="1"/>
  <c r="P119" i="1" l="1"/>
  <c r="R118" i="1"/>
  <c r="S118" i="1"/>
  <c r="P120" i="1" l="1"/>
  <c r="S119" i="1"/>
  <c r="R119" i="1"/>
  <c r="P121" i="1" l="1"/>
  <c r="R120" i="1"/>
  <c r="S120" i="1"/>
  <c r="P122" i="1" l="1"/>
  <c r="S121" i="1"/>
  <c r="R121" i="1"/>
  <c r="P123" i="1" l="1"/>
  <c r="S122" i="1"/>
  <c r="R122" i="1"/>
  <c r="P124" i="1" l="1"/>
  <c r="S123" i="1"/>
  <c r="R123" i="1"/>
  <c r="P125" i="1" l="1"/>
  <c r="S124" i="1"/>
  <c r="R124" i="1"/>
  <c r="P126" i="1" l="1"/>
  <c r="S125" i="1"/>
  <c r="R125" i="1"/>
  <c r="P127" i="1" l="1"/>
  <c r="R126" i="1"/>
  <c r="S126" i="1"/>
  <c r="P128" i="1" l="1"/>
  <c r="S127" i="1"/>
  <c r="R127" i="1"/>
  <c r="P129" i="1" l="1"/>
  <c r="R128" i="1"/>
  <c r="S128" i="1"/>
  <c r="P130" i="1" l="1"/>
  <c r="S129" i="1"/>
  <c r="R129" i="1"/>
  <c r="P131" i="1" l="1"/>
  <c r="S130" i="1"/>
  <c r="R130" i="1"/>
  <c r="P132" i="1" l="1"/>
  <c r="S131" i="1"/>
  <c r="R131" i="1"/>
  <c r="P133" i="1" l="1"/>
  <c r="S132" i="1"/>
  <c r="R132" i="1"/>
  <c r="P134" i="1" l="1"/>
  <c r="S133" i="1"/>
  <c r="R133" i="1"/>
  <c r="P135" i="1" l="1"/>
  <c r="R134" i="1"/>
  <c r="S134" i="1"/>
  <c r="P136" i="1" l="1"/>
  <c r="S135" i="1"/>
  <c r="R135" i="1"/>
  <c r="P137" i="1" l="1"/>
  <c r="R136" i="1"/>
  <c r="S136" i="1"/>
  <c r="P138" i="1" l="1"/>
  <c r="S137" i="1"/>
  <c r="R137" i="1"/>
  <c r="P139" i="1" l="1"/>
  <c r="S138" i="1"/>
  <c r="R138" i="1"/>
  <c r="P140" i="1" l="1"/>
  <c r="S139" i="1"/>
  <c r="R139" i="1"/>
  <c r="P141" i="1" l="1"/>
  <c r="S140" i="1"/>
  <c r="R140" i="1"/>
  <c r="P142" i="1" l="1"/>
  <c r="S141" i="1"/>
  <c r="R141" i="1"/>
  <c r="P143" i="1" l="1"/>
  <c r="R142" i="1"/>
  <c r="S142" i="1"/>
  <c r="P144" i="1" l="1"/>
  <c r="S143" i="1"/>
  <c r="R143" i="1"/>
  <c r="P145" i="1" l="1"/>
  <c r="R144" i="1"/>
  <c r="S144" i="1"/>
  <c r="P146" i="1" l="1"/>
  <c r="S145" i="1"/>
  <c r="R145" i="1"/>
  <c r="P147" i="1" l="1"/>
  <c r="S146" i="1"/>
  <c r="R146" i="1"/>
  <c r="P148" i="1" l="1"/>
  <c r="S147" i="1"/>
  <c r="R147" i="1"/>
  <c r="P149" i="1" l="1"/>
  <c r="S148" i="1"/>
  <c r="R148" i="1"/>
  <c r="P150" i="1" l="1"/>
  <c r="S149" i="1"/>
  <c r="R149" i="1"/>
  <c r="P151" i="1" l="1"/>
  <c r="R150" i="1"/>
  <c r="S150" i="1"/>
  <c r="P152" i="1" l="1"/>
  <c r="S151" i="1"/>
  <c r="R151" i="1"/>
  <c r="P153" i="1" l="1"/>
  <c r="R152" i="1"/>
  <c r="S152" i="1"/>
  <c r="P154" i="1" l="1"/>
  <c r="S153" i="1"/>
  <c r="R153" i="1"/>
  <c r="P155" i="1" l="1"/>
  <c r="S154" i="1"/>
  <c r="R154" i="1"/>
  <c r="P156" i="1" l="1"/>
  <c r="S155" i="1"/>
  <c r="R155" i="1"/>
  <c r="P157" i="1" l="1"/>
  <c r="R156" i="1"/>
  <c r="S156" i="1"/>
  <c r="P158" i="1" l="1"/>
  <c r="S157" i="1"/>
  <c r="R157" i="1"/>
  <c r="P159" i="1" l="1"/>
  <c r="S158" i="1"/>
  <c r="R158" i="1"/>
  <c r="P160" i="1" l="1"/>
  <c r="S159" i="1"/>
  <c r="R159" i="1"/>
  <c r="P161" i="1" l="1"/>
  <c r="S160" i="1"/>
  <c r="R160" i="1"/>
  <c r="P162" i="1" l="1"/>
  <c r="S161" i="1"/>
  <c r="R161" i="1"/>
  <c r="P163" i="1" l="1"/>
  <c r="S162" i="1"/>
  <c r="R162" i="1"/>
  <c r="P164" i="1" l="1"/>
  <c r="S163" i="1"/>
  <c r="R163" i="1"/>
  <c r="P165" i="1" l="1"/>
  <c r="S164" i="1"/>
  <c r="R164" i="1"/>
  <c r="P166" i="1" l="1"/>
  <c r="S165" i="1"/>
  <c r="R165" i="1"/>
  <c r="P167" i="1" l="1"/>
  <c r="R166" i="1"/>
  <c r="S166" i="1"/>
  <c r="P168" i="1" l="1"/>
  <c r="S167" i="1"/>
  <c r="R167" i="1"/>
  <c r="P169" i="1" l="1"/>
  <c r="R168" i="1"/>
  <c r="S168" i="1"/>
  <c r="P170" i="1" l="1"/>
  <c r="S169" i="1"/>
  <c r="R169" i="1"/>
  <c r="P171" i="1" l="1"/>
  <c r="S170" i="1"/>
  <c r="R170" i="1"/>
  <c r="P172" i="1" l="1"/>
  <c r="S171" i="1"/>
  <c r="R171" i="1"/>
  <c r="P173" i="1" l="1"/>
  <c r="R172" i="1"/>
  <c r="S172" i="1"/>
  <c r="P174" i="1" l="1"/>
  <c r="S173" i="1"/>
  <c r="R173" i="1"/>
  <c r="P175" i="1" l="1"/>
  <c r="S174" i="1"/>
  <c r="R174" i="1"/>
  <c r="P176" i="1" l="1"/>
  <c r="S175" i="1"/>
  <c r="R175" i="1"/>
  <c r="P177" i="1" l="1"/>
  <c r="S176" i="1"/>
  <c r="R176" i="1"/>
  <c r="P178" i="1" l="1"/>
  <c r="S177" i="1"/>
  <c r="R177" i="1"/>
  <c r="P179" i="1" l="1"/>
  <c r="S178" i="1"/>
  <c r="R178" i="1"/>
  <c r="P180" i="1" l="1"/>
  <c r="S179" i="1"/>
  <c r="R179" i="1"/>
  <c r="P181" i="1" l="1"/>
  <c r="S180" i="1"/>
  <c r="R180" i="1"/>
  <c r="P182" i="1" l="1"/>
  <c r="S181" i="1"/>
  <c r="R181" i="1"/>
  <c r="R182" i="1" l="1"/>
  <c r="S182" i="1"/>
</calcChain>
</file>

<file path=xl/sharedStrings.xml><?xml version="1.0" encoding="utf-8"?>
<sst xmlns="http://schemas.openxmlformats.org/spreadsheetml/2006/main" count="55" uniqueCount="49">
  <si>
    <t>SBI</t>
  </si>
  <si>
    <t>SPY</t>
  </si>
  <si>
    <t>Date</t>
  </si>
  <si>
    <t>Close</t>
  </si>
  <si>
    <t>BAC</t>
  </si>
  <si>
    <t>Daily Returns of SBIN</t>
  </si>
  <si>
    <t>Daily Returns of ICICI</t>
  </si>
  <si>
    <t>=LN(B4/B3)</t>
  </si>
  <si>
    <t>=LN(C4/C3)</t>
  </si>
  <si>
    <t>Mean Returns of ICICI</t>
  </si>
  <si>
    <t>Mean Returns of SBIN</t>
  </si>
  <si>
    <t>Xi-Xbar</t>
  </si>
  <si>
    <t>Yi-Ybar</t>
  </si>
  <si>
    <t>=D3-F3</t>
  </si>
  <si>
    <t>=E3-G3</t>
  </si>
  <si>
    <t>(Xi-Xbar)^2</t>
  </si>
  <si>
    <t>=(D3-F3)^2</t>
  </si>
  <si>
    <t>=(E3-G3)^2</t>
  </si>
  <si>
    <t>STD DEV SBI</t>
  </si>
  <si>
    <t>STD DEV ICICI</t>
  </si>
  <si>
    <t>(Yi-Ybar)^2</t>
  </si>
  <si>
    <t>STD DEV FROM FORMULA</t>
  </si>
  <si>
    <t>PRODUCT Xi-Xbar,Yi-Ybar</t>
  </si>
  <si>
    <t>COVARIANCE</t>
  </si>
  <si>
    <t>COVARIANCE FROM FORMULA</t>
  </si>
  <si>
    <t>Weight SBIN</t>
  </si>
  <si>
    <t>Weight ICICI</t>
  </si>
  <si>
    <t>Returns of Pf</t>
  </si>
  <si>
    <t>Std Dev of Pf</t>
  </si>
  <si>
    <t>SMA15</t>
  </si>
  <si>
    <t>STD DEV 15</t>
  </si>
  <si>
    <t>2 STD DEV UP</t>
  </si>
  <si>
    <t>2 STD DEV DOWN</t>
  </si>
  <si>
    <t>Avg of Daily returns</t>
  </si>
  <si>
    <t>Std dev of daily Returns</t>
  </si>
  <si>
    <t>Variance of daily returns</t>
  </si>
  <si>
    <t>CLOSE</t>
  </si>
  <si>
    <t>Daily Returns</t>
  </si>
  <si>
    <t>Estimate the price of BOA for the 20th day from today!!</t>
  </si>
  <si>
    <t>Today's Price</t>
  </si>
  <si>
    <t>SIMULATIONS</t>
  </si>
  <si>
    <t>Days</t>
  </si>
  <si>
    <t>Range of Stock Price at 20th Day from Simulations</t>
  </si>
  <si>
    <t>Percentile</t>
  </si>
  <si>
    <t>Price Range at 20th day</t>
  </si>
  <si>
    <t>Minimum stock Price at 10th Percentile</t>
  </si>
  <si>
    <t>90% confidence that the stock will not fall below:</t>
  </si>
  <si>
    <t>With this model, I am 90% confident that stock price will not fall below 81.76 any day in next 20 days.</t>
  </si>
  <si>
    <t>Expected shortfall at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</si>
</sst>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000"/>
    <numFmt numFmtId="165" formatCode="0.00000000"/>
    <numFmt numFmtId="167" formatCode="0.00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0">
    <xf numFmtId="0" fontId="0" fillId="0" borderId="0" xfId="0"/>
    <xf numFmtId="0" fontId="0" fillId="5" borderId="0" xfId="0" applyFill="1"/>
    <xf numFmtId="0" fontId="0" fillId="6" borderId="0" xfId="0" applyFill="1"/>
    <xf numFmtId="0" fontId="0" fillId="3" borderId="0" xfId="0" applyFill="1"/>
    <xf numFmtId="14" fontId="0" fillId="3" borderId="0" xfId="0" applyNumberFormat="1" applyFill="1"/>
    <xf numFmtId="0" fontId="0" fillId="7" borderId="0" xfId="0" applyFill="1"/>
    <xf numFmtId="0" fontId="0" fillId="0" borderId="0" xfId="0" applyAlignment="1">
      <alignment wrapText="1"/>
    </xf>
    <xf numFmtId="0" fontId="0" fillId="2" borderId="1" xfId="0" applyFill="1" applyBorder="1"/>
    <xf numFmtId="0" fontId="1" fillId="2" borderId="1" xfId="0" applyFont="1" applyFill="1" applyBorder="1"/>
    <xf numFmtId="0" fontId="1" fillId="0" borderId="1" xfId="0" applyFont="1" applyBorder="1"/>
    <xf numFmtId="0" fontId="1" fillId="3" borderId="1" xfId="0" applyFont="1" applyFill="1" applyBorder="1"/>
    <xf numFmtId="0" fontId="0" fillId="0" borderId="1" xfId="0" applyBorder="1"/>
    <xf numFmtId="14" fontId="0" fillId="4" borderId="1" xfId="0" applyNumberFormat="1" applyFill="1" applyBorder="1"/>
    <xf numFmtId="0" fontId="0" fillId="4" borderId="1" xfId="0" applyFill="1" applyBorder="1"/>
    <xf numFmtId="0" fontId="0" fillId="0" borderId="1" xfId="0" quotePrefix="1" applyBorder="1"/>
    <xf numFmtId="0" fontId="1" fillId="0" borderId="0" xfId="0" applyFont="1" applyAlignment="1">
      <alignment wrapText="1"/>
    </xf>
    <xf numFmtId="165" fontId="0" fillId="0" borderId="0" xfId="0" applyNumberFormat="1"/>
    <xf numFmtId="164" fontId="0" fillId="0" borderId="1" xfId="0" applyNumberFormat="1" applyBorder="1"/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/>
    <xf numFmtId="0" fontId="1" fillId="0" borderId="2" xfId="0" applyFont="1" applyFill="1" applyBorder="1"/>
    <xf numFmtId="0" fontId="0" fillId="0" borderId="2" xfId="0" applyBorder="1"/>
    <xf numFmtId="165" fontId="0" fillId="0" borderId="2" xfId="0" applyNumberFormat="1" applyBorder="1"/>
    <xf numFmtId="0" fontId="0" fillId="6" borderId="1" xfId="0" applyFill="1" applyBorder="1"/>
    <xf numFmtId="14" fontId="0" fillId="5" borderId="1" xfId="0" applyNumberFormat="1" applyFill="1" applyBorder="1"/>
    <xf numFmtId="0" fontId="0" fillId="5" borderId="1" xfId="0" applyFill="1" applyBorder="1"/>
    <xf numFmtId="0" fontId="1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7" borderId="0" xfId="0" applyFill="1" applyAlignment="1">
      <alignment horizontal="center"/>
    </xf>
    <xf numFmtId="9" fontId="0" fillId="0" borderId="0" xfId="1" applyFont="1"/>
    <xf numFmtId="167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0" fontId="0" fillId="8" borderId="0" xfId="0" applyNumberFormat="1" applyFill="1"/>
    <xf numFmtId="10" fontId="0" fillId="9" borderId="0" xfId="0" applyNumberFormat="1" applyFill="1"/>
    <xf numFmtId="9" fontId="0" fillId="0" borderId="0" xfId="0" applyNumberFormat="1"/>
    <xf numFmtId="0" fontId="0" fillId="10" borderId="0" xfId="0" applyFill="1"/>
    <xf numFmtId="0" fontId="0" fillId="11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2"/>
  <sheetViews>
    <sheetView topLeftCell="H1" workbookViewId="0">
      <pane ySplit="2" topLeftCell="A3" activePane="bottomLeft" state="frozen"/>
      <selection pane="bottomLeft" activeCell="S11" sqref="S11"/>
    </sheetView>
  </sheetViews>
  <sheetFormatPr defaultRowHeight="15" x14ac:dyDescent="0.25"/>
  <cols>
    <col min="1" max="1" width="10.42578125" bestFit="1" customWidth="1"/>
    <col min="4" max="5" width="19.85546875" bestFit="1" customWidth="1"/>
    <col min="6" max="6" width="21.28515625" bestFit="1" customWidth="1"/>
    <col min="7" max="7" width="20.42578125" bestFit="1" customWidth="1"/>
    <col min="8" max="8" width="13.28515625" customWidth="1"/>
    <col min="9" max="9" width="10.28515625" bestFit="1" customWidth="1"/>
    <col min="10" max="10" width="11" bestFit="1" customWidth="1"/>
    <col min="11" max="11" width="17.42578125" customWidth="1"/>
    <col min="12" max="12" width="11.5703125" bestFit="1" customWidth="1"/>
    <col min="13" max="13" width="12.85546875" bestFit="1" customWidth="1"/>
    <col min="14" max="14" width="18" customWidth="1"/>
    <col min="15" max="15" width="12.7109375" bestFit="1" customWidth="1"/>
    <col min="16" max="16" width="12.140625" bestFit="1" customWidth="1"/>
    <col min="17" max="17" width="12" bestFit="1" customWidth="1"/>
    <col min="18" max="18" width="12.42578125" bestFit="1" customWidth="1"/>
    <col min="19" max="19" width="12.28515625" bestFit="1" customWidth="1"/>
  </cols>
  <sheetData>
    <row r="1" spans="1:19" ht="30" x14ac:dyDescent="0.25">
      <c r="A1" s="7"/>
      <c r="B1" s="8" t="s">
        <v>0</v>
      </c>
      <c r="C1" s="8" t="s">
        <v>1</v>
      </c>
      <c r="D1" s="9" t="s">
        <v>5</v>
      </c>
      <c r="E1" s="9" t="s">
        <v>6</v>
      </c>
      <c r="F1" s="9" t="s">
        <v>10</v>
      </c>
      <c r="G1" s="9" t="s">
        <v>9</v>
      </c>
      <c r="H1" s="9" t="s">
        <v>11</v>
      </c>
      <c r="I1" s="9" t="s">
        <v>12</v>
      </c>
      <c r="J1" s="9" t="s">
        <v>15</v>
      </c>
      <c r="K1" s="9" t="s">
        <v>20</v>
      </c>
      <c r="L1" s="9" t="s">
        <v>18</v>
      </c>
      <c r="M1" s="9" t="s">
        <v>19</v>
      </c>
      <c r="N1" s="18" t="s">
        <v>22</v>
      </c>
      <c r="O1" s="20" t="s">
        <v>23</v>
      </c>
      <c r="P1" s="19" t="s">
        <v>25</v>
      </c>
      <c r="Q1" s="19" t="s">
        <v>26</v>
      </c>
      <c r="R1" s="19" t="s">
        <v>27</v>
      </c>
      <c r="S1" s="19" t="s">
        <v>28</v>
      </c>
    </row>
    <row r="2" spans="1:19" x14ac:dyDescent="0.25">
      <c r="A2" s="10" t="s">
        <v>2</v>
      </c>
      <c r="B2" s="10" t="s">
        <v>3</v>
      </c>
      <c r="C2" s="10" t="s">
        <v>3</v>
      </c>
      <c r="D2" s="27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9"/>
    </row>
    <row r="3" spans="1:19" x14ac:dyDescent="0.25">
      <c r="A3" s="12">
        <v>42776</v>
      </c>
      <c r="B3" s="13">
        <v>276.35000000000002</v>
      </c>
      <c r="C3" s="13">
        <v>231.509995</v>
      </c>
      <c r="D3" s="14" t="s">
        <v>7</v>
      </c>
      <c r="E3" s="14" t="s">
        <v>8</v>
      </c>
      <c r="F3" s="11">
        <f>AVERAGE($D$4:$D$22)</f>
        <v>-5.0849328898366101E-3</v>
      </c>
      <c r="G3" s="11">
        <f>AVERAGE($E$4:$E$22)</f>
        <v>-1.0238303570196403E-3</v>
      </c>
      <c r="H3" s="14" t="s">
        <v>13</v>
      </c>
      <c r="I3" s="14" t="s">
        <v>14</v>
      </c>
      <c r="J3" s="14" t="s">
        <v>16</v>
      </c>
      <c r="K3" s="14" t="s">
        <v>17</v>
      </c>
      <c r="L3" s="11"/>
      <c r="M3" s="11"/>
      <c r="N3" s="11"/>
      <c r="O3" s="21"/>
      <c r="P3" s="11"/>
      <c r="Q3" s="11"/>
      <c r="R3" s="11"/>
      <c r="S3" s="11"/>
    </row>
    <row r="4" spans="1:19" x14ac:dyDescent="0.25">
      <c r="A4" s="12">
        <v>42775</v>
      </c>
      <c r="B4" s="13">
        <v>275.85000000000002</v>
      </c>
      <c r="C4" s="13">
        <v>230.60000600000001</v>
      </c>
      <c r="D4" s="11">
        <f>LN(B4/B3)</f>
        <v>-1.8109385608321416E-3</v>
      </c>
      <c r="E4" s="17">
        <f>LN(C4/C3)</f>
        <v>-3.9384136862429669E-3</v>
      </c>
      <c r="F4" s="17">
        <f>AVERAGE($D$4:$D$22)</f>
        <v>-5.0849328898366101E-3</v>
      </c>
      <c r="G4" s="17">
        <f>AVERAGE($E$4:$E$22)</f>
        <v>-1.0238303570196403E-3</v>
      </c>
      <c r="H4" s="17">
        <f>D4-F4</f>
        <v>3.2739943290044683E-3</v>
      </c>
      <c r="I4" s="17">
        <f>E4-G4</f>
        <v>-2.9145833292233267E-3</v>
      </c>
      <c r="J4" s="17">
        <f>H4^2</f>
        <v>1.0719038866353419E-5</v>
      </c>
      <c r="K4" s="17">
        <f>I4^2</f>
        <v>8.4947959829865312E-6</v>
      </c>
      <c r="L4" s="17">
        <f>SQRT(SUM($J$4:$J$22)/(COUNT($J$4:$J$22-1)))</f>
        <v>6.4540618369342453E-2</v>
      </c>
      <c r="M4" s="17">
        <f>SQRT(SUM($K$4:$K$22)/(COUNT($K$4:$K$22-1)))</f>
        <v>1.7088498781018768E-2</v>
      </c>
      <c r="N4" s="17">
        <f>H4*I4</f>
        <v>-9.5423292912881349E-6</v>
      </c>
      <c r="O4" s="22">
        <f>SUM($N$4:$N$22)/(COUNT($N$4:$N$22)-1)</f>
        <v>4.8064643406508037E-6</v>
      </c>
      <c r="P4" s="11">
        <v>0</v>
      </c>
      <c r="Q4" s="11">
        <v>1</v>
      </c>
      <c r="R4" s="11">
        <f>P4*$F$3+Q4*$G$3</f>
        <v>-1.0238303570196403E-3</v>
      </c>
      <c r="S4" s="11">
        <f>SQRT((P4^2*$L$4^2)+(Q4^2+$M$4^2)+2*$O$4*P4*Q4)</f>
        <v>1.0001459977376248</v>
      </c>
    </row>
    <row r="5" spans="1:19" x14ac:dyDescent="0.25">
      <c r="A5" s="12">
        <v>42774</v>
      </c>
      <c r="B5" s="13">
        <v>277.2</v>
      </c>
      <c r="C5" s="13">
        <v>229.240005</v>
      </c>
      <c r="D5" s="11">
        <f t="shared" ref="D5:D22" si="0">LN(B5/B4)</f>
        <v>4.8820275973083188E-3</v>
      </c>
      <c r="E5" s="17">
        <f t="shared" ref="E5:E22" si="1">LN(C5/C4)</f>
        <v>-5.9151223593002658E-3</v>
      </c>
      <c r="F5" s="17">
        <f t="shared" ref="F5:F22" si="2">AVERAGE($D$3:$D$22)</f>
        <v>-5.0849328898366101E-3</v>
      </c>
      <c r="G5" s="17">
        <f t="shared" ref="G5:G22" si="3">AVERAGE($E$3:$E$22)</f>
        <v>-1.0238303570196403E-3</v>
      </c>
      <c r="H5" s="17">
        <f t="shared" ref="H5:H22" si="4">D5-F5</f>
        <v>9.966960487144929E-3</v>
      </c>
      <c r="I5" s="17">
        <f t="shared" ref="I5:I22" si="5">E5-G5</f>
        <v>-4.8912920022806256E-3</v>
      </c>
      <c r="J5" s="17">
        <f t="shared" ref="J5:J22" si="6">H5^2</f>
        <v>9.9340301352308282E-5</v>
      </c>
      <c r="K5" s="17">
        <f t="shared" ref="K5:K22" si="7">I5^2</f>
        <v>2.3924737451574412E-5</v>
      </c>
      <c r="L5" s="17">
        <f t="shared" ref="L5:L22" si="8">SQRT(SUM($J$4:$J$22)/(COUNT($J$4:$J$22-1)))</f>
        <v>6.4540618369342453E-2</v>
      </c>
      <c r="M5" s="17">
        <f t="shared" ref="M5:M22" si="9">SQRT(SUM($K$4:$K$22)/(COUNT($K$4:$K$22-1)))</f>
        <v>1.7088498781018768E-2</v>
      </c>
      <c r="N5" s="17">
        <f t="shared" ref="N5:N22" si="10">H5*I5</f>
        <v>-4.8751314117818997E-5</v>
      </c>
      <c r="O5" s="22">
        <f t="shared" ref="O5:O22" si="11">SUM($N$4:$N$22)/(COUNT($N$4:$N$22)-1)</f>
        <v>4.8064643406508037E-6</v>
      </c>
      <c r="P5" s="11">
        <f>P4+0.01</f>
        <v>0.01</v>
      </c>
      <c r="Q5" s="11">
        <f>Q4-0.01</f>
        <v>0.99</v>
      </c>
      <c r="R5" s="11">
        <f t="shared" ref="R5:R68" si="12">P5*$F$3+Q5*$G$3</f>
        <v>-1.0644413823478101E-3</v>
      </c>
      <c r="S5" s="11">
        <f t="shared" ref="S5:S68" si="13">SQRT((P5^2*$L$4^2)+(Q5^2+$M$4^2)+2*$O$4*P5*Q5)</f>
        <v>0.99014773064817185</v>
      </c>
    </row>
    <row r="6" spans="1:19" x14ac:dyDescent="0.25">
      <c r="A6" s="12">
        <v>42773</v>
      </c>
      <c r="B6" s="13">
        <v>277.89999999999998</v>
      </c>
      <c r="C6" s="13">
        <v>228.94000199999999</v>
      </c>
      <c r="D6" s="11">
        <f t="shared" si="0"/>
        <v>2.5220694327097175E-3</v>
      </c>
      <c r="E6" s="17">
        <f t="shared" si="1"/>
        <v>-1.3095422684951889E-3</v>
      </c>
      <c r="F6" s="17">
        <f t="shared" si="2"/>
        <v>-5.0849328898366101E-3</v>
      </c>
      <c r="G6" s="17">
        <f t="shared" si="3"/>
        <v>-1.0238303570196403E-3</v>
      </c>
      <c r="H6" s="17">
        <f t="shared" si="4"/>
        <v>7.607002322546328E-3</v>
      </c>
      <c r="I6" s="17">
        <f t="shared" si="5"/>
        <v>-2.8571191147554859E-4</v>
      </c>
      <c r="J6" s="17">
        <f t="shared" si="6"/>
        <v>5.7866484335225231E-5</v>
      </c>
      <c r="K6" s="17">
        <f t="shared" si="7"/>
        <v>8.1631296359011712E-8</v>
      </c>
      <c r="L6" s="17">
        <f t="shared" si="8"/>
        <v>6.4540618369342453E-2</v>
      </c>
      <c r="M6" s="17">
        <f t="shared" si="9"/>
        <v>1.7088498781018768E-2</v>
      </c>
      <c r="N6" s="17">
        <f t="shared" si="10"/>
        <v>-2.1734111741736488E-6</v>
      </c>
      <c r="O6" s="22">
        <f t="shared" si="11"/>
        <v>4.8064643406508037E-6</v>
      </c>
      <c r="P6" s="11">
        <f t="shared" ref="P6:P69" si="14">P5+0.01</f>
        <v>0.02</v>
      </c>
      <c r="Q6" s="11">
        <f t="shared" ref="Q6:Q69" si="15">Q5-0.01</f>
        <v>0.98</v>
      </c>
      <c r="R6" s="11">
        <f t="shared" si="12"/>
        <v>-1.1050524076759796E-3</v>
      </c>
      <c r="S6" s="11">
        <f t="shared" si="13"/>
        <v>0.98014992292024328</v>
      </c>
    </row>
    <row r="7" spans="1:19" x14ac:dyDescent="0.25">
      <c r="A7" s="12">
        <v>42772</v>
      </c>
      <c r="B7" s="13">
        <v>277.05</v>
      </c>
      <c r="C7" s="13">
        <v>228.929993</v>
      </c>
      <c r="D7" s="11">
        <f t="shared" si="0"/>
        <v>-3.0633414350992642E-3</v>
      </c>
      <c r="E7" s="17">
        <f t="shared" si="1"/>
        <v>-4.3719833624755603E-5</v>
      </c>
      <c r="F7" s="17">
        <f t="shared" si="2"/>
        <v>-5.0849328898366101E-3</v>
      </c>
      <c r="G7" s="17">
        <f t="shared" si="3"/>
        <v>-1.0238303570196403E-3</v>
      </c>
      <c r="H7" s="17">
        <f t="shared" si="4"/>
        <v>2.021591454737346E-3</v>
      </c>
      <c r="I7" s="17">
        <f t="shared" si="5"/>
        <v>9.8011052339488469E-4</v>
      </c>
      <c r="J7" s="17">
        <f t="shared" si="6"/>
        <v>4.0868320098670585E-6</v>
      </c>
      <c r="K7" s="17">
        <f t="shared" si="7"/>
        <v>9.6061663806939483E-7</v>
      </c>
      <c r="L7" s="17">
        <f t="shared" si="8"/>
        <v>6.4540618369342453E-2</v>
      </c>
      <c r="M7" s="17">
        <f t="shared" si="9"/>
        <v>1.7088498781018768E-2</v>
      </c>
      <c r="N7" s="17">
        <f t="shared" si="10"/>
        <v>1.9813830587932463E-6</v>
      </c>
      <c r="O7" s="22">
        <f t="shared" si="11"/>
        <v>4.8064643406508037E-6</v>
      </c>
      <c r="P7" s="11">
        <f t="shared" si="14"/>
        <v>0.03</v>
      </c>
      <c r="Q7" s="11">
        <f t="shared" si="15"/>
        <v>0.97</v>
      </c>
      <c r="R7" s="11">
        <f t="shared" si="12"/>
        <v>-1.1456634330041494E-3</v>
      </c>
      <c r="S7" s="11">
        <f t="shared" si="13"/>
        <v>0.97015258875554777</v>
      </c>
    </row>
    <row r="8" spans="1:19" x14ac:dyDescent="0.25">
      <c r="A8" s="12">
        <v>42769</v>
      </c>
      <c r="B8" s="13">
        <v>277.55</v>
      </c>
      <c r="C8" s="13">
        <v>229.33999600000001</v>
      </c>
      <c r="D8" s="11">
        <f t="shared" si="0"/>
        <v>1.803101822811618E-3</v>
      </c>
      <c r="E8" s="17">
        <f t="shared" si="1"/>
        <v>1.7893517761860206E-3</v>
      </c>
      <c r="F8" s="17">
        <f t="shared" si="2"/>
        <v>-5.0849328898366101E-3</v>
      </c>
      <c r="G8" s="17">
        <f t="shared" si="3"/>
        <v>-1.0238303570196403E-3</v>
      </c>
      <c r="H8" s="17">
        <f t="shared" si="4"/>
        <v>6.8880347126482281E-3</v>
      </c>
      <c r="I8" s="17">
        <f t="shared" si="5"/>
        <v>2.8131821332056609E-3</v>
      </c>
      <c r="J8" s="17">
        <f t="shared" si="6"/>
        <v>4.7445022202646958E-5</v>
      </c>
      <c r="K8" s="17">
        <f t="shared" si="7"/>
        <v>7.9139937145875535E-6</v>
      </c>
      <c r="L8" s="17">
        <f t="shared" si="8"/>
        <v>6.4540618369342453E-2</v>
      </c>
      <c r="M8" s="17">
        <f t="shared" si="9"/>
        <v>1.7088498781018768E-2</v>
      </c>
      <c r="N8" s="17">
        <f t="shared" si="10"/>
        <v>1.9377296186522385E-5</v>
      </c>
      <c r="O8" s="22">
        <f t="shared" si="11"/>
        <v>4.8064643406508037E-6</v>
      </c>
      <c r="P8" s="11">
        <f t="shared" si="14"/>
        <v>0.04</v>
      </c>
      <c r="Q8" s="11">
        <f t="shared" si="15"/>
        <v>0.96</v>
      </c>
      <c r="R8" s="11">
        <f t="shared" si="12"/>
        <v>-1.1862744583323191E-3</v>
      </c>
      <c r="S8" s="11">
        <f t="shared" si="13"/>
        <v>0.96015574294659167</v>
      </c>
    </row>
    <row r="9" spans="1:19" x14ac:dyDescent="0.25">
      <c r="A9" s="12">
        <v>42768</v>
      </c>
      <c r="B9" s="13">
        <v>273.3</v>
      </c>
      <c r="C9" s="13">
        <v>227.770004</v>
      </c>
      <c r="D9" s="11">
        <f t="shared" si="0"/>
        <v>-1.543100420214802E-2</v>
      </c>
      <c r="E9" s="17">
        <f t="shared" si="1"/>
        <v>-6.8692357354582277E-3</v>
      </c>
      <c r="F9" s="17">
        <f t="shared" si="2"/>
        <v>-5.0849328898366101E-3</v>
      </c>
      <c r="G9" s="17">
        <f t="shared" si="3"/>
        <v>-1.0238303570196403E-3</v>
      </c>
      <c r="H9" s="17">
        <f t="shared" si="4"/>
        <v>-1.0346071312311411E-2</v>
      </c>
      <c r="I9" s="17">
        <f t="shared" si="5"/>
        <v>-5.8454053784385875E-3</v>
      </c>
      <c r="J9" s="17">
        <f t="shared" si="6"/>
        <v>1.0704119159943317E-4</v>
      </c>
      <c r="K9" s="17">
        <f t="shared" si="7"/>
        <v>3.4168764038278766E-5</v>
      </c>
      <c r="L9" s="17">
        <f t="shared" si="8"/>
        <v>6.4540618369342453E-2</v>
      </c>
      <c r="M9" s="17">
        <f t="shared" si="9"/>
        <v>1.7088498781018768E-2</v>
      </c>
      <c r="N9" s="17">
        <f t="shared" si="10"/>
        <v>6.0476980894694301E-5</v>
      </c>
      <c r="O9" s="22">
        <f t="shared" si="11"/>
        <v>4.8064643406508037E-6</v>
      </c>
      <c r="P9" s="11">
        <f t="shared" si="14"/>
        <v>0.05</v>
      </c>
      <c r="Q9" s="11">
        <f t="shared" si="15"/>
        <v>0.95</v>
      </c>
      <c r="R9" s="11">
        <f t="shared" si="12"/>
        <v>-1.2268854836604889E-3</v>
      </c>
      <c r="S9" s="11">
        <f t="shared" si="13"/>
        <v>0.95015940090768447</v>
      </c>
    </row>
    <row r="10" spans="1:19" x14ac:dyDescent="0.25">
      <c r="A10" s="12">
        <v>42767</v>
      </c>
      <c r="B10" s="13">
        <v>270.7</v>
      </c>
      <c r="C10" s="13">
        <v>227.61999499999999</v>
      </c>
      <c r="D10" s="11">
        <f t="shared" si="0"/>
        <v>-9.5588963137668639E-3</v>
      </c>
      <c r="E10" s="17">
        <f t="shared" si="1"/>
        <v>-6.5881554603837574E-4</v>
      </c>
      <c r="F10" s="17">
        <f t="shared" si="2"/>
        <v>-5.0849328898366101E-3</v>
      </c>
      <c r="G10" s="17">
        <f t="shared" si="3"/>
        <v>-1.0238303570196403E-3</v>
      </c>
      <c r="H10" s="17">
        <f t="shared" si="4"/>
        <v>-4.4739634239302538E-3</v>
      </c>
      <c r="I10" s="17">
        <f t="shared" si="5"/>
        <v>3.6501481098126455E-4</v>
      </c>
      <c r="J10" s="17">
        <f t="shared" si="6"/>
        <v>2.0016348718665719E-5</v>
      </c>
      <c r="K10" s="17">
        <f t="shared" si="7"/>
        <v>1.3323581223568829E-7</v>
      </c>
      <c r="L10" s="17">
        <f t="shared" si="8"/>
        <v>6.4540618369342453E-2</v>
      </c>
      <c r="M10" s="17">
        <f t="shared" si="9"/>
        <v>1.7088498781018768E-2</v>
      </c>
      <c r="N10" s="17">
        <f t="shared" si="10"/>
        <v>-1.6330629135229928E-6</v>
      </c>
      <c r="O10" s="22">
        <f t="shared" si="11"/>
        <v>4.8064643406508037E-6</v>
      </c>
      <c r="P10" s="11">
        <f t="shared" si="14"/>
        <v>6.0000000000000005E-2</v>
      </c>
      <c r="Q10" s="11">
        <f t="shared" si="15"/>
        <v>0.94</v>
      </c>
      <c r="R10" s="11">
        <f t="shared" si="12"/>
        <v>-1.2674965089886584E-3</v>
      </c>
      <c r="S10" s="11">
        <f t="shared" si="13"/>
        <v>0.94016357870791656</v>
      </c>
    </row>
    <row r="11" spans="1:19" x14ac:dyDescent="0.25">
      <c r="A11" s="12">
        <v>42766</v>
      </c>
      <c r="B11" s="13">
        <v>260.35000000000002</v>
      </c>
      <c r="C11" s="13">
        <v>227.529999</v>
      </c>
      <c r="D11" s="11">
        <f t="shared" si="0"/>
        <v>-3.8984317011347303E-2</v>
      </c>
      <c r="E11" s="17">
        <f t="shared" si="1"/>
        <v>-3.9545645329752503E-4</v>
      </c>
      <c r="F11" s="17">
        <f t="shared" si="2"/>
        <v>-5.0849328898366101E-3</v>
      </c>
      <c r="G11" s="17">
        <f t="shared" si="3"/>
        <v>-1.0238303570196403E-3</v>
      </c>
      <c r="H11" s="17">
        <f t="shared" si="4"/>
        <v>-3.3899384121510695E-2</v>
      </c>
      <c r="I11" s="17">
        <f t="shared" si="5"/>
        <v>6.2837390372211526E-4</v>
      </c>
      <c r="J11" s="17">
        <f t="shared" si="6"/>
        <v>1.1491682438177315E-3</v>
      </c>
      <c r="K11" s="17">
        <f t="shared" si="7"/>
        <v>3.9485376287897017E-7</v>
      </c>
      <c r="L11" s="17">
        <f t="shared" si="8"/>
        <v>6.4540618369342453E-2</v>
      </c>
      <c r="M11" s="17">
        <f t="shared" si="9"/>
        <v>1.7088498781018768E-2</v>
      </c>
      <c r="N11" s="17">
        <f t="shared" si="10"/>
        <v>-2.1301488334209165E-5</v>
      </c>
      <c r="O11" s="22">
        <f t="shared" si="11"/>
        <v>4.8064643406508037E-6</v>
      </c>
      <c r="P11" s="11">
        <f t="shared" si="14"/>
        <v>7.0000000000000007E-2</v>
      </c>
      <c r="Q11" s="11">
        <f t="shared" si="15"/>
        <v>0.92999999999999994</v>
      </c>
      <c r="R11" s="11">
        <f t="shared" si="12"/>
        <v>-1.3081075343168282E-3</v>
      </c>
      <c r="S11" s="11">
        <f t="shared" si="13"/>
        <v>0.93016829310625371</v>
      </c>
    </row>
    <row r="12" spans="1:19" x14ac:dyDescent="0.25">
      <c r="A12" s="12">
        <v>42765</v>
      </c>
      <c r="B12" s="13">
        <v>263.95</v>
      </c>
      <c r="C12" s="13">
        <v>227.550003</v>
      </c>
      <c r="D12" s="11">
        <f t="shared" si="0"/>
        <v>1.373281166071697E-2</v>
      </c>
      <c r="E12" s="17">
        <f t="shared" si="1"/>
        <v>8.7914212555971466E-5</v>
      </c>
      <c r="F12" s="17">
        <f t="shared" si="2"/>
        <v>-5.0849328898366101E-3</v>
      </c>
      <c r="G12" s="17">
        <f t="shared" si="3"/>
        <v>-1.0238303570196403E-3</v>
      </c>
      <c r="H12" s="17">
        <f t="shared" si="4"/>
        <v>1.8817744550553579E-2</v>
      </c>
      <c r="I12" s="17">
        <f t="shared" si="5"/>
        <v>1.1117445695756117E-3</v>
      </c>
      <c r="J12" s="17">
        <f t="shared" si="6"/>
        <v>3.5410750996988895E-4</v>
      </c>
      <c r="K12" s="17">
        <f t="shared" si="7"/>
        <v>1.2359759879808622E-6</v>
      </c>
      <c r="L12" s="17">
        <f t="shared" si="8"/>
        <v>6.4540618369342453E-2</v>
      </c>
      <c r="M12" s="17">
        <f t="shared" si="9"/>
        <v>1.7088498781018768E-2</v>
      </c>
      <c r="N12" s="17">
        <f t="shared" si="10"/>
        <v>2.0920525315739001E-5</v>
      </c>
      <c r="O12" s="22">
        <f t="shared" si="11"/>
        <v>4.8064643406508037E-6</v>
      </c>
      <c r="P12" s="11">
        <f t="shared" si="14"/>
        <v>0.08</v>
      </c>
      <c r="Q12" s="11">
        <f t="shared" si="15"/>
        <v>0.91999999999999993</v>
      </c>
      <c r="R12" s="11">
        <f t="shared" si="12"/>
        <v>-1.3487185596449979E-3</v>
      </c>
      <c r="S12" s="11">
        <f t="shared" si="13"/>
        <v>0.92017356158891261</v>
      </c>
    </row>
    <row r="13" spans="1:19" x14ac:dyDescent="0.25">
      <c r="A13" s="12">
        <v>42762</v>
      </c>
      <c r="B13" s="13">
        <v>266.45</v>
      </c>
      <c r="C13" s="13">
        <v>228.970001</v>
      </c>
      <c r="D13" s="11">
        <f t="shared" si="0"/>
        <v>9.4269174731659751E-3</v>
      </c>
      <c r="E13" s="17">
        <f t="shared" si="1"/>
        <v>6.2209873264235972E-3</v>
      </c>
      <c r="F13" s="17">
        <f t="shared" si="2"/>
        <v>-5.0849328898366101E-3</v>
      </c>
      <c r="G13" s="17">
        <f t="shared" si="3"/>
        <v>-1.0238303570196403E-3</v>
      </c>
      <c r="H13" s="17">
        <f t="shared" si="4"/>
        <v>1.4511850363002586E-2</v>
      </c>
      <c r="I13" s="17">
        <f t="shared" si="5"/>
        <v>7.2448176834432375E-3</v>
      </c>
      <c r="J13" s="17">
        <f t="shared" si="6"/>
        <v>2.1059380095817828E-4</v>
      </c>
      <c r="K13" s="17">
        <f t="shared" si="7"/>
        <v>5.248738326633184E-5</v>
      </c>
      <c r="L13" s="17">
        <f t="shared" si="8"/>
        <v>6.4540618369342453E-2</v>
      </c>
      <c r="M13" s="17">
        <f t="shared" si="9"/>
        <v>1.7088498781018768E-2</v>
      </c>
      <c r="N13" s="17">
        <f t="shared" si="10"/>
        <v>1.051357101293633E-4</v>
      </c>
      <c r="O13" s="22">
        <f t="shared" si="11"/>
        <v>4.8064643406508037E-6</v>
      </c>
      <c r="P13" s="11">
        <f t="shared" si="14"/>
        <v>0.09</v>
      </c>
      <c r="Q13" s="11">
        <f t="shared" si="15"/>
        <v>0.90999999999999992</v>
      </c>
      <c r="R13" s="11">
        <f t="shared" si="12"/>
        <v>-1.3893295849731675E-3</v>
      </c>
      <c r="S13" s="11">
        <f t="shared" si="13"/>
        <v>0.91017940240918749</v>
      </c>
    </row>
    <row r="14" spans="1:19" x14ac:dyDescent="0.25">
      <c r="A14" s="12">
        <v>42760</v>
      </c>
      <c r="B14" s="13">
        <v>259.2</v>
      </c>
      <c r="C14" s="13">
        <v>229.33000200000001</v>
      </c>
      <c r="D14" s="11">
        <f t="shared" si="0"/>
        <v>-2.7586644264671611E-2</v>
      </c>
      <c r="E14" s="17">
        <f t="shared" si="1"/>
        <v>1.5710280239473393E-3</v>
      </c>
      <c r="F14" s="17">
        <f t="shared" si="2"/>
        <v>-5.0849328898366101E-3</v>
      </c>
      <c r="G14" s="17">
        <f t="shared" si="3"/>
        <v>-1.0238303570196403E-3</v>
      </c>
      <c r="H14" s="17">
        <f t="shared" si="4"/>
        <v>-2.2501711374835E-2</v>
      </c>
      <c r="I14" s="17">
        <f t="shared" si="5"/>
        <v>2.5948583809669796E-3</v>
      </c>
      <c r="J14" s="17">
        <f t="shared" si="6"/>
        <v>5.0632701479637885E-4</v>
      </c>
      <c r="K14" s="17">
        <f t="shared" si="7"/>
        <v>6.7332900172745743E-6</v>
      </c>
      <c r="L14" s="17">
        <f t="shared" si="8"/>
        <v>6.4540618369342453E-2</v>
      </c>
      <c r="M14" s="17">
        <f t="shared" si="9"/>
        <v>1.7088498781018768E-2</v>
      </c>
      <c r="N14" s="17">
        <f t="shared" si="10"/>
        <v>-5.8388754347090615E-5</v>
      </c>
      <c r="O14" s="22">
        <f t="shared" si="11"/>
        <v>4.8064643406508037E-6</v>
      </c>
      <c r="P14" s="11">
        <f t="shared" si="14"/>
        <v>9.9999999999999992E-2</v>
      </c>
      <c r="Q14" s="11">
        <f t="shared" si="15"/>
        <v>0.89999999999999991</v>
      </c>
      <c r="R14" s="11">
        <f t="shared" si="12"/>
        <v>-1.429940610301337E-3</v>
      </c>
      <c r="S14" s="11">
        <f t="shared" si="13"/>
        <v>0.90018583462991963</v>
      </c>
    </row>
    <row r="15" spans="1:19" x14ac:dyDescent="0.25">
      <c r="A15" s="12">
        <v>42759</v>
      </c>
      <c r="B15" s="13">
        <v>254.9</v>
      </c>
      <c r="C15" s="13">
        <v>229.570007</v>
      </c>
      <c r="D15" s="11">
        <f t="shared" si="0"/>
        <v>-1.6728653096049862E-2</v>
      </c>
      <c r="E15" s="17">
        <f t="shared" si="1"/>
        <v>1.046001382330913E-3</v>
      </c>
      <c r="F15" s="17">
        <f t="shared" si="2"/>
        <v>-5.0849328898366101E-3</v>
      </c>
      <c r="G15" s="17">
        <f t="shared" si="3"/>
        <v>-1.0238303570196403E-3</v>
      </c>
      <c r="H15" s="17">
        <f t="shared" si="4"/>
        <v>-1.1643720206213251E-2</v>
      </c>
      <c r="I15" s="17">
        <f t="shared" si="5"/>
        <v>2.0698317393505533E-3</v>
      </c>
      <c r="J15" s="17">
        <f t="shared" si="6"/>
        <v>1.3557622024057875E-4</v>
      </c>
      <c r="K15" s="17">
        <f t="shared" si="7"/>
        <v>4.2842034292229366E-6</v>
      </c>
      <c r="L15" s="17">
        <f t="shared" si="8"/>
        <v>6.4540618369342453E-2</v>
      </c>
      <c r="M15" s="17">
        <f t="shared" si="9"/>
        <v>1.7088498781018768E-2</v>
      </c>
      <c r="N15" s="17">
        <f t="shared" si="10"/>
        <v>-2.4100541646937557E-5</v>
      </c>
      <c r="O15" s="22">
        <f t="shared" si="11"/>
        <v>4.8064643406508037E-6</v>
      </c>
      <c r="P15" s="11">
        <f>P14+0.01</f>
        <v>0.10999999999999999</v>
      </c>
      <c r="Q15" s="11">
        <f t="shared" si="15"/>
        <v>0.8899999999999999</v>
      </c>
      <c r="R15" s="11">
        <f t="shared" si="12"/>
        <v>-1.4705516356295068E-3</v>
      </c>
      <c r="S15" s="11">
        <f t="shared" si="13"/>
        <v>0.89019287816881709</v>
      </c>
    </row>
    <row r="16" spans="1:19" x14ac:dyDescent="0.25">
      <c r="A16" s="12">
        <v>42758</v>
      </c>
      <c r="B16" s="13">
        <v>254.15</v>
      </c>
      <c r="C16" s="13">
        <v>227.60000600000001</v>
      </c>
      <c r="D16" s="11">
        <f t="shared" si="0"/>
        <v>-2.946667489158214E-3</v>
      </c>
      <c r="E16" s="17">
        <f t="shared" si="1"/>
        <v>-8.618295765054294E-3</v>
      </c>
      <c r="F16" s="17">
        <f t="shared" si="2"/>
        <v>-5.0849328898366101E-3</v>
      </c>
      <c r="G16" s="17">
        <f t="shared" si="3"/>
        <v>-1.0238303570196403E-3</v>
      </c>
      <c r="H16" s="17">
        <f t="shared" si="4"/>
        <v>2.1382654006783961E-3</v>
      </c>
      <c r="I16" s="17">
        <f t="shared" si="5"/>
        <v>-7.5944654080346537E-3</v>
      </c>
      <c r="J16" s="17">
        <f t="shared" si="6"/>
        <v>4.5721789237383424E-6</v>
      </c>
      <c r="K16" s="17">
        <f t="shared" si="7"/>
        <v>5.767590483383496E-5</v>
      </c>
      <c r="L16" s="17">
        <f t="shared" si="8"/>
        <v>6.4540618369342453E-2</v>
      </c>
      <c r="M16" s="17">
        <f t="shared" si="9"/>
        <v>1.7088498781018768E-2</v>
      </c>
      <c r="N16" s="17">
        <f t="shared" si="10"/>
        <v>-1.6238982618649438E-5</v>
      </c>
      <c r="O16" s="22">
        <f t="shared" si="11"/>
        <v>4.8064643406508037E-6</v>
      </c>
      <c r="P16" s="11">
        <f t="shared" si="14"/>
        <v>0.11999999999999998</v>
      </c>
      <c r="Q16" s="11">
        <f t="shared" si="15"/>
        <v>0.87999999999999989</v>
      </c>
      <c r="R16" s="11">
        <f t="shared" si="12"/>
        <v>-1.5111626609576765E-3</v>
      </c>
      <c r="S16" s="11">
        <f t="shared" si="13"/>
        <v>0.88020055384684814</v>
      </c>
    </row>
    <row r="17" spans="1:19" x14ac:dyDescent="0.25">
      <c r="A17" s="12">
        <v>42755</v>
      </c>
      <c r="B17" s="13">
        <v>251.05</v>
      </c>
      <c r="C17" s="13">
        <v>226.14999399999999</v>
      </c>
      <c r="D17" s="11">
        <f t="shared" si="0"/>
        <v>-1.2272521412197014E-2</v>
      </c>
      <c r="E17" s="17">
        <f t="shared" si="1"/>
        <v>-6.3912592214258636E-3</v>
      </c>
      <c r="F17" s="17">
        <f t="shared" si="2"/>
        <v>-5.0849328898366101E-3</v>
      </c>
      <c r="G17" s="17">
        <f t="shared" si="3"/>
        <v>-1.0238303570196403E-3</v>
      </c>
      <c r="H17" s="17">
        <f t="shared" si="4"/>
        <v>-7.187588522360404E-3</v>
      </c>
      <c r="I17" s="17">
        <f t="shared" si="5"/>
        <v>-5.3674288644062233E-3</v>
      </c>
      <c r="J17" s="17">
        <f t="shared" si="6"/>
        <v>5.1661428766767017E-5</v>
      </c>
      <c r="K17" s="17">
        <f t="shared" si="7"/>
        <v>2.8809292614461078E-5</v>
      </c>
      <c r="L17" s="17">
        <f t="shared" si="8"/>
        <v>6.4540618369342453E-2</v>
      </c>
      <c r="M17" s="17">
        <f t="shared" si="9"/>
        <v>1.7088498781018768E-2</v>
      </c>
      <c r="N17" s="17">
        <f t="shared" si="10"/>
        <v>3.8578870100392109E-5</v>
      </c>
      <c r="O17" s="22">
        <f t="shared" si="11"/>
        <v>4.8064643406508037E-6</v>
      </c>
      <c r="P17" s="11">
        <f t="shared" si="14"/>
        <v>0.12999999999999998</v>
      </c>
      <c r="Q17" s="11">
        <f t="shared" si="15"/>
        <v>0.86999999999999988</v>
      </c>
      <c r="R17" s="11">
        <f t="shared" si="12"/>
        <v>-1.5517736862858461E-3</v>
      </c>
      <c r="S17" s="11">
        <f t="shared" si="13"/>
        <v>0.87020888343995439</v>
      </c>
    </row>
    <row r="18" spans="1:19" x14ac:dyDescent="0.25">
      <c r="A18" s="12">
        <v>42754</v>
      </c>
      <c r="B18" s="13">
        <v>258.39999999999998</v>
      </c>
      <c r="C18" s="13">
        <v>226.740005</v>
      </c>
      <c r="D18" s="11">
        <f t="shared" si="0"/>
        <v>2.8856649427732171E-2</v>
      </c>
      <c r="E18" s="17">
        <f t="shared" si="1"/>
        <v>2.6055392483531744E-3</v>
      </c>
      <c r="F18" s="17">
        <f t="shared" si="2"/>
        <v>-5.0849328898366101E-3</v>
      </c>
      <c r="G18" s="17">
        <f t="shared" si="3"/>
        <v>-1.0238303570196403E-3</v>
      </c>
      <c r="H18" s="17">
        <f t="shared" si="4"/>
        <v>3.3941582317568782E-2</v>
      </c>
      <c r="I18" s="17">
        <f t="shared" si="5"/>
        <v>3.6293696053728147E-3</v>
      </c>
      <c r="J18" s="17">
        <f t="shared" si="6"/>
        <v>1.1520310102202979E-3</v>
      </c>
      <c r="K18" s="17">
        <f t="shared" si="7"/>
        <v>1.3172323732404021E-5</v>
      </c>
      <c r="L18" s="17">
        <f t="shared" si="8"/>
        <v>6.4540618369342453E-2</v>
      </c>
      <c r="M18" s="17">
        <f t="shared" si="9"/>
        <v>1.7088498781018768E-2</v>
      </c>
      <c r="N18" s="17">
        <f t="shared" si="10"/>
        <v>1.2318654722164352E-4</v>
      </c>
      <c r="O18" s="22">
        <f t="shared" si="11"/>
        <v>4.8064643406508037E-6</v>
      </c>
      <c r="P18" s="11">
        <f t="shared" si="14"/>
        <v>0.13999999999999999</v>
      </c>
      <c r="Q18" s="11">
        <f t="shared" si="15"/>
        <v>0.85999999999999988</v>
      </c>
      <c r="R18" s="11">
        <f t="shared" si="12"/>
        <v>-1.5923847116140158E-3</v>
      </c>
      <c r="S18" s="11">
        <f t="shared" si="13"/>
        <v>0.86021788973435331</v>
      </c>
    </row>
    <row r="19" spans="1:19" x14ac:dyDescent="0.25">
      <c r="A19" s="12">
        <v>42753</v>
      </c>
      <c r="B19" s="13">
        <v>258.35000000000002</v>
      </c>
      <c r="C19" s="13">
        <v>225.91000399999999</v>
      </c>
      <c r="D19" s="11">
        <f t="shared" si="0"/>
        <v>-1.9351717525300285E-4</v>
      </c>
      <c r="E19" s="17">
        <f t="shared" si="1"/>
        <v>-3.6673010658446149E-3</v>
      </c>
      <c r="F19" s="17">
        <f t="shared" si="2"/>
        <v>-5.0849328898366101E-3</v>
      </c>
      <c r="G19" s="17">
        <f t="shared" si="3"/>
        <v>-1.0238303570196403E-3</v>
      </c>
      <c r="H19" s="17">
        <f t="shared" si="4"/>
        <v>4.8914157145836072E-3</v>
      </c>
      <c r="I19" s="17">
        <f t="shared" si="5"/>
        <v>-2.6434707088249746E-3</v>
      </c>
      <c r="J19" s="17">
        <f t="shared" si="6"/>
        <v>2.3925947692875461E-5</v>
      </c>
      <c r="K19" s="17">
        <f t="shared" si="7"/>
        <v>6.9879373884156138E-6</v>
      </c>
      <c r="L19" s="17">
        <f t="shared" si="8"/>
        <v>6.4540618369342453E-2</v>
      </c>
      <c r="M19" s="17">
        <f t="shared" si="9"/>
        <v>1.7088498781018768E-2</v>
      </c>
      <c r="N19" s="17">
        <f t="shared" si="10"/>
        <v>-1.2930314166187948E-5</v>
      </c>
      <c r="O19" s="22">
        <f t="shared" si="11"/>
        <v>4.8064643406508037E-6</v>
      </c>
      <c r="P19" s="11">
        <f t="shared" si="14"/>
        <v>0.15</v>
      </c>
      <c r="Q19" s="11">
        <f t="shared" si="15"/>
        <v>0.84999999999999987</v>
      </c>
      <c r="R19" s="11">
        <f t="shared" si="12"/>
        <v>-1.6329957369421856E-3</v>
      </c>
      <c r="S19" s="11">
        <f t="shared" si="13"/>
        <v>0.85022759658572256</v>
      </c>
    </row>
    <row r="20" spans="1:19" x14ac:dyDescent="0.25">
      <c r="A20" s="12">
        <v>42752</v>
      </c>
      <c r="B20" s="13">
        <v>256</v>
      </c>
      <c r="C20" s="13">
        <v>226.75</v>
      </c>
      <c r="D20" s="11">
        <f t="shared" si="0"/>
        <v>-9.1378102536312563E-3</v>
      </c>
      <c r="E20" s="17">
        <f t="shared" si="1"/>
        <v>3.7113814199490848E-3</v>
      </c>
      <c r="F20" s="17">
        <f t="shared" si="2"/>
        <v>-5.0849328898366101E-3</v>
      </c>
      <c r="G20" s="17">
        <f t="shared" si="3"/>
        <v>-1.0238303570196403E-3</v>
      </c>
      <c r="H20" s="17">
        <f t="shared" si="4"/>
        <v>-4.0528773637946462E-3</v>
      </c>
      <c r="I20" s="17">
        <f t="shared" si="5"/>
        <v>4.7352117769687251E-3</v>
      </c>
      <c r="J20" s="17">
        <f t="shared" si="6"/>
        <v>1.642581492595904E-5</v>
      </c>
      <c r="K20" s="17">
        <f t="shared" si="7"/>
        <v>2.2422230572743312E-5</v>
      </c>
      <c r="L20" s="17">
        <f t="shared" si="8"/>
        <v>6.4540618369342453E-2</v>
      </c>
      <c r="M20" s="17">
        <f t="shared" si="9"/>
        <v>1.7088498781018768E-2</v>
      </c>
      <c r="N20" s="17">
        <f t="shared" si="10"/>
        <v>-1.919123262365037E-5</v>
      </c>
      <c r="O20" s="22">
        <f t="shared" si="11"/>
        <v>4.8064643406508037E-6</v>
      </c>
      <c r="P20" s="11">
        <f t="shared" si="14"/>
        <v>0.16</v>
      </c>
      <c r="Q20" s="11">
        <f t="shared" si="15"/>
        <v>0.83999999999999986</v>
      </c>
      <c r="R20" s="11">
        <f t="shared" si="12"/>
        <v>-1.6736067622703554E-3</v>
      </c>
      <c r="S20" s="11">
        <f t="shared" si="13"/>
        <v>0.84023802898258693</v>
      </c>
    </row>
    <row r="21" spans="1:19" x14ac:dyDescent="0.25">
      <c r="A21" s="12">
        <v>42751</v>
      </c>
      <c r="B21" s="13">
        <v>255.75</v>
      </c>
      <c r="C21" s="13">
        <v>226.25</v>
      </c>
      <c r="D21" s="11">
        <f t="shared" si="0"/>
        <v>-9.7703964782661274E-4</v>
      </c>
      <c r="E21" s="17">
        <f t="shared" si="1"/>
        <v>-2.2075064152104582E-3</v>
      </c>
      <c r="F21" s="17">
        <f t="shared" si="2"/>
        <v>-5.0849328898366101E-3</v>
      </c>
      <c r="G21" s="17">
        <f t="shared" si="3"/>
        <v>-1.0238303570196403E-3</v>
      </c>
      <c r="H21" s="17">
        <f t="shared" si="4"/>
        <v>4.1078932420099976E-3</v>
      </c>
      <c r="I21" s="17">
        <f t="shared" si="5"/>
        <v>-1.1836760581908179E-3</v>
      </c>
      <c r="J21" s="17">
        <f t="shared" si="6"/>
        <v>1.6874786887751408E-5</v>
      </c>
      <c r="K21" s="17">
        <f t="shared" si="7"/>
        <v>1.4010890107341524E-6</v>
      </c>
      <c r="L21" s="17">
        <f t="shared" si="8"/>
        <v>6.4540618369342453E-2</v>
      </c>
      <c r="M21" s="17">
        <f t="shared" si="9"/>
        <v>1.7088498781018768E-2</v>
      </c>
      <c r="N21" s="17">
        <f t="shared" si="10"/>
        <v>-4.862414880171093E-6</v>
      </c>
      <c r="O21" s="22">
        <f t="shared" si="11"/>
        <v>4.8064643406508037E-6</v>
      </c>
      <c r="P21" s="11">
        <f>P20+0.01</f>
        <v>0.17</v>
      </c>
      <c r="Q21" s="11">
        <f t="shared" si="15"/>
        <v>0.82999999999999985</v>
      </c>
      <c r="R21" s="11">
        <f t="shared" si="12"/>
        <v>-1.7142177875985251E-3</v>
      </c>
      <c r="S21" s="11">
        <f t="shared" si="13"/>
        <v>0.83024921311426059</v>
      </c>
    </row>
    <row r="22" spans="1:19" x14ac:dyDescent="0.25">
      <c r="A22" s="12">
        <v>42748</v>
      </c>
      <c r="B22" s="13">
        <v>250.9</v>
      </c>
      <c r="C22" s="13">
        <v>227.050003</v>
      </c>
      <c r="D22" s="11">
        <f t="shared" si="0"/>
        <v>-1.9145951459359219E-2</v>
      </c>
      <c r="E22" s="17">
        <f t="shared" si="1"/>
        <v>3.5296881768732613E-3</v>
      </c>
      <c r="F22" s="17">
        <f t="shared" si="2"/>
        <v>-5.0849328898366101E-3</v>
      </c>
      <c r="G22" s="17">
        <f t="shared" si="3"/>
        <v>-1.0238303570196403E-3</v>
      </c>
      <c r="H22" s="17">
        <f t="shared" si="4"/>
        <v>-1.4061018569522608E-2</v>
      </c>
      <c r="I22" s="17">
        <f t="shared" si="5"/>
        <v>4.5535185338929016E-3</v>
      </c>
      <c r="J22" s="17">
        <f t="shared" si="6"/>
        <v>1.9771224321245959E-4</v>
      </c>
      <c r="K22" s="17">
        <f t="shared" si="7"/>
        <v>2.0734531038506159E-5</v>
      </c>
      <c r="L22" s="17">
        <f t="shared" si="8"/>
        <v>6.4540618369342453E-2</v>
      </c>
      <c r="M22" s="17">
        <f t="shared" si="9"/>
        <v>1.7088498781018768E-2</v>
      </c>
      <c r="N22" s="17">
        <f t="shared" si="10"/>
        <v>-6.4027108661733449E-5</v>
      </c>
      <c r="O22" s="22">
        <f t="shared" si="11"/>
        <v>4.8064643406508037E-6</v>
      </c>
      <c r="P22" s="11">
        <f t="shared" si="14"/>
        <v>0.18000000000000002</v>
      </c>
      <c r="Q22" s="11">
        <f t="shared" si="15"/>
        <v>0.81999999999999984</v>
      </c>
      <c r="R22" s="11">
        <f t="shared" si="12"/>
        <v>-1.7548288129266947E-3</v>
      </c>
      <c r="S22" s="11">
        <f t="shared" si="13"/>
        <v>0.82026117644373109</v>
      </c>
    </row>
    <row r="23" spans="1:19" x14ac:dyDescent="0.25">
      <c r="P23" s="11">
        <f t="shared" si="14"/>
        <v>0.19000000000000003</v>
      </c>
      <c r="Q23" s="11">
        <f t="shared" si="15"/>
        <v>0.80999999999999983</v>
      </c>
      <c r="R23" s="11">
        <f t="shared" si="12"/>
        <v>-1.7954398382548646E-3</v>
      </c>
      <c r="S23" s="11">
        <f t="shared" si="13"/>
        <v>0.81027394778590567</v>
      </c>
    </row>
    <row r="24" spans="1:19" ht="45" x14ac:dyDescent="0.25">
      <c r="K24" s="15" t="s">
        <v>21</v>
      </c>
      <c r="L24">
        <f>_xlfn.STDEV.S(D4:$D22)</f>
        <v>1.5212369636978371E-2</v>
      </c>
      <c r="M24">
        <f>_xlfn.STDEV.S(E4:E22)</f>
        <v>4.0277977894521396E-3</v>
      </c>
      <c r="N24" s="6" t="s">
        <v>24</v>
      </c>
      <c r="O24" s="16">
        <f>_xlfn.COVARIANCE.S(D4:D22,E4:E22)</f>
        <v>4.8064643406508037E-6</v>
      </c>
      <c r="P24" s="11">
        <f t="shared" si="14"/>
        <v>0.20000000000000004</v>
      </c>
      <c r="Q24" s="11">
        <f t="shared" si="15"/>
        <v>0.79999999999999982</v>
      </c>
      <c r="R24" s="11">
        <f t="shared" si="12"/>
        <v>-1.8360508635830344E-3</v>
      </c>
      <c r="S24" s="11">
        <f t="shared" si="13"/>
        <v>0.80028755739169</v>
      </c>
    </row>
    <row r="25" spans="1:19" x14ac:dyDescent="0.25">
      <c r="P25" s="11">
        <f t="shared" si="14"/>
        <v>0.21000000000000005</v>
      </c>
      <c r="Q25" s="11">
        <f t="shared" si="15"/>
        <v>0.78999999999999981</v>
      </c>
      <c r="R25" s="11">
        <f t="shared" si="12"/>
        <v>-1.8766618889112039E-3</v>
      </c>
      <c r="S25" s="11">
        <f t="shared" si="13"/>
        <v>0.79030203703840762</v>
      </c>
    </row>
    <row r="26" spans="1:19" x14ac:dyDescent="0.25">
      <c r="P26" s="11">
        <f t="shared" si="14"/>
        <v>0.22000000000000006</v>
      </c>
      <c r="Q26" s="11">
        <f t="shared" si="15"/>
        <v>0.7799999999999998</v>
      </c>
      <c r="R26" s="11">
        <f t="shared" si="12"/>
        <v>-1.9172729142393737E-3</v>
      </c>
      <c r="S26" s="11">
        <f t="shared" si="13"/>
        <v>0.78031742012712624</v>
      </c>
    </row>
    <row r="27" spans="1:19" x14ac:dyDescent="0.25">
      <c r="P27" s="11">
        <f t="shared" si="14"/>
        <v>0.23000000000000007</v>
      </c>
      <c r="Q27" s="11">
        <f t="shared" si="15"/>
        <v>0.7699999999999998</v>
      </c>
      <c r="R27" s="11">
        <f t="shared" si="12"/>
        <v>-1.9578839395675432E-3</v>
      </c>
      <c r="S27" s="11">
        <f t="shared" si="13"/>
        <v>0.77033374178751213</v>
      </c>
    </row>
    <row r="28" spans="1:19" x14ac:dyDescent="0.25">
      <c r="P28" s="11">
        <f t="shared" si="14"/>
        <v>0.24000000000000007</v>
      </c>
      <c r="Q28" s="11">
        <f t="shared" si="15"/>
        <v>0.75999999999999979</v>
      </c>
      <c r="R28" s="11">
        <f t="shared" si="12"/>
        <v>-1.9984949648957132E-3</v>
      </c>
      <c r="S28" s="11">
        <f t="shared" si="13"/>
        <v>0.76035103899090117</v>
      </c>
    </row>
    <row r="29" spans="1:19" x14ac:dyDescent="0.25">
      <c r="P29" s="11">
        <f t="shared" si="14"/>
        <v>0.25000000000000006</v>
      </c>
      <c r="Q29" s="11">
        <f t="shared" si="15"/>
        <v>0.74999999999999978</v>
      </c>
      <c r="R29" s="11">
        <f t="shared" si="12"/>
        <v>-2.0391059902238827E-3</v>
      </c>
      <c r="S29" s="11">
        <f t="shared" si="13"/>
        <v>0.75036935067234378</v>
      </c>
    </row>
    <row r="30" spans="1:19" x14ac:dyDescent="0.25">
      <c r="P30" s="11">
        <f t="shared" si="14"/>
        <v>0.26000000000000006</v>
      </c>
      <c r="Q30" s="11">
        <f t="shared" si="15"/>
        <v>0.73999999999999977</v>
      </c>
      <c r="R30" s="11">
        <f t="shared" si="12"/>
        <v>-2.0797170155520527E-3</v>
      </c>
      <c r="S30" s="11">
        <f t="shared" si="13"/>
        <v>0.74038871786246496</v>
      </c>
    </row>
    <row r="31" spans="1:19" x14ac:dyDescent="0.25">
      <c r="P31" s="11">
        <f t="shared" si="14"/>
        <v>0.27000000000000007</v>
      </c>
      <c r="Q31" s="11">
        <f t="shared" si="15"/>
        <v>0.72999999999999976</v>
      </c>
      <c r="R31" s="11">
        <f t="shared" si="12"/>
        <v>-2.1203280408802223E-3</v>
      </c>
      <c r="S31" s="11">
        <f t="shared" si="13"/>
        <v>0.73040918383007269</v>
      </c>
    </row>
    <row r="32" spans="1:19" x14ac:dyDescent="0.25">
      <c r="P32" s="11">
        <f t="shared" si="14"/>
        <v>0.28000000000000008</v>
      </c>
      <c r="Q32" s="11">
        <f t="shared" si="15"/>
        <v>0.71999999999999975</v>
      </c>
      <c r="R32" s="11">
        <f t="shared" si="12"/>
        <v>-2.1609390662083918E-3</v>
      </c>
      <c r="S32" s="11">
        <f t="shared" si="13"/>
        <v>0.7204307942365451</v>
      </c>
    </row>
    <row r="33" spans="16:19" x14ac:dyDescent="0.25">
      <c r="P33" s="11">
        <f t="shared" si="14"/>
        <v>0.29000000000000009</v>
      </c>
      <c r="Q33" s="11">
        <f t="shared" si="15"/>
        <v>0.70999999999999974</v>
      </c>
      <c r="R33" s="11">
        <f t="shared" si="12"/>
        <v>-2.2015500915365618E-3</v>
      </c>
      <c r="S33" s="11">
        <f t="shared" si="13"/>
        <v>0.71045359730314805</v>
      </c>
    </row>
    <row r="34" spans="16:19" x14ac:dyDescent="0.25">
      <c r="P34" s="11">
        <f t="shared" si="14"/>
        <v>0.3000000000000001</v>
      </c>
      <c r="Q34" s="11">
        <f t="shared" si="15"/>
        <v>0.69999999999999973</v>
      </c>
      <c r="R34" s="11">
        <f t="shared" si="12"/>
        <v>-2.2421611168647318E-3</v>
      </c>
      <c r="S34" s="11">
        <f t="shared" si="13"/>
        <v>0.70047764399255907</v>
      </c>
    </row>
    <row r="35" spans="16:19" x14ac:dyDescent="0.25">
      <c r="P35" s="11">
        <f t="shared" si="14"/>
        <v>0.31000000000000011</v>
      </c>
      <c r="Q35" s="11">
        <f t="shared" si="15"/>
        <v>0.68999999999999972</v>
      </c>
      <c r="R35" s="11">
        <f t="shared" si="12"/>
        <v>-2.2827721421929013E-3</v>
      </c>
      <c r="S35" s="11">
        <f t="shared" si="13"/>
        <v>0.69050298820602296</v>
      </c>
    </row>
    <row r="36" spans="16:19" x14ac:dyDescent="0.25">
      <c r="P36" s="11">
        <f t="shared" si="14"/>
        <v>0.32000000000000012</v>
      </c>
      <c r="Q36" s="11">
        <f t="shared" si="15"/>
        <v>0.67999999999999972</v>
      </c>
      <c r="R36" s="11">
        <f t="shared" si="12"/>
        <v>-2.3233831675210708E-3</v>
      </c>
      <c r="S36" s="11">
        <f t="shared" si="13"/>
        <v>0.68052968699772831</v>
      </c>
    </row>
    <row r="37" spans="16:19" x14ac:dyDescent="0.25">
      <c r="P37" s="11">
        <f t="shared" si="14"/>
        <v>0.33000000000000013</v>
      </c>
      <c r="Q37" s="11">
        <f t="shared" si="15"/>
        <v>0.66999999999999971</v>
      </c>
      <c r="R37" s="11">
        <f t="shared" si="12"/>
        <v>-2.3639941928492404E-3</v>
      </c>
      <c r="S37" s="11">
        <f t="shared" si="13"/>
        <v>0.67055780080818028</v>
      </c>
    </row>
    <row r="38" spans="16:19" x14ac:dyDescent="0.25">
      <c r="P38" s="11">
        <f t="shared" si="14"/>
        <v>0.34000000000000014</v>
      </c>
      <c r="Q38" s="11">
        <f t="shared" si="15"/>
        <v>0.6599999999999997</v>
      </c>
      <c r="R38" s="11">
        <f t="shared" si="12"/>
        <v>-2.4046052181774104E-3</v>
      </c>
      <c r="S38" s="11">
        <f t="shared" si="13"/>
        <v>0.6605873937185589</v>
      </c>
    </row>
    <row r="39" spans="16:19" x14ac:dyDescent="0.25">
      <c r="P39" s="11">
        <f t="shared" si="14"/>
        <v>0.35000000000000014</v>
      </c>
      <c r="Q39" s="11">
        <f t="shared" si="15"/>
        <v>0.64999999999999969</v>
      </c>
      <c r="R39" s="11">
        <f t="shared" si="12"/>
        <v>-2.4452162435055803E-3</v>
      </c>
      <c r="S39" s="11">
        <f t="shared" si="13"/>
        <v>0.65061853372829137</v>
      </c>
    </row>
    <row r="40" spans="16:19" x14ac:dyDescent="0.25">
      <c r="P40" s="11">
        <f t="shared" si="14"/>
        <v>0.36000000000000015</v>
      </c>
      <c r="Q40" s="11">
        <f t="shared" si="15"/>
        <v>0.63999999999999968</v>
      </c>
      <c r="R40" s="11">
        <f t="shared" si="12"/>
        <v>-2.4858272688337499E-3</v>
      </c>
      <c r="S40" s="11">
        <f t="shared" si="13"/>
        <v>0.64065129305834034</v>
      </c>
    </row>
    <row r="41" spans="16:19" x14ac:dyDescent="0.25">
      <c r="P41" s="11">
        <f t="shared" si="14"/>
        <v>0.37000000000000016</v>
      </c>
      <c r="Q41" s="11">
        <f t="shared" si="15"/>
        <v>0.62999999999999967</v>
      </c>
      <c r="R41" s="11">
        <f t="shared" si="12"/>
        <v>-2.5264382941619194E-3</v>
      </c>
      <c r="S41" s="11">
        <f t="shared" si="13"/>
        <v>0.63068574848302483</v>
      </c>
    </row>
    <row r="42" spans="16:19" x14ac:dyDescent="0.25">
      <c r="P42" s="11">
        <f t="shared" si="14"/>
        <v>0.38000000000000017</v>
      </c>
      <c r="Q42" s="11">
        <f t="shared" si="15"/>
        <v>0.61999999999999966</v>
      </c>
      <c r="R42" s="11">
        <f t="shared" si="12"/>
        <v>-2.5670493194900894E-3</v>
      </c>
      <c r="S42" s="11">
        <f t="shared" si="13"/>
        <v>0.62072198169354464</v>
      </c>
    </row>
    <row r="43" spans="16:19" x14ac:dyDescent="0.25">
      <c r="P43" s="11">
        <f t="shared" si="14"/>
        <v>0.39000000000000018</v>
      </c>
      <c r="Q43" s="11">
        <f t="shared" si="15"/>
        <v>0.60999999999999965</v>
      </c>
      <c r="R43" s="11">
        <f t="shared" si="12"/>
        <v>-2.6076603448182589E-3</v>
      </c>
      <c r="S43" s="11">
        <f t="shared" si="13"/>
        <v>0.61076007969678836</v>
      </c>
    </row>
    <row r="44" spans="16:19" x14ac:dyDescent="0.25">
      <c r="P44" s="11">
        <f t="shared" si="14"/>
        <v>0.40000000000000019</v>
      </c>
      <c r="Q44" s="11">
        <f t="shared" si="15"/>
        <v>0.59999999999999964</v>
      </c>
      <c r="R44" s="11">
        <f t="shared" si="12"/>
        <v>-2.6482713701464289E-3</v>
      </c>
      <c r="S44" s="11">
        <f t="shared" si="13"/>
        <v>0.60080013525347309</v>
      </c>
    </row>
    <row r="45" spans="16:19" x14ac:dyDescent="0.25">
      <c r="P45" s="11">
        <f t="shared" si="14"/>
        <v>0.4100000000000002</v>
      </c>
      <c r="Q45" s="11">
        <f t="shared" si="15"/>
        <v>0.58999999999999964</v>
      </c>
      <c r="R45" s="11">
        <f t="shared" si="12"/>
        <v>-2.6888823954745985E-3</v>
      </c>
      <c r="S45" s="11">
        <f t="shared" si="13"/>
        <v>0.59084224736020186</v>
      </c>
    </row>
    <row r="46" spans="16:19" x14ac:dyDescent="0.25">
      <c r="P46" s="11">
        <f t="shared" si="14"/>
        <v>0.42000000000000021</v>
      </c>
      <c r="Q46" s="11">
        <f t="shared" si="15"/>
        <v>0.57999999999999963</v>
      </c>
      <c r="R46" s="11">
        <f t="shared" si="12"/>
        <v>-2.7294934208027684E-3</v>
      </c>
      <c r="S46" s="11">
        <f t="shared" si="13"/>
        <v>0.58088652178064393</v>
      </c>
    </row>
    <row r="47" spans="16:19" x14ac:dyDescent="0.25">
      <c r="P47" s="11">
        <f t="shared" si="14"/>
        <v>0.43000000000000022</v>
      </c>
      <c r="Q47" s="11">
        <f t="shared" si="15"/>
        <v>0.56999999999999962</v>
      </c>
      <c r="R47" s="11">
        <f t="shared" si="12"/>
        <v>-2.770104446130938E-3</v>
      </c>
      <c r="S47" s="11">
        <f t="shared" si="13"/>
        <v>0.57093307163175722</v>
      </c>
    </row>
    <row r="48" spans="16:19" x14ac:dyDescent="0.25">
      <c r="P48" s="11">
        <f t="shared" si="14"/>
        <v>0.44000000000000022</v>
      </c>
      <c r="Q48" s="11">
        <f t="shared" si="15"/>
        <v>0.55999999999999961</v>
      </c>
      <c r="R48" s="11">
        <f t="shared" si="12"/>
        <v>-2.810715471459108E-3</v>
      </c>
      <c r="S48" s="11">
        <f t="shared" si="13"/>
        <v>0.56098201803179937</v>
      </c>
    </row>
    <row r="49" spans="16:19" x14ac:dyDescent="0.25">
      <c r="P49" s="11">
        <f t="shared" si="14"/>
        <v>0.45000000000000023</v>
      </c>
      <c r="Q49" s="11">
        <f t="shared" si="15"/>
        <v>0.5499999999999996</v>
      </c>
      <c r="R49" s="11">
        <f t="shared" si="12"/>
        <v>-2.8513264967872775E-3</v>
      </c>
      <c r="S49" s="11">
        <f t="shared" si="13"/>
        <v>0.55103349081783148</v>
      </c>
    </row>
    <row r="50" spans="16:19" x14ac:dyDescent="0.25">
      <c r="P50" s="11">
        <f t="shared" si="14"/>
        <v>0.46000000000000024</v>
      </c>
      <c r="Q50" s="11">
        <f t="shared" si="15"/>
        <v>0.53999999999999959</v>
      </c>
      <c r="R50" s="11">
        <f t="shared" si="12"/>
        <v>-2.891937522115447E-3</v>
      </c>
      <c r="S50" s="11">
        <f t="shared" si="13"/>
        <v>0.54108762934153143</v>
      </c>
    </row>
    <row r="51" spans="16:19" x14ac:dyDescent="0.25">
      <c r="P51" s="11">
        <f t="shared" si="14"/>
        <v>0.47000000000000025</v>
      </c>
      <c r="Q51" s="11">
        <f t="shared" si="15"/>
        <v>0.52999999999999958</v>
      </c>
      <c r="R51" s="11">
        <f t="shared" si="12"/>
        <v>-2.932548547443617E-3</v>
      </c>
      <c r="S51" s="11">
        <f t="shared" si="13"/>
        <v>0.53114458335343107</v>
      </c>
    </row>
    <row r="52" spans="16:19" x14ac:dyDescent="0.25">
      <c r="P52" s="11">
        <f t="shared" si="14"/>
        <v>0.48000000000000026</v>
      </c>
      <c r="Q52" s="11">
        <f t="shared" si="15"/>
        <v>0.51999999999999957</v>
      </c>
      <c r="R52" s="11">
        <f t="shared" si="12"/>
        <v>-2.9731595727717866E-3</v>
      </c>
      <c r="S52" s="11">
        <f t="shared" si="13"/>
        <v>0.5212045139872058</v>
      </c>
    </row>
    <row r="53" spans="16:19" x14ac:dyDescent="0.25">
      <c r="P53" s="11">
        <f t="shared" si="14"/>
        <v>0.49000000000000027</v>
      </c>
      <c r="Q53" s="11">
        <f t="shared" si="15"/>
        <v>0.50999999999999956</v>
      </c>
      <c r="R53" s="11">
        <f t="shared" si="12"/>
        <v>-3.0137705980999565E-3</v>
      </c>
      <c r="S53" s="11">
        <f t="shared" si="13"/>
        <v>0.51126759485741624</v>
      </c>
    </row>
    <row r="54" spans="16:19" x14ac:dyDescent="0.25">
      <c r="P54" s="11">
        <f t="shared" si="14"/>
        <v>0.50000000000000022</v>
      </c>
      <c r="Q54" s="11">
        <f t="shared" si="15"/>
        <v>0.49999999999999956</v>
      </c>
      <c r="R54" s="11">
        <f t="shared" si="12"/>
        <v>-3.0543816234281261E-3</v>
      </c>
      <c r="S54" s="11">
        <f t="shared" si="13"/>
        <v>0.50133401328618532</v>
      </c>
    </row>
    <row r="55" spans="16:19" x14ac:dyDescent="0.25">
      <c r="P55" s="11">
        <f t="shared" si="14"/>
        <v>0.51000000000000023</v>
      </c>
      <c r="Q55" s="11">
        <f t="shared" si="15"/>
        <v>0.48999999999999955</v>
      </c>
      <c r="R55" s="11">
        <f t="shared" si="12"/>
        <v>-3.0949926487562956E-3</v>
      </c>
      <c r="S55" s="11">
        <f t="shared" si="13"/>
        <v>0.49140397167674282</v>
      </c>
    </row>
    <row r="56" spans="16:19" x14ac:dyDescent="0.25">
      <c r="P56" s="11">
        <f t="shared" si="14"/>
        <v>0.52000000000000024</v>
      </c>
      <c r="Q56" s="11">
        <f t="shared" si="15"/>
        <v>0.47999999999999954</v>
      </c>
      <c r="R56" s="11">
        <f t="shared" si="12"/>
        <v>-3.1356036740844652E-3</v>
      </c>
      <c r="S56" s="11">
        <f t="shared" si="13"/>
        <v>0.48147768905466359</v>
      </c>
    </row>
    <row r="57" spans="16:19" x14ac:dyDescent="0.25">
      <c r="P57" s="11">
        <f t="shared" si="14"/>
        <v>0.53000000000000025</v>
      </c>
      <c r="Q57" s="11">
        <f t="shared" si="15"/>
        <v>0.46999999999999953</v>
      </c>
      <c r="R57" s="11">
        <f t="shared" si="12"/>
        <v>-3.1762146994126351E-3</v>
      </c>
      <c r="S57" s="11">
        <f t="shared" si="13"/>
        <v>0.47155540280104913</v>
      </c>
    </row>
    <row r="58" spans="16:19" x14ac:dyDescent="0.25">
      <c r="P58" s="11">
        <f t="shared" si="14"/>
        <v>0.54000000000000026</v>
      </c>
      <c r="Q58" s="11">
        <f t="shared" si="15"/>
        <v>0.45999999999999952</v>
      </c>
      <c r="R58" s="11">
        <f t="shared" si="12"/>
        <v>-3.2168257247408047E-3</v>
      </c>
      <c r="S58" s="11">
        <f t="shared" si="13"/>
        <v>0.46163737060597493</v>
      </c>
    </row>
    <row r="59" spans="16:19" x14ac:dyDescent="0.25">
      <c r="P59" s="11">
        <f t="shared" si="14"/>
        <v>0.55000000000000027</v>
      </c>
      <c r="Q59" s="11">
        <f t="shared" si="15"/>
        <v>0.44999999999999951</v>
      </c>
      <c r="R59" s="11">
        <f t="shared" si="12"/>
        <v>-3.2574367500689747E-3</v>
      </c>
      <c r="S59" s="11">
        <f t="shared" si="13"/>
        <v>0.45172387267537117</v>
      </c>
    </row>
    <row r="60" spans="16:19" x14ac:dyDescent="0.25">
      <c r="P60" s="11">
        <f t="shared" si="14"/>
        <v>0.56000000000000028</v>
      </c>
      <c r="Q60" s="11">
        <f t="shared" si="15"/>
        <v>0.4399999999999995</v>
      </c>
      <c r="R60" s="11">
        <f t="shared" si="12"/>
        <v>-3.2980477753971442E-3</v>
      </c>
      <c r="S60" s="11">
        <f t="shared" si="13"/>
        <v>0.4418152142303044</v>
      </c>
    </row>
    <row r="61" spans="16:19" x14ac:dyDescent="0.25">
      <c r="P61" s="11">
        <f t="shared" si="14"/>
        <v>0.57000000000000028</v>
      </c>
      <c r="Q61" s="11">
        <f t="shared" si="15"/>
        <v>0.42999999999999949</v>
      </c>
      <c r="R61" s="11">
        <f t="shared" si="12"/>
        <v>-3.3386588007253142E-3</v>
      </c>
      <c r="S61" s="11">
        <f t="shared" si="13"/>
        <v>0.43191172834458069</v>
      </c>
    </row>
    <row r="62" spans="16:19" x14ac:dyDescent="0.25">
      <c r="P62" s="11">
        <f t="shared" si="14"/>
        <v>0.58000000000000029</v>
      </c>
      <c r="Q62" s="11">
        <f t="shared" si="15"/>
        <v>0.41999999999999948</v>
      </c>
      <c r="R62" s="11">
        <f t="shared" si="12"/>
        <v>-3.3792698260534837E-3</v>
      </c>
      <c r="S62" s="11">
        <f t="shared" si="13"/>
        <v>0.42201377917496252</v>
      </c>
    </row>
    <row r="63" spans="16:19" x14ac:dyDescent="0.25">
      <c r="P63" s="11">
        <f t="shared" si="14"/>
        <v>0.5900000000000003</v>
      </c>
      <c r="Q63" s="11">
        <f t="shared" si="15"/>
        <v>0.40999999999999948</v>
      </c>
      <c r="R63" s="11">
        <f t="shared" si="12"/>
        <v>-3.4198808513816537E-3</v>
      </c>
      <c r="S63" s="11">
        <f t="shared" si="13"/>
        <v>0.41212176564841052</v>
      </c>
    </row>
    <row r="64" spans="16:19" x14ac:dyDescent="0.25">
      <c r="P64" s="11">
        <f t="shared" si="14"/>
        <v>0.60000000000000031</v>
      </c>
      <c r="Q64" s="11">
        <f t="shared" si="15"/>
        <v>0.39999999999999947</v>
      </c>
      <c r="R64" s="11">
        <f t="shared" si="12"/>
        <v>-3.4604918767098232E-3</v>
      </c>
      <c r="S64" s="11">
        <f t="shared" si="13"/>
        <v>0.4022361256830258</v>
      </c>
    </row>
    <row r="65" spans="16:19" x14ac:dyDescent="0.25">
      <c r="P65" s="11">
        <f t="shared" si="14"/>
        <v>0.61000000000000032</v>
      </c>
      <c r="Q65" s="11">
        <f t="shared" si="15"/>
        <v>0.38999999999999946</v>
      </c>
      <c r="R65" s="11">
        <f t="shared" si="12"/>
        <v>-3.5011029020379928E-3</v>
      </c>
      <c r="S65" s="11">
        <f t="shared" si="13"/>
        <v>0.39235734103431352</v>
      </c>
    </row>
    <row r="66" spans="16:19" x14ac:dyDescent="0.25">
      <c r="P66" s="11">
        <f t="shared" si="14"/>
        <v>0.62000000000000033</v>
      </c>
      <c r="Q66" s="11">
        <f t="shared" si="15"/>
        <v>0.37999999999999945</v>
      </c>
      <c r="R66" s="11">
        <f t="shared" si="12"/>
        <v>-3.5417139273661627E-3</v>
      </c>
      <c r="S66" s="11">
        <f t="shared" si="13"/>
        <v>0.38248594287665066</v>
      </c>
    </row>
    <row r="67" spans="16:19" x14ac:dyDescent="0.25">
      <c r="P67" s="11">
        <f t="shared" si="14"/>
        <v>0.63000000000000034</v>
      </c>
      <c r="Q67" s="11">
        <f t="shared" si="15"/>
        <v>0.36999999999999944</v>
      </c>
      <c r="R67" s="11">
        <f t="shared" si="12"/>
        <v>-3.5823249526943323E-3</v>
      </c>
      <c r="S67" s="11">
        <f t="shared" si="13"/>
        <v>0.37262251825226889</v>
      </c>
    </row>
    <row r="68" spans="16:19" x14ac:dyDescent="0.25">
      <c r="P68" s="11">
        <f t="shared" si="14"/>
        <v>0.64000000000000035</v>
      </c>
      <c r="Q68" s="11">
        <f t="shared" si="15"/>
        <v>0.35999999999999943</v>
      </c>
      <c r="R68" s="11">
        <f t="shared" si="12"/>
        <v>-3.6229359780225023E-3</v>
      </c>
      <c r="S68" s="11">
        <f t="shared" si="13"/>
        <v>0.36276771754772041</v>
      </c>
    </row>
    <row r="69" spans="16:19" x14ac:dyDescent="0.25">
      <c r="P69" s="11">
        <f t="shared" si="14"/>
        <v>0.65000000000000036</v>
      </c>
      <c r="Q69" s="11">
        <f t="shared" si="15"/>
        <v>0.34999999999999942</v>
      </c>
      <c r="R69" s="11">
        <f t="shared" ref="R69:R132" si="16">P69*$F$3+Q69*$G$3</f>
        <v>-3.6635470033506718E-3</v>
      </c>
      <c r="S69" s="11">
        <f t="shared" ref="S69:S132" si="17">SQRT((P69^2*$L$4^2)+(Q69^2+$M$4^2)+2*$O$4*P69*Q69)</f>
        <v>0.35292226319205339</v>
      </c>
    </row>
    <row r="70" spans="16:19" x14ac:dyDescent="0.25">
      <c r="P70" s="11">
        <f t="shared" ref="P70:P133" si="18">P69+0.01</f>
        <v>0.66000000000000036</v>
      </c>
      <c r="Q70" s="11">
        <f t="shared" ref="Q70:Q133" si="19">Q69-0.01</f>
        <v>0.33999999999999941</v>
      </c>
      <c r="R70" s="11">
        <f t="shared" si="16"/>
        <v>-3.7041580286788418E-3</v>
      </c>
      <c r="S70" s="11">
        <f t="shared" si="17"/>
        <v>0.34308695981356901</v>
      </c>
    </row>
    <row r="71" spans="16:19" x14ac:dyDescent="0.25">
      <c r="P71" s="11">
        <f t="shared" si="18"/>
        <v>0.67000000000000037</v>
      </c>
      <c r="Q71" s="11">
        <f t="shared" si="19"/>
        <v>0.3299999999999994</v>
      </c>
      <c r="R71" s="11">
        <f t="shared" si="16"/>
        <v>-3.7447690540070113E-3</v>
      </c>
      <c r="S71" s="11">
        <f t="shared" si="17"/>
        <v>0.33326270614536541</v>
      </c>
    </row>
    <row r="72" spans="16:19" x14ac:dyDescent="0.25">
      <c r="P72" s="11">
        <f t="shared" si="18"/>
        <v>0.68000000000000038</v>
      </c>
      <c r="Q72" s="11">
        <f t="shared" si="19"/>
        <v>0.3199999999999994</v>
      </c>
      <c r="R72" s="11">
        <f t="shared" si="16"/>
        <v>-3.7853800793351813E-3</v>
      </c>
      <c r="S72" s="11">
        <f t="shared" si="17"/>
        <v>0.32345050903692363</v>
      </c>
    </row>
    <row r="73" spans="16:19" x14ac:dyDescent="0.25">
      <c r="P73" s="11">
        <f t="shared" si="18"/>
        <v>0.69000000000000039</v>
      </c>
      <c r="Q73" s="11">
        <f t="shared" si="19"/>
        <v>0.30999999999999939</v>
      </c>
      <c r="R73" s="11">
        <f t="shared" si="16"/>
        <v>-3.8259911046633508E-3</v>
      </c>
      <c r="S73" s="11">
        <f t="shared" si="17"/>
        <v>0.31365150001371905</v>
      </c>
    </row>
    <row r="74" spans="16:19" x14ac:dyDescent="0.25">
      <c r="P74" s="11">
        <f t="shared" si="18"/>
        <v>0.7000000000000004</v>
      </c>
      <c r="Q74" s="11">
        <f t="shared" si="19"/>
        <v>0.29999999999999938</v>
      </c>
      <c r="R74" s="11">
        <f t="shared" si="16"/>
        <v>-3.8666021299915204E-3</v>
      </c>
      <c r="S74" s="11">
        <f t="shared" si="17"/>
        <v>0.3038669549344995</v>
      </c>
    </row>
    <row r="75" spans="16:19" x14ac:dyDescent="0.25">
      <c r="P75" s="11">
        <f t="shared" si="18"/>
        <v>0.71000000000000041</v>
      </c>
      <c r="Q75" s="11">
        <f t="shared" si="19"/>
        <v>0.28999999999999937</v>
      </c>
      <c r="R75" s="11">
        <f t="shared" si="16"/>
        <v>-3.9072131553196899E-3</v>
      </c>
      <c r="S75" s="11">
        <f t="shared" si="17"/>
        <v>0.29409831743342646</v>
      </c>
    </row>
    <row r="76" spans="16:19" x14ac:dyDescent="0.25">
      <c r="P76" s="11">
        <f t="shared" si="18"/>
        <v>0.72000000000000042</v>
      </c>
      <c r="Q76" s="11">
        <f t="shared" si="19"/>
        <v>0.27999999999999936</v>
      </c>
      <c r="R76" s="11">
        <f t="shared" si="16"/>
        <v>-3.9478241806478595E-3</v>
      </c>
      <c r="S76" s="11">
        <f t="shared" si="17"/>
        <v>0.28434722701105769</v>
      </c>
    </row>
    <row r="77" spans="16:19" x14ac:dyDescent="0.25">
      <c r="P77" s="11">
        <f t="shared" si="18"/>
        <v>0.73000000000000043</v>
      </c>
      <c r="Q77" s="11">
        <f t="shared" si="19"/>
        <v>0.26999999999999935</v>
      </c>
      <c r="R77" s="11">
        <f t="shared" si="16"/>
        <v>-3.9884352059760299E-3</v>
      </c>
      <c r="S77" s="11">
        <f t="shared" si="17"/>
        <v>0.27461555286669698</v>
      </c>
    </row>
    <row r="78" spans="16:19" x14ac:dyDescent="0.25">
      <c r="P78" s="11">
        <f t="shared" si="18"/>
        <v>0.74000000000000044</v>
      </c>
      <c r="Q78" s="11">
        <f t="shared" si="19"/>
        <v>0.25999999999999934</v>
      </c>
      <c r="R78" s="11">
        <f t="shared" si="16"/>
        <v>-4.0290462313041994E-3</v>
      </c>
      <c r="S78" s="11">
        <f t="shared" si="17"/>
        <v>0.26490543486192092</v>
      </c>
    </row>
    <row r="79" spans="16:19" x14ac:dyDescent="0.25">
      <c r="P79" s="11">
        <f t="shared" si="18"/>
        <v>0.75000000000000044</v>
      </c>
      <c r="Q79" s="11">
        <f t="shared" si="19"/>
        <v>0.24999999999999933</v>
      </c>
      <c r="R79" s="11">
        <f t="shared" si="16"/>
        <v>-4.069657256632369E-3</v>
      </c>
      <c r="S79" s="11">
        <f t="shared" si="17"/>
        <v>0.25521933339420705</v>
      </c>
    </row>
    <row r="80" spans="16:19" x14ac:dyDescent="0.25">
      <c r="P80" s="11">
        <f t="shared" si="18"/>
        <v>0.76000000000000045</v>
      </c>
      <c r="Q80" s="11">
        <f t="shared" si="19"/>
        <v>0.23999999999999932</v>
      </c>
      <c r="R80" s="11">
        <f t="shared" si="16"/>
        <v>-4.1102682819605385E-3</v>
      </c>
      <c r="S80" s="11">
        <f t="shared" si="17"/>
        <v>0.24556009047213179</v>
      </c>
    </row>
    <row r="81" spans="16:19" x14ac:dyDescent="0.25">
      <c r="P81" s="11">
        <f t="shared" si="18"/>
        <v>0.77000000000000046</v>
      </c>
      <c r="Q81" s="11">
        <f t="shared" si="19"/>
        <v>0.22999999999999932</v>
      </c>
      <c r="R81" s="11">
        <f t="shared" si="16"/>
        <v>-4.150879307288708E-3</v>
      </c>
      <c r="S81" s="11">
        <f t="shared" si="17"/>
        <v>0.23593100496305666</v>
      </c>
    </row>
    <row r="82" spans="16:19" x14ac:dyDescent="0.25">
      <c r="P82" s="11">
        <f t="shared" si="18"/>
        <v>0.78000000000000047</v>
      </c>
      <c r="Q82" s="11">
        <f t="shared" si="19"/>
        <v>0.21999999999999931</v>
      </c>
      <c r="R82" s="11">
        <f t="shared" si="16"/>
        <v>-4.1914903326168785E-3</v>
      </c>
      <c r="S82" s="11">
        <f t="shared" si="17"/>
        <v>0.22633592589063789</v>
      </c>
    </row>
    <row r="83" spans="16:19" x14ac:dyDescent="0.25">
      <c r="P83" s="11">
        <f t="shared" si="18"/>
        <v>0.79000000000000048</v>
      </c>
      <c r="Q83" s="11">
        <f t="shared" si="19"/>
        <v>0.2099999999999993</v>
      </c>
      <c r="R83" s="11">
        <f t="shared" si="16"/>
        <v>-4.232101357945048E-3</v>
      </c>
      <c r="S83" s="11">
        <f t="shared" si="17"/>
        <v>0.21677936887620314</v>
      </c>
    </row>
    <row r="84" spans="16:19" x14ac:dyDescent="0.25">
      <c r="P84" s="11">
        <f t="shared" si="18"/>
        <v>0.80000000000000049</v>
      </c>
      <c r="Q84" s="11">
        <f t="shared" si="19"/>
        <v>0.19999999999999929</v>
      </c>
      <c r="R84" s="11">
        <f t="shared" si="16"/>
        <v>-4.2727123832732175E-3</v>
      </c>
      <c r="S84" s="11">
        <f t="shared" si="17"/>
        <v>0.20726666246083994</v>
      </c>
    </row>
    <row r="85" spans="16:19" x14ac:dyDescent="0.25">
      <c r="P85" s="11">
        <f t="shared" si="18"/>
        <v>0.8100000000000005</v>
      </c>
      <c r="Q85" s="11">
        <f t="shared" si="19"/>
        <v>0.18999999999999928</v>
      </c>
      <c r="R85" s="11">
        <f t="shared" si="16"/>
        <v>-4.3133234086013871E-3</v>
      </c>
      <c r="S85" s="11">
        <f t="shared" si="17"/>
        <v>0.19780413327492608</v>
      </c>
    </row>
    <row r="86" spans="16:19" x14ac:dyDescent="0.25">
      <c r="P86" s="11">
        <f t="shared" si="18"/>
        <v>0.82000000000000051</v>
      </c>
      <c r="Q86" s="11">
        <f t="shared" si="19"/>
        <v>0.17999999999999927</v>
      </c>
      <c r="R86" s="11">
        <f t="shared" si="16"/>
        <v>-4.3539344339295575E-3</v>
      </c>
      <c r="S86" s="11">
        <f t="shared" si="17"/>
        <v>0.1883993420618337</v>
      </c>
    </row>
    <row r="87" spans="16:19" x14ac:dyDescent="0.25">
      <c r="P87" s="11">
        <f t="shared" si="18"/>
        <v>0.83000000000000052</v>
      </c>
      <c r="Q87" s="11">
        <f t="shared" si="19"/>
        <v>0.16999999999999926</v>
      </c>
      <c r="R87" s="11">
        <f t="shared" si="16"/>
        <v>-4.394545459257727E-3</v>
      </c>
      <c r="S87" s="11">
        <f t="shared" si="17"/>
        <v>0.17906138671896049</v>
      </c>
    </row>
    <row r="88" spans="16:19" x14ac:dyDescent="0.25">
      <c r="P88" s="11">
        <f t="shared" si="18"/>
        <v>0.84000000000000052</v>
      </c>
      <c r="Q88" s="11">
        <f t="shared" si="19"/>
        <v>0.15999999999999925</v>
      </c>
      <c r="R88" s="11">
        <f t="shared" si="16"/>
        <v>-4.4351564845858966E-3</v>
      </c>
      <c r="S88" s="11">
        <f t="shared" si="17"/>
        <v>0.16980129420531684</v>
      </c>
    </row>
    <row r="89" spans="16:19" x14ac:dyDescent="0.25">
      <c r="P89" s="11">
        <f t="shared" si="18"/>
        <v>0.85000000000000053</v>
      </c>
      <c r="Q89" s="11">
        <f t="shared" si="19"/>
        <v>0.14999999999999925</v>
      </c>
      <c r="R89" s="11">
        <f t="shared" si="16"/>
        <v>-4.4757675099140661E-3</v>
      </c>
      <c r="S89" s="11">
        <f t="shared" si="17"/>
        <v>0.16063253091943169</v>
      </c>
    </row>
    <row r="90" spans="16:19" x14ac:dyDescent="0.25">
      <c r="P90" s="11">
        <f t="shared" si="18"/>
        <v>0.86000000000000054</v>
      </c>
      <c r="Q90" s="11">
        <f t="shared" si="19"/>
        <v>0.13999999999999924</v>
      </c>
      <c r="R90" s="11">
        <f t="shared" si="16"/>
        <v>-4.5163785352422365E-3</v>
      </c>
      <c r="S90" s="11">
        <f t="shared" si="17"/>
        <v>0.15157167163115265</v>
      </c>
    </row>
    <row r="91" spans="16:19" x14ac:dyDescent="0.25">
      <c r="P91" s="11">
        <f t="shared" si="18"/>
        <v>0.87000000000000055</v>
      </c>
      <c r="Q91" s="11">
        <f t="shared" si="19"/>
        <v>0.12999999999999923</v>
      </c>
      <c r="R91" s="11">
        <f t="shared" si="16"/>
        <v>-4.5569895605704061E-3</v>
      </c>
      <c r="S91" s="11">
        <f t="shared" si="17"/>
        <v>0.142639280944065</v>
      </c>
    </row>
    <row r="92" spans="16:19" x14ac:dyDescent="0.25">
      <c r="P92" s="11">
        <f t="shared" si="18"/>
        <v>0.88000000000000056</v>
      </c>
      <c r="Q92" s="11">
        <f t="shared" si="19"/>
        <v>0.11999999999999923</v>
      </c>
      <c r="R92" s="11">
        <f t="shared" si="16"/>
        <v>-4.5976005858985756E-3</v>
      </c>
      <c r="S92" s="11">
        <f t="shared" si="17"/>
        <v>0.13386107900026806</v>
      </c>
    </row>
    <row r="93" spans="16:19" x14ac:dyDescent="0.25">
      <c r="P93" s="11">
        <f t="shared" si="18"/>
        <v>0.89000000000000057</v>
      </c>
      <c r="Q93" s="11">
        <f t="shared" si="19"/>
        <v>0.10999999999999924</v>
      </c>
      <c r="R93" s="11">
        <f t="shared" si="16"/>
        <v>-4.6382116112267452E-3</v>
      </c>
      <c r="S93" s="11">
        <f t="shared" si="17"/>
        <v>0.12526948411201458</v>
      </c>
    </row>
    <row r="94" spans="16:19" x14ac:dyDescent="0.25">
      <c r="P94" s="11">
        <f t="shared" si="18"/>
        <v>0.90000000000000058</v>
      </c>
      <c r="Q94" s="11">
        <f t="shared" si="19"/>
        <v>9.9999999999999242E-2</v>
      </c>
      <c r="R94" s="11">
        <f t="shared" si="16"/>
        <v>-4.6788226365549156E-3</v>
      </c>
      <c r="S94" s="11">
        <f t="shared" si="17"/>
        <v>0.11690564573177253</v>
      </c>
    </row>
    <row r="95" spans="16:19" x14ac:dyDescent="0.25">
      <c r="P95" s="11">
        <f t="shared" si="18"/>
        <v>0.91000000000000059</v>
      </c>
      <c r="Q95" s="11">
        <f t="shared" si="19"/>
        <v>8.9999999999999247E-2</v>
      </c>
      <c r="R95" s="11">
        <f t="shared" si="16"/>
        <v>-4.7194336618830851E-3</v>
      </c>
      <c r="S95" s="11">
        <f t="shared" si="17"/>
        <v>0.10882209120363981</v>
      </c>
    </row>
    <row r="96" spans="16:19" x14ac:dyDescent="0.25">
      <c r="P96" s="11">
        <f t="shared" si="18"/>
        <v>0.9200000000000006</v>
      </c>
      <c r="Q96" s="11">
        <f t="shared" si="19"/>
        <v>7.9999999999999252E-2</v>
      </c>
      <c r="R96" s="11">
        <f t="shared" si="16"/>
        <v>-4.7600446872112546E-3</v>
      </c>
      <c r="S96" s="11">
        <f t="shared" si="17"/>
        <v>0.1010860833131943</v>
      </c>
    </row>
    <row r="97" spans="16:19" x14ac:dyDescent="0.25">
      <c r="P97" s="11">
        <f t="shared" si="18"/>
        <v>0.9300000000000006</v>
      </c>
      <c r="Q97" s="11">
        <f t="shared" si="19"/>
        <v>6.9999999999999257E-2</v>
      </c>
      <c r="R97" s="11">
        <f t="shared" si="16"/>
        <v>-4.8006557125394251E-3</v>
      </c>
      <c r="S97" s="11">
        <f t="shared" si="17"/>
        <v>9.3783666600154733E-2</v>
      </c>
    </row>
    <row r="98" spans="16:19" x14ac:dyDescent="0.25">
      <c r="P98" s="11">
        <f t="shared" si="18"/>
        <v>0.94000000000000061</v>
      </c>
      <c r="Q98" s="11">
        <f t="shared" si="19"/>
        <v>5.9999999999999255E-2</v>
      </c>
      <c r="R98" s="11">
        <f t="shared" si="16"/>
        <v>-4.8412667378675946E-3</v>
      </c>
      <c r="S98" s="11">
        <f t="shared" si="17"/>
        <v>8.7024060914404941E-2</v>
      </c>
    </row>
    <row r="99" spans="16:19" x14ac:dyDescent="0.25">
      <c r="P99" s="11">
        <f t="shared" si="18"/>
        <v>0.95000000000000062</v>
      </c>
      <c r="Q99" s="11">
        <f t="shared" si="19"/>
        <v>4.9999999999999253E-2</v>
      </c>
      <c r="R99" s="11">
        <f t="shared" si="16"/>
        <v>-4.8818777631957641E-3</v>
      </c>
      <c r="S99" s="11">
        <f t="shared" si="17"/>
        <v>8.094337162978392E-2</v>
      </c>
    </row>
    <row r="100" spans="16:19" x14ac:dyDescent="0.25">
      <c r="P100" s="11">
        <f t="shared" si="18"/>
        <v>0.96000000000000063</v>
      </c>
      <c r="Q100" s="11">
        <f t="shared" si="19"/>
        <v>3.9999999999999251E-2</v>
      </c>
      <c r="R100" s="11">
        <f t="shared" si="16"/>
        <v>-4.9224887885239337E-3</v>
      </c>
      <c r="S100" s="11">
        <f t="shared" si="17"/>
        <v>7.5705368496948214E-2</v>
      </c>
    </row>
    <row r="101" spans="16:19" x14ac:dyDescent="0.25">
      <c r="P101" s="11">
        <f t="shared" si="18"/>
        <v>0.97000000000000064</v>
      </c>
      <c r="Q101" s="11">
        <f t="shared" si="19"/>
        <v>2.9999999999999249E-2</v>
      </c>
      <c r="R101" s="11">
        <f t="shared" si="16"/>
        <v>-4.9630998138521041E-3</v>
      </c>
      <c r="S101" s="11">
        <f t="shared" si="17"/>
        <v>7.1495506176390514E-2</v>
      </c>
    </row>
    <row r="102" spans="16:19" x14ac:dyDescent="0.25">
      <c r="P102" s="11">
        <f t="shared" si="18"/>
        <v>0.98000000000000065</v>
      </c>
      <c r="Q102" s="11">
        <f t="shared" si="19"/>
        <v>1.9999999999999248E-2</v>
      </c>
      <c r="R102" s="11">
        <f t="shared" si="16"/>
        <v>-5.0037108391802728E-3</v>
      </c>
      <c r="S102" s="11">
        <f t="shared" si="17"/>
        <v>6.8503599637362328E-2</v>
      </c>
    </row>
    <row r="103" spans="16:19" x14ac:dyDescent="0.25">
      <c r="P103" s="11">
        <f t="shared" si="18"/>
        <v>0.99000000000000066</v>
      </c>
      <c r="Q103" s="11">
        <f t="shared" si="19"/>
        <v>9.9999999999992473E-3</v>
      </c>
      <c r="R103" s="11">
        <f t="shared" si="16"/>
        <v>-5.0443218645084432E-3</v>
      </c>
      <c r="S103" s="11">
        <f t="shared" si="17"/>
        <v>6.6893273943139653E-2</v>
      </c>
    </row>
    <row r="104" spans="16:19" x14ac:dyDescent="0.25">
      <c r="P104" s="11">
        <f t="shared" si="18"/>
        <v>1.0000000000000007</v>
      </c>
      <c r="Q104" s="11">
        <f t="shared" si="19"/>
        <v>-7.5286998857393428E-16</v>
      </c>
      <c r="R104" s="11">
        <f t="shared" si="16"/>
        <v>-5.0849328898366127E-3</v>
      </c>
      <c r="S104" s="11">
        <f t="shared" si="17"/>
        <v>6.6764573016578108E-2</v>
      </c>
    </row>
    <row r="105" spans="16:19" x14ac:dyDescent="0.25">
      <c r="P105" s="11">
        <f t="shared" si="18"/>
        <v>1.0100000000000007</v>
      </c>
      <c r="Q105" s="11">
        <f t="shared" si="19"/>
        <v>-1.0000000000000753E-2</v>
      </c>
      <c r="R105" s="11">
        <f t="shared" si="16"/>
        <v>-5.1255439151647831E-3</v>
      </c>
      <c r="S105" s="11">
        <f t="shared" si="17"/>
        <v>6.8125894467802886E-2</v>
      </c>
    </row>
    <row r="106" spans="16:19" x14ac:dyDescent="0.25">
      <c r="P106" s="11">
        <f t="shared" si="18"/>
        <v>1.0200000000000007</v>
      </c>
      <c r="Q106" s="11">
        <f t="shared" si="19"/>
        <v>-2.0000000000000753E-2</v>
      </c>
      <c r="R106" s="11">
        <f t="shared" si="16"/>
        <v>-5.1661549404929518E-3</v>
      </c>
      <c r="S106" s="11">
        <f t="shared" si="17"/>
        <v>7.0891451950771928E-2</v>
      </c>
    </row>
    <row r="107" spans="16:19" x14ac:dyDescent="0.25">
      <c r="P107" s="11">
        <f t="shared" si="18"/>
        <v>1.0300000000000007</v>
      </c>
      <c r="Q107" s="11">
        <f t="shared" si="19"/>
        <v>-3.0000000000000755E-2</v>
      </c>
      <c r="R107" s="11">
        <f t="shared" si="16"/>
        <v>-5.2067659658211222E-3</v>
      </c>
      <c r="S107" s="11">
        <f t="shared" si="17"/>
        <v>7.4905871585858722E-2</v>
      </c>
    </row>
    <row r="108" spans="16:19" x14ac:dyDescent="0.25">
      <c r="P108" s="11">
        <f t="shared" si="18"/>
        <v>1.0400000000000007</v>
      </c>
      <c r="Q108" s="11">
        <f t="shared" si="19"/>
        <v>-4.0000000000000757E-2</v>
      </c>
      <c r="R108" s="11">
        <f t="shared" si="16"/>
        <v>-5.2473769911492918E-3</v>
      </c>
      <c r="S108" s="11">
        <f t="shared" si="17"/>
        <v>7.9981325395893976E-2</v>
      </c>
    </row>
    <row r="109" spans="16:19" x14ac:dyDescent="0.25">
      <c r="P109" s="11">
        <f t="shared" si="18"/>
        <v>1.0500000000000007</v>
      </c>
      <c r="Q109" s="11">
        <f t="shared" si="19"/>
        <v>-5.0000000000000759E-2</v>
      </c>
      <c r="R109" s="11">
        <f t="shared" si="16"/>
        <v>-5.2879880164774622E-3</v>
      </c>
      <c r="S109" s="11">
        <f t="shared" si="17"/>
        <v>8.5930008738674943E-2</v>
      </c>
    </row>
    <row r="110" spans="16:19" x14ac:dyDescent="0.25">
      <c r="P110" s="11">
        <f t="shared" si="18"/>
        <v>1.0600000000000007</v>
      </c>
      <c r="Q110" s="11">
        <f t="shared" si="19"/>
        <v>-6.0000000000000761E-2</v>
      </c>
      <c r="R110" s="11">
        <f t="shared" si="16"/>
        <v>-5.3285990418056308E-3</v>
      </c>
      <c r="S110" s="11">
        <f t="shared" si="17"/>
        <v>9.2583754337744337E-2</v>
      </c>
    </row>
    <row r="111" spans="16:19" x14ac:dyDescent="0.25">
      <c r="P111" s="11">
        <f t="shared" si="18"/>
        <v>1.0700000000000007</v>
      </c>
      <c r="Q111" s="11">
        <f t="shared" si="19"/>
        <v>-7.0000000000000756E-2</v>
      </c>
      <c r="R111" s="11">
        <f t="shared" si="16"/>
        <v>-5.3692100671338013E-3</v>
      </c>
      <c r="S111" s="11">
        <f t="shared" si="17"/>
        <v>9.9801642814199204E-2</v>
      </c>
    </row>
    <row r="112" spans="16:19" x14ac:dyDescent="0.25">
      <c r="P112" s="11">
        <f t="shared" si="18"/>
        <v>1.0800000000000007</v>
      </c>
      <c r="Q112" s="11">
        <f t="shared" si="19"/>
        <v>-8.0000000000000751E-2</v>
      </c>
      <c r="R112" s="11">
        <f t="shared" si="16"/>
        <v>-5.4098210924619708E-3</v>
      </c>
      <c r="S112" s="11">
        <f t="shared" si="17"/>
        <v>0.10747006757815111</v>
      </c>
    </row>
    <row r="113" spans="16:19" x14ac:dyDescent="0.25">
      <c r="P113" s="11">
        <f t="shared" si="18"/>
        <v>1.0900000000000007</v>
      </c>
      <c r="Q113" s="11">
        <f t="shared" si="19"/>
        <v>-9.0000000000000746E-2</v>
      </c>
      <c r="R113" s="11">
        <f t="shared" si="16"/>
        <v>-5.4504321177901403E-3</v>
      </c>
      <c r="S113" s="11">
        <f t="shared" si="17"/>
        <v>0.11549932518326632</v>
      </c>
    </row>
    <row r="114" spans="16:19" x14ac:dyDescent="0.25">
      <c r="P114" s="11">
        <f t="shared" si="18"/>
        <v>1.1000000000000008</v>
      </c>
      <c r="Q114" s="11">
        <f t="shared" si="19"/>
        <v>-0.10000000000000074</v>
      </c>
      <c r="R114" s="11">
        <f t="shared" si="16"/>
        <v>-5.4910431431183099E-3</v>
      </c>
      <c r="S114" s="11">
        <f t="shared" si="17"/>
        <v>0.12381923915945206</v>
      </c>
    </row>
    <row r="115" spans="16:19" x14ac:dyDescent="0.25">
      <c r="P115" s="11">
        <f t="shared" si="18"/>
        <v>1.1100000000000008</v>
      </c>
      <c r="Q115" s="11">
        <f t="shared" si="19"/>
        <v>-0.11000000000000074</v>
      </c>
      <c r="R115" s="11">
        <f t="shared" si="16"/>
        <v>-5.5316541684464803E-3</v>
      </c>
      <c r="S115" s="11">
        <f t="shared" si="17"/>
        <v>0.13237501663818385</v>
      </c>
    </row>
    <row r="116" spans="16:19" x14ac:dyDescent="0.25">
      <c r="P116" s="11">
        <f t="shared" si="18"/>
        <v>1.1200000000000008</v>
      </c>
      <c r="Q116" s="11">
        <f t="shared" si="19"/>
        <v>-0.12000000000000073</v>
      </c>
      <c r="R116" s="11">
        <f t="shared" si="16"/>
        <v>-5.5722651937746498E-3</v>
      </c>
      <c r="S116" s="11">
        <f t="shared" si="17"/>
        <v>0.1411237657150328</v>
      </c>
    </row>
    <row r="117" spans="16:19" x14ac:dyDescent="0.25">
      <c r="P117" s="11">
        <f t="shared" si="18"/>
        <v>1.1300000000000008</v>
      </c>
      <c r="Q117" s="11">
        <f t="shared" si="19"/>
        <v>-0.13000000000000073</v>
      </c>
      <c r="R117" s="11">
        <f t="shared" si="16"/>
        <v>-5.6128762191028194E-3</v>
      </c>
      <c r="S117" s="11">
        <f t="shared" si="17"/>
        <v>0.15003173212664594</v>
      </c>
    </row>
    <row r="118" spans="16:19" x14ac:dyDescent="0.25">
      <c r="P118" s="11">
        <f t="shared" si="18"/>
        <v>1.1400000000000008</v>
      </c>
      <c r="Q118" s="11">
        <f t="shared" si="19"/>
        <v>-0.14000000000000073</v>
      </c>
      <c r="R118" s="11">
        <f t="shared" si="16"/>
        <v>-5.6534872444309889E-3</v>
      </c>
      <c r="S118" s="11">
        <f t="shared" si="17"/>
        <v>0.15907216983479541</v>
      </c>
    </row>
    <row r="119" spans="16:19" x14ac:dyDescent="0.25">
      <c r="P119" s="11">
        <f t="shared" si="18"/>
        <v>1.1500000000000008</v>
      </c>
      <c r="Q119" s="11">
        <f t="shared" si="19"/>
        <v>-0.15000000000000074</v>
      </c>
      <c r="R119" s="11">
        <f t="shared" si="16"/>
        <v>-5.6940982697591593E-3</v>
      </c>
      <c r="S119" s="11">
        <f t="shared" si="17"/>
        <v>0.16822372294856786</v>
      </c>
    </row>
    <row r="120" spans="16:19" x14ac:dyDescent="0.25">
      <c r="P120" s="11">
        <f t="shared" si="18"/>
        <v>1.1600000000000008</v>
      </c>
      <c r="Q120" s="11">
        <f t="shared" si="19"/>
        <v>-0.16000000000000075</v>
      </c>
      <c r="R120" s="11">
        <f t="shared" si="16"/>
        <v>-5.734709295087328E-3</v>
      </c>
      <c r="S120" s="11">
        <f t="shared" si="17"/>
        <v>0.17746920263837662</v>
      </c>
    </row>
    <row r="121" spans="16:19" x14ac:dyDescent="0.25">
      <c r="P121" s="11">
        <f t="shared" si="18"/>
        <v>1.1700000000000008</v>
      </c>
      <c r="Q121" s="11">
        <f t="shared" si="19"/>
        <v>-0.17000000000000076</v>
      </c>
      <c r="R121" s="11">
        <f t="shared" si="16"/>
        <v>-5.7753203204154984E-3</v>
      </c>
      <c r="S121" s="11">
        <f t="shared" si="17"/>
        <v>0.18679466261974409</v>
      </c>
    </row>
    <row r="122" spans="16:19" x14ac:dyDescent="0.25">
      <c r="P122" s="11">
        <f t="shared" si="18"/>
        <v>1.1800000000000008</v>
      </c>
      <c r="Q122" s="11">
        <f t="shared" si="19"/>
        <v>-0.18000000000000077</v>
      </c>
      <c r="R122" s="11">
        <f t="shared" si="16"/>
        <v>-5.8159313457436679E-3</v>
      </c>
      <c r="S122" s="11">
        <f t="shared" si="17"/>
        <v>0.19618869808693115</v>
      </c>
    </row>
    <row r="123" spans="16:19" x14ac:dyDescent="0.25">
      <c r="P123" s="11">
        <f t="shared" si="18"/>
        <v>1.1900000000000008</v>
      </c>
      <c r="Q123" s="11">
        <f t="shared" si="19"/>
        <v>-0.19000000000000078</v>
      </c>
      <c r="R123" s="11">
        <f t="shared" si="16"/>
        <v>-5.8565423710718384E-3</v>
      </c>
      <c r="S123" s="11">
        <f t="shared" si="17"/>
        <v>0.2056419113570096</v>
      </c>
    </row>
    <row r="124" spans="16:19" x14ac:dyDescent="0.25">
      <c r="P124" s="11">
        <f t="shared" si="18"/>
        <v>1.2000000000000008</v>
      </c>
      <c r="Q124" s="11">
        <f t="shared" si="19"/>
        <v>-0.20000000000000079</v>
      </c>
      <c r="R124" s="11">
        <f t="shared" si="16"/>
        <v>-5.897153396400007E-3</v>
      </c>
      <c r="S124" s="11">
        <f t="shared" si="17"/>
        <v>0.21514650202078936</v>
      </c>
    </row>
    <row r="125" spans="16:19" x14ac:dyDescent="0.25">
      <c r="P125" s="11">
        <f t="shared" si="18"/>
        <v>1.2100000000000009</v>
      </c>
      <c r="Q125" s="11">
        <f t="shared" si="19"/>
        <v>-0.2100000000000008</v>
      </c>
      <c r="R125" s="11">
        <f t="shared" si="16"/>
        <v>-5.9377644217281774E-3</v>
      </c>
      <c r="S125" s="11">
        <f t="shared" si="17"/>
        <v>0.22469595041454801</v>
      </c>
    </row>
    <row r="126" spans="16:19" x14ac:dyDescent="0.25">
      <c r="P126" s="11">
        <f t="shared" si="18"/>
        <v>1.2200000000000009</v>
      </c>
      <c r="Q126" s="11">
        <f t="shared" si="19"/>
        <v>-0.22000000000000081</v>
      </c>
      <c r="R126" s="11">
        <f t="shared" si="16"/>
        <v>-5.978375447056347E-3</v>
      </c>
      <c r="S126" s="11">
        <f t="shared" si="17"/>
        <v>0.23428477139863502</v>
      </c>
    </row>
    <row r="127" spans="16:19" x14ac:dyDescent="0.25">
      <c r="P127" s="11">
        <f t="shared" si="18"/>
        <v>1.2300000000000009</v>
      </c>
      <c r="Q127" s="11">
        <f t="shared" si="19"/>
        <v>-0.23000000000000081</v>
      </c>
      <c r="R127" s="11">
        <f t="shared" si="16"/>
        <v>-6.0189864723845174E-3</v>
      </c>
      <c r="S127" s="11">
        <f t="shared" si="17"/>
        <v>0.24390832142758578</v>
      </c>
    </row>
    <row r="128" spans="16:19" x14ac:dyDescent="0.25">
      <c r="P128" s="11">
        <f t="shared" si="18"/>
        <v>1.2400000000000009</v>
      </c>
      <c r="Q128" s="11">
        <f t="shared" si="19"/>
        <v>-0.24000000000000082</v>
      </c>
      <c r="R128" s="11">
        <f t="shared" si="16"/>
        <v>-6.0595974977126861E-3</v>
      </c>
      <c r="S128" s="11">
        <f t="shared" si="17"/>
        <v>0.25356264628220082</v>
      </c>
    </row>
    <row r="129" spans="16:19" x14ac:dyDescent="0.25">
      <c r="P129" s="11">
        <f t="shared" si="18"/>
        <v>1.2500000000000009</v>
      </c>
      <c r="Q129" s="11">
        <f t="shared" si="19"/>
        <v>-0.25000000000000083</v>
      </c>
      <c r="R129" s="11">
        <f t="shared" si="16"/>
        <v>-6.1002085230408565E-3</v>
      </c>
      <c r="S129" s="11">
        <f t="shared" si="17"/>
        <v>0.26324436004089552</v>
      </c>
    </row>
    <row r="130" spans="16:19" x14ac:dyDescent="0.25">
      <c r="P130" s="11">
        <f t="shared" si="18"/>
        <v>1.2600000000000009</v>
      </c>
      <c r="Q130" s="11">
        <f t="shared" si="19"/>
        <v>-0.26000000000000084</v>
      </c>
      <c r="R130" s="11">
        <f t="shared" si="16"/>
        <v>-6.140819548369026E-3</v>
      </c>
      <c r="S130" s="11">
        <f t="shared" si="17"/>
        <v>0.27295054821844</v>
      </c>
    </row>
    <row r="131" spans="16:19" x14ac:dyDescent="0.25">
      <c r="P131" s="11">
        <f t="shared" si="18"/>
        <v>1.2700000000000009</v>
      </c>
      <c r="Q131" s="11">
        <f t="shared" si="19"/>
        <v>-0.27000000000000085</v>
      </c>
      <c r="R131" s="11">
        <f t="shared" si="16"/>
        <v>-6.1814305736971956E-3</v>
      </c>
      <c r="S131" s="11">
        <f t="shared" si="17"/>
        <v>0.28267868973067534</v>
      </c>
    </row>
    <row r="132" spans="16:19" x14ac:dyDescent="0.25">
      <c r="P132" s="11">
        <f t="shared" si="18"/>
        <v>1.2800000000000009</v>
      </c>
      <c r="Q132" s="11">
        <f t="shared" si="19"/>
        <v>-0.28000000000000086</v>
      </c>
      <c r="R132" s="11">
        <f t="shared" si="16"/>
        <v>-6.2220415990253651E-3</v>
      </c>
      <c r="S132" s="11">
        <f t="shared" si="17"/>
        <v>0.29242659362420176</v>
      </c>
    </row>
    <row r="133" spans="16:19" x14ac:dyDescent="0.25">
      <c r="P133" s="11">
        <f t="shared" si="18"/>
        <v>1.2900000000000009</v>
      </c>
      <c r="Q133" s="11">
        <f t="shared" si="19"/>
        <v>-0.29000000000000087</v>
      </c>
      <c r="R133" s="11">
        <f t="shared" ref="R133:R182" si="20">P133*$F$3+Q133*$G$3</f>
        <v>-6.2626526243535355E-3</v>
      </c>
      <c r="S133" s="11">
        <f t="shared" ref="S133:S182" si="21">SQRT((P133^2*$L$4^2)+(Q133^2+$M$4^2)+2*$O$4*P133*Q133)</f>
        <v>0.30219234746292778</v>
      </c>
    </row>
    <row r="134" spans="16:19" x14ac:dyDescent="0.25">
      <c r="P134" s="11">
        <f t="shared" ref="P134:P182" si="22">P133+0.01</f>
        <v>1.3000000000000009</v>
      </c>
      <c r="Q134" s="11">
        <f t="shared" ref="Q134:Q182" si="23">Q133-0.01</f>
        <v>-0.30000000000000088</v>
      </c>
      <c r="R134" s="11">
        <f t="shared" si="20"/>
        <v>-6.3032636496817051E-3</v>
      </c>
      <c r="S134" s="11">
        <f t="shared" si="21"/>
        <v>0.31197427497688623</v>
      </c>
    </row>
    <row r="135" spans="16:19" x14ac:dyDescent="0.25">
      <c r="P135" s="11">
        <f t="shared" si="22"/>
        <v>1.3100000000000009</v>
      </c>
      <c r="Q135" s="11">
        <f t="shared" si="23"/>
        <v>-0.31000000000000089</v>
      </c>
      <c r="R135" s="11">
        <f t="shared" si="20"/>
        <v>-6.3438746750098746E-3</v>
      </c>
      <c r="S135" s="11">
        <f t="shared" si="21"/>
        <v>0.32177090111638579</v>
      </c>
    </row>
    <row r="136" spans="16:19" x14ac:dyDescent="0.25">
      <c r="P136" s="11">
        <f t="shared" si="22"/>
        <v>1.320000000000001</v>
      </c>
      <c r="Q136" s="11">
        <f t="shared" si="23"/>
        <v>-0.32000000000000089</v>
      </c>
      <c r="R136" s="11">
        <f t="shared" si="20"/>
        <v>-6.3844857003380441E-3</v>
      </c>
      <c r="S136" s="11">
        <f t="shared" si="21"/>
        <v>0.33158092306229897</v>
      </c>
    </row>
    <row r="137" spans="16:19" x14ac:dyDescent="0.25">
      <c r="P137" s="11">
        <f t="shared" si="22"/>
        <v>1.330000000000001</v>
      </c>
      <c r="Q137" s="11">
        <f t="shared" si="23"/>
        <v>-0.3300000000000009</v>
      </c>
      <c r="R137" s="11">
        <f t="shared" si="20"/>
        <v>-6.4250967256662146E-3</v>
      </c>
      <c r="S137" s="11">
        <f t="shared" si="21"/>
        <v>0.34140318605446507</v>
      </c>
    </row>
    <row r="138" spans="16:19" x14ac:dyDescent="0.25">
      <c r="P138" s="11">
        <f t="shared" si="22"/>
        <v>1.340000000000001</v>
      </c>
      <c r="Q138" s="11">
        <f t="shared" si="23"/>
        <v>-0.34000000000000091</v>
      </c>
      <c r="R138" s="11">
        <f t="shared" si="20"/>
        <v>-6.4657077509943832E-3</v>
      </c>
      <c r="S138" s="11">
        <f t="shared" si="21"/>
        <v>0.35123666313915936</v>
      </c>
    </row>
    <row r="139" spans="16:19" x14ac:dyDescent="0.25">
      <c r="P139" s="11">
        <f t="shared" si="22"/>
        <v>1.350000000000001</v>
      </c>
      <c r="Q139" s="11">
        <f t="shared" si="23"/>
        <v>-0.35000000000000092</v>
      </c>
      <c r="R139" s="11">
        <f t="shared" si="20"/>
        <v>-6.5063187763225536E-3</v>
      </c>
      <c r="S139" s="11">
        <f t="shared" si="21"/>
        <v>0.36108043812123236</v>
      </c>
    </row>
    <row r="140" spans="16:19" x14ac:dyDescent="0.25">
      <c r="P140" s="11">
        <f t="shared" si="22"/>
        <v>1.360000000000001</v>
      </c>
      <c r="Q140" s="11">
        <f t="shared" si="23"/>
        <v>-0.36000000000000093</v>
      </c>
      <c r="R140" s="11">
        <f t="shared" si="20"/>
        <v>-6.5469298016507232E-3</v>
      </c>
      <c r="S140" s="11">
        <f t="shared" si="21"/>
        <v>0.3709336911500612</v>
      </c>
    </row>
    <row r="141" spans="16:19" x14ac:dyDescent="0.25">
      <c r="P141" s="11">
        <f t="shared" si="22"/>
        <v>1.370000000000001</v>
      </c>
      <c r="Q141" s="11">
        <f t="shared" si="23"/>
        <v>-0.37000000000000094</v>
      </c>
      <c r="R141" s="11">
        <f t="shared" si="20"/>
        <v>-6.5875408269788936E-3</v>
      </c>
      <c r="S141" s="11">
        <f t="shared" si="21"/>
        <v>0.38079568648068368</v>
      </c>
    </row>
    <row r="142" spans="16:19" x14ac:dyDescent="0.25">
      <c r="P142" s="11">
        <f t="shared" si="22"/>
        <v>1.380000000000001</v>
      </c>
      <c r="Q142" s="11">
        <f t="shared" si="23"/>
        <v>-0.38000000000000095</v>
      </c>
      <c r="R142" s="11">
        <f t="shared" si="20"/>
        <v>-6.6281518523070623E-3</v>
      </c>
      <c r="S142" s="11">
        <f t="shared" si="21"/>
        <v>0.39066576203972547</v>
      </c>
    </row>
    <row r="143" spans="16:19" x14ac:dyDescent="0.25">
      <c r="P143" s="11">
        <f t="shared" si="22"/>
        <v>1.390000000000001</v>
      </c>
      <c r="Q143" s="11">
        <f t="shared" si="23"/>
        <v>-0.39000000000000096</v>
      </c>
      <c r="R143" s="11">
        <f t="shared" si="20"/>
        <v>-6.6687628776352327E-3</v>
      </c>
      <c r="S143" s="11">
        <f t="shared" si="21"/>
        <v>0.40054332049550123</v>
      </c>
    </row>
    <row r="144" spans="16:19" x14ac:dyDescent="0.25">
      <c r="P144" s="11">
        <f t="shared" si="22"/>
        <v>1.400000000000001</v>
      </c>
      <c r="Q144" s="11">
        <f t="shared" si="23"/>
        <v>-0.40000000000000097</v>
      </c>
      <c r="R144" s="11">
        <f t="shared" si="20"/>
        <v>-6.7093739029634022E-3</v>
      </c>
      <c r="S144" s="11">
        <f t="shared" si="21"/>
        <v>0.41042782158711227</v>
      </c>
    </row>
    <row r="145" spans="16:19" x14ac:dyDescent="0.25">
      <c r="P145" s="11">
        <f t="shared" si="22"/>
        <v>1.410000000000001</v>
      </c>
      <c r="Q145" s="11">
        <f t="shared" si="23"/>
        <v>-0.41000000000000097</v>
      </c>
      <c r="R145" s="11">
        <f t="shared" si="20"/>
        <v>-6.7499849282915726E-3</v>
      </c>
      <c r="S145" s="11">
        <f t="shared" si="21"/>
        <v>0.42031877551165997</v>
      </c>
    </row>
    <row r="146" spans="16:19" x14ac:dyDescent="0.25">
      <c r="P146" s="11">
        <f t="shared" si="22"/>
        <v>1.420000000000001</v>
      </c>
      <c r="Q146" s="11">
        <f t="shared" si="23"/>
        <v>-0.42000000000000098</v>
      </c>
      <c r="R146" s="11">
        <f t="shared" si="20"/>
        <v>-6.7905959536197413E-3</v>
      </c>
      <c r="S146" s="11">
        <f t="shared" si="21"/>
        <v>0.43021573720425221</v>
      </c>
    </row>
    <row r="147" spans="16:19" x14ac:dyDescent="0.25">
      <c r="P147" s="11">
        <f t="shared" si="22"/>
        <v>1.430000000000001</v>
      </c>
      <c r="Q147" s="11">
        <f t="shared" si="23"/>
        <v>-0.43000000000000099</v>
      </c>
      <c r="R147" s="11">
        <f t="shared" si="20"/>
        <v>-6.8312069789479117E-3</v>
      </c>
      <c r="S147" s="11">
        <f t="shared" si="21"/>
        <v>0.44011830137415697</v>
      </c>
    </row>
    <row r="148" spans="16:19" x14ac:dyDescent="0.25">
      <c r="P148" s="11">
        <f t="shared" si="22"/>
        <v>1.4400000000000011</v>
      </c>
      <c r="Q148" s="11">
        <f t="shared" si="23"/>
        <v>-0.440000000000001</v>
      </c>
      <c r="R148" s="11">
        <f t="shared" si="20"/>
        <v>-6.8718180042760812E-3</v>
      </c>
      <c r="S148" s="11">
        <f t="shared" si="21"/>
        <v>0.45002609818370143</v>
      </c>
    </row>
    <row r="149" spans="16:19" x14ac:dyDescent="0.25">
      <c r="P149" s="11">
        <f t="shared" si="22"/>
        <v>1.4500000000000011</v>
      </c>
      <c r="Q149" s="11">
        <f t="shared" si="23"/>
        <v>-0.45000000000000101</v>
      </c>
      <c r="R149" s="11">
        <f t="shared" si="20"/>
        <v>-6.9124290296042508E-3</v>
      </c>
      <c r="S149" s="11">
        <f t="shared" si="21"/>
        <v>0.45993878947542349</v>
      </c>
    </row>
    <row r="150" spans="16:19" x14ac:dyDescent="0.25">
      <c r="P150" s="11">
        <f t="shared" si="22"/>
        <v>1.4600000000000011</v>
      </c>
      <c r="Q150" s="11">
        <f t="shared" si="23"/>
        <v>-0.46000000000000102</v>
      </c>
      <c r="R150" s="11">
        <f t="shared" si="20"/>
        <v>-6.9530400549324203E-3</v>
      </c>
      <c r="S150" s="11">
        <f t="shared" si="21"/>
        <v>0.46985606546844477</v>
      </c>
    </row>
    <row r="151" spans="16:19" x14ac:dyDescent="0.25">
      <c r="P151" s="11">
        <f t="shared" si="22"/>
        <v>1.4700000000000011</v>
      </c>
      <c r="Q151" s="11">
        <f t="shared" si="23"/>
        <v>-0.47000000000000103</v>
      </c>
      <c r="R151" s="11">
        <f t="shared" si="20"/>
        <v>-6.9936510802605907E-3</v>
      </c>
      <c r="S151" s="11">
        <f t="shared" si="21"/>
        <v>0.47977764185772059</v>
      </c>
    </row>
    <row r="152" spans="16:19" x14ac:dyDescent="0.25">
      <c r="P152" s="11">
        <f t="shared" si="22"/>
        <v>1.4800000000000011</v>
      </c>
      <c r="Q152" s="11">
        <f t="shared" si="23"/>
        <v>-0.48000000000000104</v>
      </c>
      <c r="R152" s="11">
        <f t="shared" si="20"/>
        <v>-7.0342621055887603E-3</v>
      </c>
      <c r="S152" s="11">
        <f t="shared" si="21"/>
        <v>0.48970325726027303</v>
      </c>
    </row>
    <row r="153" spans="16:19" x14ac:dyDescent="0.25">
      <c r="P153" s="11">
        <f t="shared" si="22"/>
        <v>1.4900000000000011</v>
      </c>
      <c r="Q153" s="11">
        <f t="shared" si="23"/>
        <v>-0.49000000000000105</v>
      </c>
      <c r="R153" s="11">
        <f t="shared" si="20"/>
        <v>-7.0748731309169298E-3</v>
      </c>
      <c r="S153" s="11">
        <f t="shared" si="21"/>
        <v>0.49963267096116243</v>
      </c>
    </row>
    <row r="154" spans="16:19" x14ac:dyDescent="0.25">
      <c r="P154" s="11">
        <f t="shared" si="22"/>
        <v>1.5000000000000011</v>
      </c>
      <c r="Q154" s="11">
        <f t="shared" si="23"/>
        <v>-0.500000000000001</v>
      </c>
      <c r="R154" s="11">
        <f t="shared" si="20"/>
        <v>-7.1154841562450994E-3</v>
      </c>
      <c r="S154" s="11">
        <f t="shared" si="21"/>
        <v>0.50956566091912769</v>
      </c>
    </row>
    <row r="155" spans="16:19" x14ac:dyDescent="0.25">
      <c r="P155" s="11">
        <f t="shared" si="22"/>
        <v>1.5100000000000011</v>
      </c>
      <c r="Q155" s="11">
        <f t="shared" si="23"/>
        <v>-0.51000000000000101</v>
      </c>
      <c r="R155" s="11">
        <f t="shared" si="20"/>
        <v>-7.1560951815732698E-3</v>
      </c>
      <c r="S155" s="11">
        <f t="shared" si="21"/>
        <v>0.51950202199780493</v>
      </c>
    </row>
    <row r="156" spans="16:19" x14ac:dyDescent="0.25">
      <c r="P156" s="11">
        <f t="shared" si="22"/>
        <v>1.5200000000000011</v>
      </c>
      <c r="Q156" s="11">
        <f t="shared" si="23"/>
        <v>-0.52000000000000102</v>
      </c>
      <c r="R156" s="11">
        <f t="shared" si="20"/>
        <v>-7.1967062069014385E-3</v>
      </c>
      <c r="S156" s="11">
        <f t="shared" si="21"/>
        <v>0.52944156439343371</v>
      </c>
    </row>
    <row r="157" spans="16:19" x14ac:dyDescent="0.25">
      <c r="P157" s="11">
        <f t="shared" si="22"/>
        <v>1.5300000000000011</v>
      </c>
      <c r="Q157" s="11">
        <f t="shared" si="23"/>
        <v>-0.53000000000000103</v>
      </c>
      <c r="R157" s="11">
        <f t="shared" si="20"/>
        <v>-7.2373172322296089E-3</v>
      </c>
      <c r="S157" s="11">
        <f t="shared" si="21"/>
        <v>0.53938411223415095</v>
      </c>
    </row>
    <row r="158" spans="16:19" x14ac:dyDescent="0.25">
      <c r="P158" s="11">
        <f t="shared" si="22"/>
        <v>1.5400000000000011</v>
      </c>
      <c r="Q158" s="11">
        <f t="shared" si="23"/>
        <v>-0.54000000000000103</v>
      </c>
      <c r="R158" s="11">
        <f t="shared" si="20"/>
        <v>-7.2779282575577784E-3</v>
      </c>
      <c r="S158" s="11">
        <f t="shared" si="21"/>
        <v>0.54932950232950162</v>
      </c>
    </row>
    <row r="159" spans="16:19" x14ac:dyDescent="0.25">
      <c r="P159" s="11">
        <f t="shared" si="22"/>
        <v>1.5500000000000012</v>
      </c>
      <c r="Q159" s="11">
        <f t="shared" si="23"/>
        <v>-0.55000000000000104</v>
      </c>
      <c r="R159" s="11">
        <f t="shared" si="20"/>
        <v>-7.3185392828859479E-3</v>
      </c>
      <c r="S159" s="11">
        <f t="shared" si="21"/>
        <v>0.55927758305177144</v>
      </c>
    </row>
    <row r="160" spans="16:19" x14ac:dyDescent="0.25">
      <c r="P160" s="11">
        <f t="shared" si="22"/>
        <v>1.5600000000000012</v>
      </c>
      <c r="Q160" s="11">
        <f t="shared" si="23"/>
        <v>-0.56000000000000105</v>
      </c>
      <c r="R160" s="11">
        <f t="shared" si="20"/>
        <v>-7.3591503082141184E-3</v>
      </c>
      <c r="S160" s="11">
        <f t="shared" si="21"/>
        <v>0.56922821333326601</v>
      </c>
    </row>
    <row r="161" spans="16:19" x14ac:dyDescent="0.25">
      <c r="P161" s="11">
        <f t="shared" si="22"/>
        <v>1.5700000000000012</v>
      </c>
      <c r="Q161" s="11">
        <f t="shared" si="23"/>
        <v>-0.57000000000000106</v>
      </c>
      <c r="R161" s="11">
        <f t="shared" si="20"/>
        <v>-7.3997613335422879E-3</v>
      </c>
      <c r="S161" s="11">
        <f t="shared" si="21"/>
        <v>0.57918126176580642</v>
      </c>
    </row>
    <row r="162" spans="16:19" x14ac:dyDescent="0.25">
      <c r="P162" s="11">
        <f t="shared" si="22"/>
        <v>1.5800000000000012</v>
      </c>
      <c r="Q162" s="11">
        <f t="shared" si="23"/>
        <v>-0.58000000000000107</v>
      </c>
      <c r="R162" s="11">
        <f t="shared" si="20"/>
        <v>-7.4403723588704566E-3</v>
      </c>
      <c r="S162" s="11">
        <f t="shared" si="21"/>
        <v>0.58913660579052396</v>
      </c>
    </row>
    <row r="163" spans="16:19" x14ac:dyDescent="0.25">
      <c r="P163" s="11">
        <f t="shared" si="22"/>
        <v>1.5900000000000012</v>
      </c>
      <c r="Q163" s="11">
        <f t="shared" si="23"/>
        <v>-0.59000000000000108</v>
      </c>
      <c r="R163" s="11">
        <f t="shared" si="20"/>
        <v>-7.4809833841986279E-3</v>
      </c>
      <c r="S163" s="11">
        <f t="shared" si="21"/>
        <v>0.59909413096760089</v>
      </c>
    </row>
    <row r="164" spans="16:19" x14ac:dyDescent="0.25">
      <c r="P164" s="11">
        <f t="shared" si="22"/>
        <v>1.6000000000000012</v>
      </c>
      <c r="Q164" s="11">
        <f t="shared" si="23"/>
        <v>-0.60000000000000109</v>
      </c>
      <c r="R164" s="11">
        <f t="shared" si="20"/>
        <v>-7.5215944095267965E-3</v>
      </c>
      <c r="S164" s="11">
        <f t="shared" si="21"/>
        <v>0.60905373031693089</v>
      </c>
    </row>
    <row r="165" spans="16:19" x14ac:dyDescent="0.25">
      <c r="P165" s="11">
        <f t="shared" si="22"/>
        <v>1.6100000000000012</v>
      </c>
      <c r="Q165" s="11">
        <f t="shared" si="23"/>
        <v>-0.6100000000000011</v>
      </c>
      <c r="R165" s="11">
        <f t="shared" si="20"/>
        <v>-7.5622054348549661E-3</v>
      </c>
      <c r="S165" s="11">
        <f t="shared" si="21"/>
        <v>0.6190153037218149</v>
      </c>
    </row>
    <row r="166" spans="16:19" x14ac:dyDescent="0.25">
      <c r="P166" s="11">
        <f t="shared" si="22"/>
        <v>1.6200000000000012</v>
      </c>
      <c r="Q166" s="11">
        <f t="shared" si="23"/>
        <v>-0.62000000000000111</v>
      </c>
      <c r="R166" s="11">
        <f t="shared" si="20"/>
        <v>-7.6028164601831365E-3</v>
      </c>
      <c r="S166" s="11">
        <f t="shared" si="21"/>
        <v>0.62897875738879361</v>
      </c>
    </row>
    <row r="167" spans="16:19" x14ac:dyDescent="0.25">
      <c r="P167" s="11">
        <f t="shared" si="22"/>
        <v>1.6300000000000012</v>
      </c>
      <c r="Q167" s="11">
        <f t="shared" si="23"/>
        <v>-0.63000000000000111</v>
      </c>
      <c r="R167" s="11">
        <f t="shared" si="20"/>
        <v>-7.643427485511306E-3</v>
      </c>
      <c r="S167" s="11">
        <f t="shared" si="21"/>
        <v>0.63894400335756296</v>
      </c>
    </row>
    <row r="168" spans="16:19" x14ac:dyDescent="0.25">
      <c r="P168" s="11">
        <f t="shared" si="22"/>
        <v>1.6400000000000012</v>
      </c>
      <c r="Q168" s="11">
        <f t="shared" si="23"/>
        <v>-0.64000000000000112</v>
      </c>
      <c r="R168" s="11">
        <f t="shared" si="20"/>
        <v>-7.6840385108394764E-3</v>
      </c>
      <c r="S168" s="11">
        <f t="shared" si="21"/>
        <v>0.64891095905565188</v>
      </c>
    </row>
    <row r="169" spans="16:19" x14ac:dyDescent="0.25">
      <c r="P169" s="11">
        <f t="shared" si="22"/>
        <v>1.6500000000000012</v>
      </c>
      <c r="Q169" s="11">
        <f t="shared" si="23"/>
        <v>-0.65000000000000113</v>
      </c>
      <c r="R169" s="11">
        <f t="shared" si="20"/>
        <v>-7.724649536167646E-3</v>
      </c>
      <c r="S169" s="11">
        <f t="shared" si="21"/>
        <v>0.65887954689317874</v>
      </c>
    </row>
    <row r="170" spans="16:19" x14ac:dyDescent="0.25">
      <c r="P170" s="11">
        <f t="shared" si="22"/>
        <v>1.6600000000000013</v>
      </c>
      <c r="Q170" s="11">
        <f t="shared" si="23"/>
        <v>-0.66000000000000114</v>
      </c>
      <c r="R170" s="11">
        <f t="shared" si="20"/>
        <v>-7.7652605614958146E-3</v>
      </c>
      <c r="S170" s="11">
        <f t="shared" si="21"/>
        <v>0.66884969389354842</v>
      </c>
    </row>
    <row r="171" spans="16:19" x14ac:dyDescent="0.25">
      <c r="P171" s="11">
        <f t="shared" si="22"/>
        <v>1.6700000000000013</v>
      </c>
      <c r="Q171" s="11">
        <f t="shared" si="23"/>
        <v>-0.67000000000000115</v>
      </c>
      <c r="R171" s="11">
        <f t="shared" si="20"/>
        <v>-7.8058715868239859E-3</v>
      </c>
      <c r="S171" s="11">
        <f t="shared" si="21"/>
        <v>0.67882133135643608</v>
      </c>
    </row>
    <row r="172" spans="16:19" x14ac:dyDescent="0.25">
      <c r="P172" s="11">
        <f t="shared" si="22"/>
        <v>1.6800000000000013</v>
      </c>
      <c r="Q172" s="11">
        <f t="shared" si="23"/>
        <v>-0.68000000000000116</v>
      </c>
      <c r="R172" s="11">
        <f t="shared" si="20"/>
        <v>-7.8464826121521555E-3</v>
      </c>
      <c r="S172" s="11">
        <f t="shared" si="21"/>
        <v>0.68879439454982039</v>
      </c>
    </row>
    <row r="173" spans="16:19" x14ac:dyDescent="0.25">
      <c r="P173" s="11">
        <f t="shared" si="22"/>
        <v>1.6900000000000013</v>
      </c>
      <c r="Q173" s="11">
        <f t="shared" si="23"/>
        <v>-0.69000000000000117</v>
      </c>
      <c r="R173" s="11">
        <f t="shared" si="20"/>
        <v>-7.8870936374803233E-3</v>
      </c>
      <c r="S173" s="11">
        <f t="shared" si="21"/>
        <v>0.69876882242819116</v>
      </c>
    </row>
    <row r="174" spans="16:19" x14ac:dyDescent="0.25">
      <c r="P174" s="11">
        <f t="shared" si="22"/>
        <v>1.7000000000000013</v>
      </c>
      <c r="Q174" s="11">
        <f t="shared" si="23"/>
        <v>-0.70000000000000118</v>
      </c>
      <c r="R174" s="11">
        <f t="shared" si="20"/>
        <v>-7.9277046628084945E-3</v>
      </c>
      <c r="S174" s="11">
        <f t="shared" si="21"/>
        <v>0.70874455737438047</v>
      </c>
    </row>
    <row r="175" spans="16:19" x14ac:dyDescent="0.25">
      <c r="P175" s="11">
        <f t="shared" si="22"/>
        <v>1.7100000000000013</v>
      </c>
      <c r="Q175" s="11">
        <f t="shared" si="23"/>
        <v>-0.71000000000000119</v>
      </c>
      <c r="R175" s="11">
        <f t="shared" si="20"/>
        <v>-7.9683156881366641E-3</v>
      </c>
      <c r="S175" s="11">
        <f t="shared" si="21"/>
        <v>0.71872154496274154</v>
      </c>
    </row>
    <row r="176" spans="16:19" x14ac:dyDescent="0.25">
      <c r="P176" s="11">
        <f t="shared" si="22"/>
        <v>1.7200000000000013</v>
      </c>
      <c r="Q176" s="11">
        <f t="shared" si="23"/>
        <v>-0.72000000000000119</v>
      </c>
      <c r="R176" s="11">
        <f t="shared" si="20"/>
        <v>-8.0089267134648336E-3</v>
      </c>
      <c r="S176" s="11">
        <f t="shared" si="21"/>
        <v>0.7286997337416502</v>
      </c>
    </row>
    <row r="177" spans="16:19" x14ac:dyDescent="0.25">
      <c r="P177" s="11">
        <f t="shared" si="22"/>
        <v>1.7300000000000013</v>
      </c>
      <c r="Q177" s="11">
        <f t="shared" si="23"/>
        <v>-0.7300000000000012</v>
      </c>
      <c r="R177" s="11">
        <f t="shared" si="20"/>
        <v>-8.0495377387930032E-3</v>
      </c>
      <c r="S177" s="11">
        <f t="shared" si="21"/>
        <v>0.73867907503351671</v>
      </c>
    </row>
    <row r="178" spans="16:19" x14ac:dyDescent="0.25">
      <c r="P178" s="11">
        <f t="shared" si="22"/>
        <v>1.7400000000000013</v>
      </c>
      <c r="Q178" s="11">
        <f t="shared" si="23"/>
        <v>-0.74000000000000121</v>
      </c>
      <c r="R178" s="11">
        <f t="shared" si="20"/>
        <v>-8.0901487641211727E-3</v>
      </c>
      <c r="S178" s="11">
        <f t="shared" si="21"/>
        <v>0.74865952275068937</v>
      </c>
    </row>
    <row r="179" spans="16:19" x14ac:dyDescent="0.25">
      <c r="P179" s="11">
        <f t="shared" si="22"/>
        <v>1.7500000000000013</v>
      </c>
      <c r="Q179" s="11">
        <f t="shared" si="23"/>
        <v>-0.75000000000000122</v>
      </c>
      <c r="R179" s="11">
        <f t="shared" si="20"/>
        <v>-8.130759789449344E-3</v>
      </c>
      <c r="S179" s="11">
        <f t="shared" si="21"/>
        <v>0.75864103322579801</v>
      </c>
    </row>
    <row r="180" spans="16:19" x14ac:dyDescent="0.25">
      <c r="P180" s="11">
        <f t="shared" si="22"/>
        <v>1.7600000000000013</v>
      </c>
      <c r="Q180" s="11">
        <f t="shared" si="23"/>
        <v>-0.76000000000000123</v>
      </c>
      <c r="R180" s="11">
        <f t="shared" si="20"/>
        <v>-8.1713708147775135E-3</v>
      </c>
      <c r="S180" s="11">
        <f t="shared" si="21"/>
        <v>0.76862356505523621</v>
      </c>
    </row>
    <row r="181" spans="16:19" x14ac:dyDescent="0.25">
      <c r="P181" s="11">
        <f t="shared" si="22"/>
        <v>1.7700000000000014</v>
      </c>
      <c r="Q181" s="11">
        <f t="shared" si="23"/>
        <v>-0.77000000000000124</v>
      </c>
      <c r="R181" s="11">
        <f t="shared" si="20"/>
        <v>-8.2119818401056813E-3</v>
      </c>
      <c r="S181" s="11">
        <f t="shared" si="21"/>
        <v>0.77860707895461201</v>
      </c>
    </row>
    <row r="182" spans="16:19" x14ac:dyDescent="0.25">
      <c r="P182" s="11">
        <f t="shared" si="22"/>
        <v>1.7800000000000014</v>
      </c>
      <c r="Q182" s="11">
        <f t="shared" si="23"/>
        <v>-0.78000000000000125</v>
      </c>
      <c r="R182" s="11">
        <f t="shared" si="20"/>
        <v>-8.2525928654338526E-3</v>
      </c>
      <c r="S182" s="11">
        <f t="shared" si="21"/>
        <v>0.78859153762511569</v>
      </c>
    </row>
  </sheetData>
  <mergeCells count="1">
    <mergeCell ref="D2:S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60"/>
  <sheetViews>
    <sheetView tabSelected="1" workbookViewId="0">
      <pane ySplit="2" topLeftCell="A3" activePane="bottomLeft" state="frozen"/>
      <selection pane="bottomLeft" activeCell="D16" sqref="D16"/>
    </sheetView>
  </sheetViews>
  <sheetFormatPr defaultRowHeight="15" x14ac:dyDescent="0.25"/>
  <cols>
    <col min="1" max="1" width="10.42578125" style="1" bestFit="1" customWidth="1"/>
    <col min="2" max="2" width="9.140625" style="1"/>
    <col min="3" max="3" width="15.85546875" customWidth="1"/>
    <col min="4" max="5" width="14.5703125" customWidth="1"/>
    <col min="6" max="6" width="12.5703125" bestFit="1" customWidth="1"/>
    <col min="7" max="7" width="16.28515625" bestFit="1" customWidth="1"/>
  </cols>
  <sheetData>
    <row r="1" spans="1:7" s="2" customFormat="1" x14ac:dyDescent="0.25">
      <c r="A1" s="2" t="s">
        <v>1</v>
      </c>
    </row>
    <row r="2" spans="1:7" s="2" customFormat="1" x14ac:dyDescent="0.25">
      <c r="A2" s="23" t="s">
        <v>2</v>
      </c>
      <c r="B2" s="23" t="s">
        <v>3</v>
      </c>
      <c r="C2" s="23" t="s">
        <v>29</v>
      </c>
      <c r="D2" s="23" t="s">
        <v>30</v>
      </c>
      <c r="E2" s="23" t="s">
        <v>36</v>
      </c>
      <c r="F2" s="23" t="s">
        <v>31</v>
      </c>
      <c r="G2" s="23" t="s">
        <v>32</v>
      </c>
    </row>
    <row r="3" spans="1:7" x14ac:dyDescent="0.25">
      <c r="A3" s="24">
        <v>42793</v>
      </c>
      <c r="B3" s="25">
        <v>237.11000100000001</v>
      </c>
      <c r="C3" s="11"/>
      <c r="D3" s="11"/>
      <c r="E3" s="25">
        <v>237.11000100000001</v>
      </c>
      <c r="F3" s="11"/>
      <c r="G3" s="11"/>
    </row>
    <row r="4" spans="1:7" x14ac:dyDescent="0.25">
      <c r="A4" s="24">
        <v>42790</v>
      </c>
      <c r="B4" s="25">
        <v>236.740005</v>
      </c>
      <c r="C4" s="11"/>
      <c r="D4" s="11"/>
      <c r="E4" s="25">
        <v>236.740005</v>
      </c>
      <c r="F4" s="11"/>
      <c r="G4" s="11"/>
    </row>
    <row r="5" spans="1:7" x14ac:dyDescent="0.25">
      <c r="A5" s="24">
        <v>42789</v>
      </c>
      <c r="B5" s="25">
        <v>236.44000199999999</v>
      </c>
      <c r="C5" s="11"/>
      <c r="D5" s="11"/>
      <c r="E5" s="25">
        <v>236.44000199999999</v>
      </c>
      <c r="F5" s="11"/>
      <c r="G5" s="11"/>
    </row>
    <row r="6" spans="1:7" x14ac:dyDescent="0.25">
      <c r="A6" s="24">
        <v>42788</v>
      </c>
      <c r="B6" s="25">
        <v>236.279999</v>
      </c>
      <c r="C6" s="11"/>
      <c r="D6" s="11"/>
      <c r="E6" s="25">
        <v>236.279999</v>
      </c>
      <c r="F6" s="11"/>
      <c r="G6" s="11"/>
    </row>
    <row r="7" spans="1:7" x14ac:dyDescent="0.25">
      <c r="A7" s="24">
        <v>42787</v>
      </c>
      <c r="B7" s="25">
        <v>236.490005</v>
      </c>
      <c r="C7" s="11"/>
      <c r="D7" s="11"/>
      <c r="E7" s="25">
        <v>236.490005</v>
      </c>
      <c r="F7" s="11"/>
      <c r="G7" s="11"/>
    </row>
    <row r="8" spans="1:7" x14ac:dyDescent="0.25">
      <c r="A8" s="24">
        <v>42783</v>
      </c>
      <c r="B8" s="25">
        <v>235.08999600000001</v>
      </c>
      <c r="C8" s="11"/>
      <c r="D8" s="11"/>
      <c r="E8" s="25">
        <v>235.08999600000001</v>
      </c>
      <c r="F8" s="11"/>
      <c r="G8" s="11"/>
    </row>
    <row r="9" spans="1:7" x14ac:dyDescent="0.25">
      <c r="A9" s="24">
        <v>42782</v>
      </c>
      <c r="B9" s="25">
        <v>234.720001</v>
      </c>
      <c r="C9" s="11"/>
      <c r="D9" s="11"/>
      <c r="E9" s="25">
        <v>234.720001</v>
      </c>
      <c r="F9" s="11"/>
      <c r="G9" s="11"/>
    </row>
    <row r="10" spans="1:7" x14ac:dyDescent="0.25">
      <c r="A10" s="24">
        <v>42781</v>
      </c>
      <c r="B10" s="25">
        <v>234.91999799999999</v>
      </c>
      <c r="C10" s="11"/>
      <c r="D10" s="11"/>
      <c r="E10" s="25">
        <v>234.91999799999999</v>
      </c>
      <c r="F10" s="11"/>
      <c r="G10" s="11"/>
    </row>
    <row r="11" spans="1:7" x14ac:dyDescent="0.25">
      <c r="A11" s="24">
        <v>42780</v>
      </c>
      <c r="B11" s="25">
        <v>233.699997</v>
      </c>
      <c r="C11" s="11"/>
      <c r="D11" s="11"/>
      <c r="E11" s="25">
        <v>233.699997</v>
      </c>
      <c r="F11" s="11"/>
      <c r="G11" s="11"/>
    </row>
    <row r="12" spans="1:7" x14ac:dyDescent="0.25">
      <c r="A12" s="24">
        <v>42779</v>
      </c>
      <c r="B12" s="25">
        <v>232.770004</v>
      </c>
      <c r="C12" s="11"/>
      <c r="D12" s="11"/>
      <c r="E12" s="25">
        <v>232.770004</v>
      </c>
      <c r="F12" s="11"/>
      <c r="G12" s="11"/>
    </row>
    <row r="13" spans="1:7" x14ac:dyDescent="0.25">
      <c r="A13" s="24">
        <v>42776</v>
      </c>
      <c r="B13" s="25">
        <v>231.509995</v>
      </c>
      <c r="C13" s="11"/>
      <c r="D13" s="11"/>
      <c r="E13" s="25">
        <v>231.509995</v>
      </c>
      <c r="F13" s="11"/>
      <c r="G13" s="11"/>
    </row>
    <row r="14" spans="1:7" x14ac:dyDescent="0.25">
      <c r="A14" s="24">
        <v>42775</v>
      </c>
      <c r="B14" s="25">
        <v>230.60000600000001</v>
      </c>
      <c r="C14" s="11"/>
      <c r="D14" s="11"/>
      <c r="E14" s="25">
        <v>230.60000600000001</v>
      </c>
      <c r="F14" s="11"/>
      <c r="G14" s="11"/>
    </row>
    <row r="15" spans="1:7" x14ac:dyDescent="0.25">
      <c r="A15" s="24">
        <v>42774</v>
      </c>
      <c r="B15" s="25">
        <v>229.240005</v>
      </c>
      <c r="C15" s="11"/>
      <c r="D15" s="11"/>
      <c r="E15" s="25">
        <v>229.240005</v>
      </c>
      <c r="F15" s="11"/>
      <c r="G15" s="11"/>
    </row>
    <row r="16" spans="1:7" x14ac:dyDescent="0.25">
      <c r="A16" s="24">
        <v>42773</v>
      </c>
      <c r="B16" s="25">
        <v>228.94000199999999</v>
      </c>
      <c r="C16" s="11"/>
      <c r="D16" s="11"/>
      <c r="E16" s="25">
        <v>228.94000199999999</v>
      </c>
      <c r="F16" s="11"/>
      <c r="G16" s="11"/>
    </row>
    <row r="17" spans="1:7" x14ac:dyDescent="0.25">
      <c r="A17" s="24">
        <v>42772</v>
      </c>
      <c r="B17" s="25">
        <v>228.929993</v>
      </c>
      <c r="C17" s="11"/>
      <c r="D17" s="11"/>
      <c r="E17" s="25">
        <v>228.929993</v>
      </c>
      <c r="F17" s="11"/>
      <c r="G17" s="11"/>
    </row>
    <row r="18" spans="1:7" x14ac:dyDescent="0.25">
      <c r="A18" s="24">
        <v>42769</v>
      </c>
      <c r="B18" s="25">
        <v>229.33999600000001</v>
      </c>
      <c r="C18" s="11"/>
      <c r="D18" s="11"/>
      <c r="E18" s="25">
        <v>229.33999600000001</v>
      </c>
      <c r="F18" s="11"/>
      <c r="G18" s="11"/>
    </row>
    <row r="19" spans="1:7" x14ac:dyDescent="0.25">
      <c r="A19" s="24">
        <v>42768</v>
      </c>
      <c r="B19" s="25">
        <v>227.770004</v>
      </c>
      <c r="C19" s="11">
        <f>AVERAGE(B3:B18)</f>
        <v>233.3012503125</v>
      </c>
      <c r="D19" s="11">
        <f>_xlfn.STDEV.S(B3:B18)</f>
        <v>3.1018000282390381</v>
      </c>
      <c r="E19" s="25">
        <v>227.770004</v>
      </c>
      <c r="F19" s="11">
        <f>B19+2*D19</f>
        <v>233.97360405647808</v>
      </c>
      <c r="G19" s="11">
        <f>B19-2*D19</f>
        <v>221.56640394352192</v>
      </c>
    </row>
    <row r="20" spans="1:7" x14ac:dyDescent="0.25">
      <c r="A20" s="24">
        <v>42767</v>
      </c>
      <c r="B20" s="25">
        <v>227.61999499999999</v>
      </c>
      <c r="C20" s="11">
        <f t="shared" ref="C20:C83" si="0">AVERAGE(B4:B19)</f>
        <v>232.71750050000003</v>
      </c>
      <c r="D20" s="11">
        <f t="shared" ref="D20:D83" si="1">_xlfn.STDEV.S(B4:B19)</f>
        <v>3.2140663102500748</v>
      </c>
      <c r="E20" s="25">
        <v>227.61999499999999</v>
      </c>
      <c r="F20" s="11">
        <f t="shared" ref="F20:F83" si="2">B20+2*D20</f>
        <v>234.04812762050014</v>
      </c>
      <c r="G20" s="11">
        <f t="shared" ref="G20:G83" si="3">B20-2*D20</f>
        <v>221.19186237949984</v>
      </c>
    </row>
    <row r="21" spans="1:7" x14ac:dyDescent="0.25">
      <c r="A21" s="24">
        <v>42766</v>
      </c>
      <c r="B21" s="25">
        <v>227.529999</v>
      </c>
      <c r="C21" s="11">
        <f t="shared" si="0"/>
        <v>232.14749987500002</v>
      </c>
      <c r="D21" s="11">
        <f t="shared" si="1"/>
        <v>3.261481689562499</v>
      </c>
      <c r="E21" s="25">
        <v>227.529999</v>
      </c>
      <c r="F21" s="11">
        <f t="shared" si="2"/>
        <v>234.05296237912501</v>
      </c>
      <c r="G21" s="11">
        <f t="shared" si="3"/>
        <v>221.007035620875</v>
      </c>
    </row>
    <row r="22" spans="1:7" x14ac:dyDescent="0.25">
      <c r="A22" s="24">
        <v>42765</v>
      </c>
      <c r="B22" s="25">
        <v>227.550003</v>
      </c>
      <c r="C22" s="11">
        <f t="shared" si="0"/>
        <v>231.59062468750002</v>
      </c>
      <c r="D22" s="11">
        <f t="shared" si="1"/>
        <v>3.2402975420632543</v>
      </c>
      <c r="E22" s="25">
        <v>227.550003</v>
      </c>
      <c r="F22" s="11">
        <f t="shared" si="2"/>
        <v>234.03059808412652</v>
      </c>
      <c r="G22" s="11">
        <f t="shared" si="3"/>
        <v>221.06940791587348</v>
      </c>
    </row>
    <row r="23" spans="1:7" x14ac:dyDescent="0.25">
      <c r="A23" s="24">
        <v>42762</v>
      </c>
      <c r="B23" s="25">
        <v>228.970001</v>
      </c>
      <c r="C23" s="11">
        <f t="shared" si="0"/>
        <v>231.04499993749999</v>
      </c>
      <c r="D23" s="11">
        <f t="shared" si="1"/>
        <v>3.1311979891651367</v>
      </c>
      <c r="E23" s="25">
        <v>228.970001</v>
      </c>
      <c r="F23" s="11">
        <f t="shared" si="2"/>
        <v>235.23239697833026</v>
      </c>
      <c r="G23" s="11">
        <f t="shared" si="3"/>
        <v>222.70760502166974</v>
      </c>
    </row>
    <row r="24" spans="1:7" x14ac:dyDescent="0.25">
      <c r="A24" s="24">
        <v>42761</v>
      </c>
      <c r="B24" s="25">
        <v>229.33000200000001</v>
      </c>
      <c r="C24" s="11">
        <f t="shared" si="0"/>
        <v>230.57499968750002</v>
      </c>
      <c r="D24" s="11">
        <f t="shared" si="1"/>
        <v>2.8070049211481796</v>
      </c>
      <c r="E24" s="25">
        <v>229.33000200000001</v>
      </c>
      <c r="F24" s="11">
        <f t="shared" si="2"/>
        <v>234.94401184229636</v>
      </c>
      <c r="G24" s="11">
        <f t="shared" si="3"/>
        <v>223.71599215770365</v>
      </c>
    </row>
    <row r="25" spans="1:7" x14ac:dyDescent="0.25">
      <c r="A25" s="24">
        <v>42760</v>
      </c>
      <c r="B25" s="25">
        <v>229.570007</v>
      </c>
      <c r="C25" s="11">
        <f t="shared" si="0"/>
        <v>230.21500006250002</v>
      </c>
      <c r="D25" s="11">
        <f t="shared" si="1"/>
        <v>2.5466367529251968</v>
      </c>
      <c r="E25" s="25">
        <v>229.570007</v>
      </c>
      <c r="F25" s="11">
        <f t="shared" si="2"/>
        <v>234.66328050585039</v>
      </c>
      <c r="G25" s="11">
        <f t="shared" si="3"/>
        <v>224.47673349414961</v>
      </c>
    </row>
    <row r="26" spans="1:7" x14ac:dyDescent="0.25">
      <c r="A26" s="24">
        <v>42759</v>
      </c>
      <c r="B26" s="25">
        <v>227.60000600000001</v>
      </c>
      <c r="C26" s="11">
        <f t="shared" si="0"/>
        <v>229.8931254375</v>
      </c>
      <c r="D26" s="11">
        <f t="shared" si="1"/>
        <v>2.2471272250963135</v>
      </c>
      <c r="E26" s="25">
        <v>227.60000600000001</v>
      </c>
      <c r="F26" s="11">
        <f t="shared" si="2"/>
        <v>232.09426045019262</v>
      </c>
      <c r="G26" s="11">
        <f t="shared" si="3"/>
        <v>223.10575154980739</v>
      </c>
    </row>
    <row r="27" spans="1:7" x14ac:dyDescent="0.25">
      <c r="A27" s="24">
        <v>42758</v>
      </c>
      <c r="B27" s="25">
        <v>226.14999399999999</v>
      </c>
      <c r="C27" s="11">
        <f t="shared" si="0"/>
        <v>229.43562593749999</v>
      </c>
      <c r="D27" s="11">
        <f t="shared" si="1"/>
        <v>1.8687565884219544</v>
      </c>
      <c r="E27" s="25">
        <v>226.14999399999999</v>
      </c>
      <c r="F27" s="11">
        <f t="shared" si="2"/>
        <v>229.88750717684391</v>
      </c>
      <c r="G27" s="11">
        <f t="shared" si="3"/>
        <v>222.41248082315607</v>
      </c>
    </row>
    <row r="28" spans="1:7" x14ac:dyDescent="0.25">
      <c r="A28" s="24">
        <v>42755</v>
      </c>
      <c r="B28" s="25">
        <v>226.740005</v>
      </c>
      <c r="C28" s="11">
        <f t="shared" si="0"/>
        <v>228.96375074999997</v>
      </c>
      <c r="D28" s="11">
        <f t="shared" si="1"/>
        <v>1.6619591930477533</v>
      </c>
      <c r="E28" s="25">
        <v>226.740005</v>
      </c>
      <c r="F28" s="11">
        <f t="shared" si="2"/>
        <v>230.0639233860955</v>
      </c>
      <c r="G28" s="11">
        <f t="shared" si="3"/>
        <v>223.4160866139045</v>
      </c>
    </row>
    <row r="29" spans="1:7" x14ac:dyDescent="0.25">
      <c r="A29" s="24">
        <v>42754</v>
      </c>
      <c r="B29" s="25">
        <v>225.91000399999999</v>
      </c>
      <c r="C29" s="11">
        <f t="shared" si="0"/>
        <v>228.58687581249998</v>
      </c>
      <c r="D29" s="11">
        <f t="shared" si="1"/>
        <v>1.4051465226468152</v>
      </c>
      <c r="E29" s="25">
        <v>225.91000399999999</v>
      </c>
      <c r="F29" s="11">
        <f t="shared" si="2"/>
        <v>228.72029704529362</v>
      </c>
      <c r="G29" s="11">
        <f t="shared" si="3"/>
        <v>223.09971095470635</v>
      </c>
    </row>
    <row r="30" spans="1:7" x14ac:dyDescent="0.25">
      <c r="A30" s="24">
        <v>42753</v>
      </c>
      <c r="B30" s="25">
        <v>226.75</v>
      </c>
      <c r="C30" s="11">
        <f t="shared" si="0"/>
        <v>228.23687637500001</v>
      </c>
      <c r="D30" s="11">
        <f t="shared" si="1"/>
        <v>1.3235702844407347</v>
      </c>
      <c r="E30" s="25">
        <v>226.75</v>
      </c>
      <c r="F30" s="11">
        <f t="shared" si="2"/>
        <v>229.39714056888147</v>
      </c>
      <c r="G30" s="11">
        <f t="shared" si="3"/>
        <v>224.10285943111853</v>
      </c>
    </row>
    <row r="31" spans="1:7" x14ac:dyDescent="0.25">
      <c r="A31" s="24">
        <v>42752</v>
      </c>
      <c r="B31" s="25">
        <v>226.25</v>
      </c>
      <c r="C31" s="11">
        <f t="shared" si="0"/>
        <v>227.996251</v>
      </c>
      <c r="D31" s="11">
        <f t="shared" si="1"/>
        <v>1.2104430335018144</v>
      </c>
      <c r="E31" s="25">
        <v>226.25</v>
      </c>
      <c r="F31" s="11">
        <f t="shared" si="2"/>
        <v>228.67088606700364</v>
      </c>
      <c r="G31" s="11">
        <f t="shared" si="3"/>
        <v>223.82911393299636</v>
      </c>
    </row>
    <row r="32" spans="1:7" x14ac:dyDescent="0.25">
      <c r="A32" s="24">
        <v>42748</v>
      </c>
      <c r="B32" s="25">
        <v>227.050003</v>
      </c>
      <c r="C32" s="11">
        <f t="shared" si="0"/>
        <v>227.80937568749999</v>
      </c>
      <c r="D32" s="11">
        <f t="shared" si="1"/>
        <v>1.236157904800989</v>
      </c>
      <c r="E32" s="25">
        <v>227.050003</v>
      </c>
      <c r="F32" s="11">
        <f t="shared" si="2"/>
        <v>229.52231880960198</v>
      </c>
      <c r="G32" s="11">
        <f t="shared" si="3"/>
        <v>224.57768719039802</v>
      </c>
    </row>
    <row r="33" spans="1:7" x14ac:dyDescent="0.25">
      <c r="A33" s="24">
        <v>42747</v>
      </c>
      <c r="B33" s="25">
        <v>226.529999</v>
      </c>
      <c r="C33" s="11">
        <f t="shared" si="0"/>
        <v>227.69125074999997</v>
      </c>
      <c r="D33" s="11">
        <f t="shared" si="1"/>
        <v>1.210960238551295</v>
      </c>
      <c r="E33" s="25">
        <v>226.529999</v>
      </c>
      <c r="F33" s="11">
        <f t="shared" si="2"/>
        <v>228.95191947710259</v>
      </c>
      <c r="G33" s="11">
        <f t="shared" si="3"/>
        <v>224.10807852289742</v>
      </c>
    </row>
    <row r="34" spans="1:7" x14ac:dyDescent="0.25">
      <c r="A34" s="24">
        <v>42746</v>
      </c>
      <c r="B34" s="25">
        <v>227.10000600000001</v>
      </c>
      <c r="C34" s="11">
        <f t="shared" si="0"/>
        <v>227.54125112499997</v>
      </c>
      <c r="D34" s="11">
        <f t="shared" si="1"/>
        <v>1.1958371002558248</v>
      </c>
      <c r="E34" s="25">
        <v>227.10000600000001</v>
      </c>
      <c r="F34" s="11">
        <f t="shared" si="2"/>
        <v>229.49168020051167</v>
      </c>
      <c r="G34" s="11">
        <f t="shared" si="3"/>
        <v>224.70833179948835</v>
      </c>
    </row>
    <row r="35" spans="1:7" x14ac:dyDescent="0.25">
      <c r="A35" s="24">
        <v>42745</v>
      </c>
      <c r="B35" s="25">
        <v>226.46000699999999</v>
      </c>
      <c r="C35" s="11">
        <f t="shared" si="0"/>
        <v>227.40125174999997</v>
      </c>
      <c r="D35" s="11">
        <f t="shared" si="1"/>
        <v>1.0983627964752838</v>
      </c>
      <c r="E35" s="25">
        <v>226.46000699999999</v>
      </c>
      <c r="F35" s="11">
        <f t="shared" si="2"/>
        <v>228.65673259295056</v>
      </c>
      <c r="G35" s="11">
        <f t="shared" si="3"/>
        <v>224.26328140704942</v>
      </c>
    </row>
    <row r="36" spans="1:7" x14ac:dyDescent="0.25">
      <c r="A36" s="24">
        <v>42744</v>
      </c>
      <c r="B36" s="25">
        <v>226.46000699999999</v>
      </c>
      <c r="C36" s="11">
        <f t="shared" si="0"/>
        <v>227.31937693749998</v>
      </c>
      <c r="D36" s="11">
        <f t="shared" si="1"/>
        <v>1.1176976391668436</v>
      </c>
      <c r="E36" s="25">
        <v>226.46000699999999</v>
      </c>
      <c r="F36" s="11">
        <f t="shared" si="2"/>
        <v>228.69540227833369</v>
      </c>
      <c r="G36" s="11">
        <f t="shared" si="3"/>
        <v>224.22461172166629</v>
      </c>
    </row>
    <row r="37" spans="1:7" x14ac:dyDescent="0.25">
      <c r="A37" s="24">
        <v>42741</v>
      </c>
      <c r="B37" s="25">
        <v>227.21000699999999</v>
      </c>
      <c r="C37" s="11">
        <f t="shared" si="0"/>
        <v>227.24687768749999</v>
      </c>
      <c r="D37" s="11">
        <f t="shared" si="1"/>
        <v>1.1343946226646047</v>
      </c>
      <c r="E37" s="25">
        <v>227.21000699999999</v>
      </c>
      <c r="F37" s="11">
        <f t="shared" si="2"/>
        <v>229.47879624532919</v>
      </c>
      <c r="G37" s="11">
        <f t="shared" si="3"/>
        <v>224.94121775467079</v>
      </c>
    </row>
    <row r="38" spans="1:7" x14ac:dyDescent="0.25">
      <c r="A38" s="24">
        <v>42740</v>
      </c>
      <c r="B38" s="25">
        <v>226.39999399999999</v>
      </c>
      <c r="C38" s="11">
        <f t="shared" si="0"/>
        <v>227.22687818750001</v>
      </c>
      <c r="D38" s="11">
        <f t="shared" si="1"/>
        <v>1.1318883775636934</v>
      </c>
      <c r="E38" s="25">
        <v>226.39999399999999</v>
      </c>
      <c r="F38" s="11">
        <f t="shared" si="2"/>
        <v>228.66377075512739</v>
      </c>
      <c r="G38" s="11">
        <f t="shared" si="3"/>
        <v>224.1362172448726</v>
      </c>
    </row>
    <row r="39" spans="1:7" x14ac:dyDescent="0.25">
      <c r="A39" s="24">
        <v>42739</v>
      </c>
      <c r="B39" s="25">
        <v>226.58000200000001</v>
      </c>
      <c r="C39" s="11">
        <f t="shared" si="0"/>
        <v>227.15500262500004</v>
      </c>
      <c r="D39" s="11">
        <f t="shared" si="1"/>
        <v>1.1464216722854315</v>
      </c>
      <c r="E39" s="25">
        <v>226.58000200000001</v>
      </c>
      <c r="F39" s="11">
        <f t="shared" si="2"/>
        <v>228.87284534457086</v>
      </c>
      <c r="G39" s="11">
        <f t="shared" si="3"/>
        <v>224.28715865542915</v>
      </c>
    </row>
    <row r="40" spans="1:7" x14ac:dyDescent="0.25">
      <c r="A40" s="24">
        <v>42738</v>
      </c>
      <c r="B40" s="25">
        <v>225.240005</v>
      </c>
      <c r="C40" s="11">
        <f t="shared" si="0"/>
        <v>227.00562768750004</v>
      </c>
      <c r="D40" s="11">
        <f t="shared" si="1"/>
        <v>1.0454230539685379</v>
      </c>
      <c r="E40" s="25">
        <v>225.240005</v>
      </c>
      <c r="F40" s="11">
        <f t="shared" si="2"/>
        <v>227.33085110793706</v>
      </c>
      <c r="G40" s="11">
        <f t="shared" si="3"/>
        <v>223.14915889206293</v>
      </c>
    </row>
    <row r="41" spans="1:7" x14ac:dyDescent="0.25">
      <c r="A41" s="24">
        <v>42734</v>
      </c>
      <c r="B41" s="25">
        <v>223.529999</v>
      </c>
      <c r="C41" s="11">
        <f t="shared" si="0"/>
        <v>226.75000287500004</v>
      </c>
      <c r="D41" s="11">
        <f t="shared" si="1"/>
        <v>0.93319677240075627</v>
      </c>
      <c r="E41" s="25">
        <v>223.529999</v>
      </c>
      <c r="F41" s="11">
        <f t="shared" si="2"/>
        <v>225.39639254480153</v>
      </c>
      <c r="G41" s="11">
        <f t="shared" si="3"/>
        <v>221.66360545519848</v>
      </c>
    </row>
    <row r="42" spans="1:7" x14ac:dyDescent="0.25">
      <c r="A42" s="24">
        <v>42733</v>
      </c>
      <c r="B42" s="25">
        <v>224.35000600000001</v>
      </c>
      <c r="C42" s="11">
        <f t="shared" si="0"/>
        <v>226.37250237500004</v>
      </c>
      <c r="D42" s="11">
        <f t="shared" si="1"/>
        <v>0.93803833931177061</v>
      </c>
      <c r="E42" s="25">
        <v>224.35000600000001</v>
      </c>
      <c r="F42" s="11">
        <f t="shared" si="2"/>
        <v>226.22608267862356</v>
      </c>
      <c r="G42" s="11">
        <f t="shared" si="3"/>
        <v>222.47392932137646</v>
      </c>
    </row>
    <row r="43" spans="1:7" x14ac:dyDescent="0.25">
      <c r="A43" s="24">
        <v>42732</v>
      </c>
      <c r="B43" s="25">
        <v>224.39999399999999</v>
      </c>
      <c r="C43" s="11">
        <f t="shared" si="0"/>
        <v>226.16937737500001</v>
      </c>
      <c r="D43" s="11">
        <f t="shared" si="1"/>
        <v>1.0040686921315596</v>
      </c>
      <c r="E43" s="25">
        <v>224.39999399999999</v>
      </c>
      <c r="F43" s="11">
        <f t="shared" si="2"/>
        <v>226.4081313842631</v>
      </c>
      <c r="G43" s="11">
        <f t="shared" si="3"/>
        <v>222.39185661573688</v>
      </c>
    </row>
    <row r="44" spans="1:7" x14ac:dyDescent="0.25">
      <c r="A44" s="24">
        <v>42731</v>
      </c>
      <c r="B44" s="25">
        <v>226.270004</v>
      </c>
      <c r="C44" s="11">
        <f t="shared" si="0"/>
        <v>226.06000237500001</v>
      </c>
      <c r="D44" s="11">
        <f t="shared" si="1"/>
        <v>1.0973071475292513</v>
      </c>
      <c r="E44" s="25">
        <v>226.270004</v>
      </c>
      <c r="F44" s="11">
        <f t="shared" si="2"/>
        <v>228.4646182950585</v>
      </c>
      <c r="G44" s="11">
        <f t="shared" si="3"/>
        <v>224.0753897049415</v>
      </c>
    </row>
    <row r="45" spans="1:7" x14ac:dyDescent="0.25">
      <c r="A45" s="24">
        <v>42727</v>
      </c>
      <c r="B45" s="25">
        <v>225.71000699999999</v>
      </c>
      <c r="C45" s="11">
        <f t="shared" si="0"/>
        <v>226.0306273125</v>
      </c>
      <c r="D45" s="11">
        <f t="shared" si="1"/>
        <v>1.0841013311810361</v>
      </c>
      <c r="E45" s="25">
        <v>225.71000699999999</v>
      </c>
      <c r="F45" s="11">
        <f t="shared" si="2"/>
        <v>227.87820966236205</v>
      </c>
      <c r="G45" s="11">
        <f t="shared" si="3"/>
        <v>223.54180433763793</v>
      </c>
    </row>
    <row r="46" spans="1:7" x14ac:dyDescent="0.25">
      <c r="A46" s="24">
        <v>42726</v>
      </c>
      <c r="B46" s="25">
        <v>225.38000500000001</v>
      </c>
      <c r="C46" s="11">
        <f t="shared" si="0"/>
        <v>226.01812749999999</v>
      </c>
      <c r="D46" s="11">
        <f t="shared" si="1"/>
        <v>1.0867346477804041</v>
      </c>
      <c r="E46" s="25">
        <v>225.38000500000001</v>
      </c>
      <c r="F46" s="11">
        <f t="shared" si="2"/>
        <v>227.55347429556082</v>
      </c>
      <c r="G46" s="11">
        <f t="shared" si="3"/>
        <v>223.2065357044392</v>
      </c>
    </row>
    <row r="47" spans="1:7" x14ac:dyDescent="0.25">
      <c r="A47" s="24">
        <v>42725</v>
      </c>
      <c r="B47" s="25">
        <v>225.770004</v>
      </c>
      <c r="C47" s="11">
        <f t="shared" si="0"/>
        <v>225.93250281249996</v>
      </c>
      <c r="D47" s="11">
        <f t="shared" si="1"/>
        <v>1.0791706845318585</v>
      </c>
      <c r="E47" s="25">
        <v>225.770004</v>
      </c>
      <c r="F47" s="11">
        <f t="shared" si="2"/>
        <v>227.92834536906372</v>
      </c>
      <c r="G47" s="11">
        <f t="shared" si="3"/>
        <v>223.61166263093628</v>
      </c>
    </row>
    <row r="48" spans="1:7" x14ac:dyDescent="0.25">
      <c r="A48" s="24">
        <v>42724</v>
      </c>
      <c r="B48" s="25">
        <v>226.39999399999999</v>
      </c>
      <c r="C48" s="11">
        <f t="shared" si="0"/>
        <v>225.90250306249999</v>
      </c>
      <c r="D48" s="11">
        <f t="shared" si="1"/>
        <v>1.0764243938548559</v>
      </c>
      <c r="E48" s="25">
        <v>226.39999399999999</v>
      </c>
      <c r="F48" s="11">
        <f t="shared" si="2"/>
        <v>228.55284278770969</v>
      </c>
      <c r="G48" s="11">
        <f t="shared" si="3"/>
        <v>224.24714521229029</v>
      </c>
    </row>
    <row r="49" spans="1:7" x14ac:dyDescent="0.25">
      <c r="A49" s="24">
        <v>42723</v>
      </c>
      <c r="B49" s="25">
        <v>225.529999</v>
      </c>
      <c r="C49" s="11">
        <f t="shared" si="0"/>
        <v>225.86187749999996</v>
      </c>
      <c r="D49" s="11">
        <f t="shared" si="1"/>
        <v>1.0419429376686598</v>
      </c>
      <c r="E49" s="25">
        <v>225.529999</v>
      </c>
      <c r="F49" s="11">
        <f t="shared" si="2"/>
        <v>227.61388487533733</v>
      </c>
      <c r="G49" s="11">
        <f t="shared" si="3"/>
        <v>223.44611312466267</v>
      </c>
    </row>
    <row r="50" spans="1:7" x14ac:dyDescent="0.25">
      <c r="A50" s="24">
        <v>42720</v>
      </c>
      <c r="B50" s="25">
        <v>225.03999300000001</v>
      </c>
      <c r="C50" s="11">
        <f t="shared" si="0"/>
        <v>225.79937749999996</v>
      </c>
      <c r="D50" s="11">
        <f t="shared" si="1"/>
        <v>1.0291074864614138</v>
      </c>
      <c r="E50" s="25">
        <v>225.03999300000001</v>
      </c>
      <c r="F50" s="11">
        <f t="shared" si="2"/>
        <v>227.09820797292284</v>
      </c>
      <c r="G50" s="11">
        <f t="shared" si="3"/>
        <v>222.98177802707718</v>
      </c>
    </row>
    <row r="51" spans="1:7" x14ac:dyDescent="0.25">
      <c r="A51" s="24">
        <v>42719</v>
      </c>
      <c r="B51" s="25">
        <v>226.80999800000001</v>
      </c>
      <c r="C51" s="11">
        <f t="shared" si="0"/>
        <v>225.67062668749998</v>
      </c>
      <c r="D51" s="11">
        <f t="shared" si="1"/>
        <v>0.98338650443866105</v>
      </c>
      <c r="E51" s="25">
        <v>226.80999800000001</v>
      </c>
      <c r="F51" s="11">
        <f t="shared" si="2"/>
        <v>228.77677100887732</v>
      </c>
      <c r="G51" s="11">
        <f t="shared" si="3"/>
        <v>224.8432249911227</v>
      </c>
    </row>
    <row r="52" spans="1:7" x14ac:dyDescent="0.25">
      <c r="A52" s="24">
        <v>42718</v>
      </c>
      <c r="B52" s="25">
        <v>225.88000500000001</v>
      </c>
      <c r="C52" s="11">
        <f t="shared" si="0"/>
        <v>225.69250112499998</v>
      </c>
      <c r="D52" s="11">
        <f t="shared" si="1"/>
        <v>1.0057542811380151</v>
      </c>
      <c r="E52" s="25">
        <v>225.88000500000001</v>
      </c>
      <c r="F52" s="11">
        <f t="shared" si="2"/>
        <v>227.89151356227603</v>
      </c>
      <c r="G52" s="11">
        <f t="shared" si="3"/>
        <v>223.86849643772399</v>
      </c>
    </row>
    <row r="53" spans="1:7" x14ac:dyDescent="0.25">
      <c r="A53" s="24">
        <v>42717</v>
      </c>
      <c r="B53" s="25">
        <v>227.759995</v>
      </c>
      <c r="C53" s="11">
        <f t="shared" si="0"/>
        <v>225.656251</v>
      </c>
      <c r="D53" s="11">
        <f t="shared" si="1"/>
        <v>0.98651549744177702</v>
      </c>
      <c r="E53" s="25">
        <v>227.759995</v>
      </c>
      <c r="F53" s="11">
        <f t="shared" si="2"/>
        <v>229.73302599488355</v>
      </c>
      <c r="G53" s="11">
        <f t="shared" si="3"/>
        <v>225.78696400511646</v>
      </c>
    </row>
    <row r="54" spans="1:7" x14ac:dyDescent="0.25">
      <c r="A54" s="24">
        <v>42716</v>
      </c>
      <c r="B54" s="25">
        <v>226.25</v>
      </c>
      <c r="C54" s="11">
        <f t="shared" si="0"/>
        <v>225.69062524999998</v>
      </c>
      <c r="D54" s="11">
        <f t="shared" si="1"/>
        <v>1.0516928602775937</v>
      </c>
      <c r="E54" s="25">
        <v>226.25</v>
      </c>
      <c r="F54" s="11">
        <f t="shared" si="2"/>
        <v>228.3533857205552</v>
      </c>
      <c r="G54" s="11">
        <f t="shared" si="3"/>
        <v>224.1466142794448</v>
      </c>
    </row>
    <row r="55" spans="1:7" x14ac:dyDescent="0.25">
      <c r="A55" s="24">
        <v>42713</v>
      </c>
      <c r="B55" s="25">
        <v>226.509995</v>
      </c>
      <c r="C55" s="11">
        <f t="shared" si="0"/>
        <v>225.68125062499999</v>
      </c>
      <c r="D55" s="11">
        <f t="shared" si="1"/>
        <v>1.0455989682264022</v>
      </c>
      <c r="E55" s="25">
        <v>226.509995</v>
      </c>
      <c r="F55" s="11">
        <f t="shared" si="2"/>
        <v>228.6011929364528</v>
      </c>
      <c r="G55" s="11">
        <f t="shared" si="3"/>
        <v>224.4187970635472</v>
      </c>
    </row>
    <row r="56" spans="1:7" x14ac:dyDescent="0.25">
      <c r="A56" s="24">
        <v>42712</v>
      </c>
      <c r="B56" s="25">
        <v>225.14999399999999</v>
      </c>
      <c r="C56" s="11">
        <f t="shared" si="0"/>
        <v>225.67687518749997</v>
      </c>
      <c r="D56" s="11">
        <f t="shared" si="1"/>
        <v>1.0417266093404238</v>
      </c>
      <c r="E56" s="25">
        <v>225.14999399999999</v>
      </c>
      <c r="F56" s="11">
        <f t="shared" si="2"/>
        <v>227.23344721868085</v>
      </c>
      <c r="G56" s="11">
        <f t="shared" si="3"/>
        <v>223.06654078131913</v>
      </c>
    </row>
    <row r="57" spans="1:7" x14ac:dyDescent="0.25">
      <c r="A57" s="24">
        <v>42711</v>
      </c>
      <c r="B57" s="25">
        <v>224.60000600000001</v>
      </c>
      <c r="C57" s="11">
        <f t="shared" si="0"/>
        <v>225.67124949999999</v>
      </c>
      <c r="D57" s="11">
        <f t="shared" si="1"/>
        <v>1.0444825443052652</v>
      </c>
      <c r="E57" s="25">
        <v>224.60000600000001</v>
      </c>
      <c r="F57" s="11">
        <f t="shared" si="2"/>
        <v>226.68897108861054</v>
      </c>
      <c r="G57" s="11">
        <f t="shared" si="3"/>
        <v>222.51104091138947</v>
      </c>
    </row>
    <row r="58" spans="1:7" x14ac:dyDescent="0.25">
      <c r="A58" s="24">
        <v>42710</v>
      </c>
      <c r="B58" s="25">
        <v>221.699997</v>
      </c>
      <c r="C58" s="11">
        <f t="shared" si="0"/>
        <v>225.7381249375</v>
      </c>
      <c r="D58" s="11">
        <f t="shared" si="1"/>
        <v>0.92575045329595285</v>
      </c>
      <c r="E58" s="25">
        <v>221.699997</v>
      </c>
      <c r="F58" s="11">
        <f t="shared" si="2"/>
        <v>223.55149790659189</v>
      </c>
      <c r="G58" s="11">
        <f t="shared" si="3"/>
        <v>219.8484960934081</v>
      </c>
    </row>
    <row r="59" spans="1:7" x14ac:dyDescent="0.25">
      <c r="A59" s="24">
        <v>42709</v>
      </c>
      <c r="B59" s="25">
        <v>221</v>
      </c>
      <c r="C59" s="11">
        <f t="shared" si="0"/>
        <v>225.57249937500001</v>
      </c>
      <c r="D59" s="11">
        <f t="shared" si="1"/>
        <v>1.3365603203841769</v>
      </c>
      <c r="E59" s="25">
        <v>221</v>
      </c>
      <c r="F59" s="11">
        <f t="shared" si="2"/>
        <v>223.67312064076836</v>
      </c>
      <c r="G59" s="11">
        <f t="shared" si="3"/>
        <v>218.32687935923164</v>
      </c>
    </row>
    <row r="60" spans="1:7" x14ac:dyDescent="0.25">
      <c r="A60" s="24">
        <v>42706</v>
      </c>
      <c r="B60" s="25">
        <v>219.679993</v>
      </c>
      <c r="C60" s="11">
        <f t="shared" si="0"/>
        <v>225.35999975000001</v>
      </c>
      <c r="D60" s="11">
        <f t="shared" si="1"/>
        <v>1.7436816716429073</v>
      </c>
      <c r="E60" s="25">
        <v>219.679993</v>
      </c>
      <c r="F60" s="11">
        <f t="shared" si="2"/>
        <v>223.1673563432858</v>
      </c>
      <c r="G60" s="11">
        <f t="shared" si="3"/>
        <v>216.19262965671419</v>
      </c>
    </row>
    <row r="61" spans="1:7" x14ac:dyDescent="0.25">
      <c r="A61" s="24">
        <v>42705</v>
      </c>
      <c r="B61" s="25">
        <v>219.570007</v>
      </c>
      <c r="C61" s="11">
        <f t="shared" si="0"/>
        <v>224.94812406250003</v>
      </c>
      <c r="D61" s="11">
        <f t="shared" si="1"/>
        <v>2.2260052442903344</v>
      </c>
      <c r="E61" s="25">
        <v>219.570007</v>
      </c>
      <c r="F61" s="11">
        <f t="shared" si="2"/>
        <v>224.02201748858067</v>
      </c>
      <c r="G61" s="11">
        <f t="shared" si="3"/>
        <v>215.11799651141934</v>
      </c>
    </row>
    <row r="62" spans="1:7" x14ac:dyDescent="0.25">
      <c r="A62" s="24">
        <v>42704</v>
      </c>
      <c r="B62" s="25">
        <v>220.38000500000001</v>
      </c>
      <c r="C62" s="11">
        <f t="shared" si="0"/>
        <v>224.56437406250001</v>
      </c>
      <c r="D62" s="11">
        <f t="shared" si="1"/>
        <v>2.5860387048098752</v>
      </c>
      <c r="E62" s="25">
        <v>220.38000500000001</v>
      </c>
      <c r="F62" s="11">
        <f t="shared" si="2"/>
        <v>225.55208240961977</v>
      </c>
      <c r="G62" s="11">
        <f t="shared" si="3"/>
        <v>215.20792759038025</v>
      </c>
    </row>
    <row r="63" spans="1:7" x14ac:dyDescent="0.25">
      <c r="A63" s="24">
        <v>42703</v>
      </c>
      <c r="B63" s="25">
        <v>220.91000399999999</v>
      </c>
      <c r="C63" s="11">
        <f t="shared" si="0"/>
        <v>224.25187406250001</v>
      </c>
      <c r="D63" s="11">
        <f t="shared" si="1"/>
        <v>2.7760299393993209</v>
      </c>
      <c r="E63" s="25">
        <v>220.91000399999999</v>
      </c>
      <c r="F63" s="11">
        <f t="shared" si="2"/>
        <v>226.46206387879863</v>
      </c>
      <c r="G63" s="11">
        <f t="shared" si="3"/>
        <v>215.35794412120134</v>
      </c>
    </row>
    <row r="64" spans="1:7" x14ac:dyDescent="0.25">
      <c r="A64" s="24">
        <v>42702</v>
      </c>
      <c r="B64" s="25">
        <v>220.479996</v>
      </c>
      <c r="C64" s="11">
        <f t="shared" si="0"/>
        <v>223.9481240625</v>
      </c>
      <c r="D64" s="11">
        <f t="shared" si="1"/>
        <v>2.8633579980403088</v>
      </c>
      <c r="E64" s="25">
        <v>220.479996</v>
      </c>
      <c r="F64" s="11">
        <f t="shared" si="2"/>
        <v>226.20671199608063</v>
      </c>
      <c r="G64" s="11">
        <f t="shared" si="3"/>
        <v>214.75328000391937</v>
      </c>
    </row>
    <row r="65" spans="1:7" x14ac:dyDescent="0.25">
      <c r="A65" s="24">
        <v>42699</v>
      </c>
      <c r="B65" s="25">
        <v>221.520004</v>
      </c>
      <c r="C65" s="11">
        <f t="shared" si="0"/>
        <v>223.57812418750001</v>
      </c>
      <c r="D65" s="11">
        <f t="shared" si="1"/>
        <v>2.9075549054329093</v>
      </c>
      <c r="E65" s="25">
        <v>221.520004</v>
      </c>
      <c r="F65" s="11">
        <f t="shared" si="2"/>
        <v>227.33511381086581</v>
      </c>
      <c r="G65" s="11">
        <f t="shared" si="3"/>
        <v>215.70489418913419</v>
      </c>
    </row>
    <row r="66" spans="1:7" x14ac:dyDescent="0.25">
      <c r="A66" s="24">
        <v>42697</v>
      </c>
      <c r="B66" s="25">
        <v>220.699997</v>
      </c>
      <c r="C66" s="11">
        <f t="shared" si="0"/>
        <v>223.32749949999996</v>
      </c>
      <c r="D66" s="11">
        <f t="shared" si="1"/>
        <v>2.9009098871489294</v>
      </c>
      <c r="E66" s="25">
        <v>220.699997</v>
      </c>
      <c r="F66" s="11">
        <f t="shared" si="2"/>
        <v>226.50181677429785</v>
      </c>
      <c r="G66" s="11">
        <f t="shared" si="3"/>
        <v>214.89817722570214</v>
      </c>
    </row>
    <row r="67" spans="1:7" x14ac:dyDescent="0.25">
      <c r="A67" s="24">
        <v>42696</v>
      </c>
      <c r="B67" s="25">
        <v>220.58000200000001</v>
      </c>
      <c r="C67" s="11">
        <f t="shared" si="0"/>
        <v>223.05624974999998</v>
      </c>
      <c r="D67" s="11">
        <f t="shared" si="1"/>
        <v>2.932838047242968</v>
      </c>
      <c r="E67" s="25">
        <v>220.58000200000001</v>
      </c>
      <c r="F67" s="11">
        <f t="shared" si="2"/>
        <v>226.44567809448594</v>
      </c>
      <c r="G67" s="11">
        <f t="shared" si="3"/>
        <v>214.71432590551407</v>
      </c>
    </row>
    <row r="68" spans="1:7" x14ac:dyDescent="0.25">
      <c r="A68" s="24">
        <v>42695</v>
      </c>
      <c r="B68" s="25">
        <v>220.14999399999999</v>
      </c>
      <c r="C68" s="11">
        <f t="shared" si="0"/>
        <v>222.666875</v>
      </c>
      <c r="D68" s="11">
        <f t="shared" si="1"/>
        <v>2.8123354355451049</v>
      </c>
      <c r="E68" s="25">
        <v>220.14999399999999</v>
      </c>
      <c r="F68" s="11">
        <f t="shared" si="2"/>
        <v>225.77466487109021</v>
      </c>
      <c r="G68" s="11">
        <f t="shared" si="3"/>
        <v>214.52532312890978</v>
      </c>
    </row>
    <row r="69" spans="1:7" x14ac:dyDescent="0.25">
      <c r="A69" s="24">
        <v>42692</v>
      </c>
      <c r="B69" s="25">
        <v>218.5</v>
      </c>
      <c r="C69" s="11">
        <f t="shared" si="0"/>
        <v>222.3087493125</v>
      </c>
      <c r="D69" s="11">
        <f t="shared" si="1"/>
        <v>2.739791725330516</v>
      </c>
      <c r="E69" s="25">
        <v>218.5</v>
      </c>
      <c r="F69" s="11">
        <f t="shared" si="2"/>
        <v>223.97958345066104</v>
      </c>
      <c r="G69" s="11">
        <f t="shared" si="3"/>
        <v>213.02041654933896</v>
      </c>
    </row>
    <row r="70" spans="1:7" x14ac:dyDescent="0.25">
      <c r="A70" s="24">
        <v>42691</v>
      </c>
      <c r="B70" s="25">
        <v>218.990005</v>
      </c>
      <c r="C70" s="11">
        <f t="shared" si="0"/>
        <v>221.729999625</v>
      </c>
      <c r="D70" s="11">
        <f t="shared" si="1"/>
        <v>2.4769356476679514</v>
      </c>
      <c r="E70" s="25">
        <v>218.990005</v>
      </c>
      <c r="F70" s="11">
        <f t="shared" si="2"/>
        <v>223.94387629533591</v>
      </c>
      <c r="G70" s="11">
        <f t="shared" si="3"/>
        <v>214.03613370466408</v>
      </c>
    </row>
    <row r="71" spans="1:7" x14ac:dyDescent="0.25">
      <c r="A71" s="24">
        <v>42690</v>
      </c>
      <c r="B71" s="25">
        <v>217.86999499999999</v>
      </c>
      <c r="C71" s="11">
        <f t="shared" si="0"/>
        <v>221.27624993750001</v>
      </c>
      <c r="D71" s="11">
        <f t="shared" si="1"/>
        <v>2.2481266235520181</v>
      </c>
      <c r="E71" s="25">
        <v>217.86999499999999</v>
      </c>
      <c r="F71" s="11">
        <f t="shared" si="2"/>
        <v>222.36624824710401</v>
      </c>
      <c r="G71" s="11">
        <f t="shared" si="3"/>
        <v>213.37374175289597</v>
      </c>
    </row>
    <row r="72" spans="1:7" x14ac:dyDescent="0.25">
      <c r="A72" s="24">
        <v>42689</v>
      </c>
      <c r="B72" s="25">
        <v>218.279999</v>
      </c>
      <c r="C72" s="11">
        <f t="shared" si="0"/>
        <v>220.73624993750002</v>
      </c>
      <c r="D72" s="11">
        <f t="shared" si="1"/>
        <v>1.9210411248912393</v>
      </c>
      <c r="E72" s="25">
        <v>218.279999</v>
      </c>
      <c r="F72" s="11">
        <f t="shared" si="2"/>
        <v>222.12208124978247</v>
      </c>
      <c r="G72" s="11">
        <f t="shared" si="3"/>
        <v>214.43791675021754</v>
      </c>
    </row>
    <row r="73" spans="1:7" x14ac:dyDescent="0.25">
      <c r="A73" s="24">
        <v>42688</v>
      </c>
      <c r="B73" s="25">
        <v>216.58999600000001</v>
      </c>
      <c r="C73" s="11">
        <f t="shared" si="0"/>
        <v>220.30687525000002</v>
      </c>
      <c r="D73" s="11">
        <f t="shared" si="1"/>
        <v>1.6115875219860092</v>
      </c>
      <c r="E73" s="25">
        <v>216.58999600000001</v>
      </c>
      <c r="F73" s="11">
        <f t="shared" si="2"/>
        <v>219.81317104397203</v>
      </c>
      <c r="G73" s="11">
        <f t="shared" si="3"/>
        <v>213.36682095602799</v>
      </c>
    </row>
    <row r="74" spans="1:7" x14ac:dyDescent="0.25">
      <c r="A74" s="24">
        <v>42685</v>
      </c>
      <c r="B74" s="25">
        <v>216.41999799999999</v>
      </c>
      <c r="C74" s="11">
        <f t="shared" si="0"/>
        <v>219.80624962500002</v>
      </c>
      <c r="D74" s="11">
        <f t="shared" si="1"/>
        <v>1.4220271580925983</v>
      </c>
      <c r="E74" s="25">
        <v>216.41999799999999</v>
      </c>
      <c r="F74" s="11">
        <f t="shared" si="2"/>
        <v>219.2640523161852</v>
      </c>
      <c r="G74" s="11">
        <f t="shared" si="3"/>
        <v>213.57594368381478</v>
      </c>
    </row>
    <row r="75" spans="1:7" x14ac:dyDescent="0.25">
      <c r="A75" s="24">
        <v>42684</v>
      </c>
      <c r="B75" s="25">
        <v>216.91999799999999</v>
      </c>
      <c r="C75" s="11">
        <f t="shared" si="0"/>
        <v>219.4762496875</v>
      </c>
      <c r="D75" s="11">
        <f t="shared" si="1"/>
        <v>1.5592827449993243</v>
      </c>
      <c r="E75" s="25">
        <v>216.91999799999999</v>
      </c>
      <c r="F75" s="11">
        <f t="shared" si="2"/>
        <v>220.03856348999864</v>
      </c>
      <c r="G75" s="11">
        <f t="shared" si="3"/>
        <v>213.80143251000135</v>
      </c>
    </row>
    <row r="76" spans="1:7" x14ac:dyDescent="0.25">
      <c r="A76" s="24">
        <v>42683</v>
      </c>
      <c r="B76" s="25">
        <v>216.38000500000001</v>
      </c>
      <c r="C76" s="11">
        <f t="shared" si="0"/>
        <v>219.22124956249996</v>
      </c>
      <c r="D76" s="11">
        <f t="shared" si="1"/>
        <v>1.6256823559722431</v>
      </c>
      <c r="E76" s="25">
        <v>216.38000500000001</v>
      </c>
      <c r="F76" s="11">
        <f t="shared" si="2"/>
        <v>219.6313697119445</v>
      </c>
      <c r="G76" s="11">
        <f t="shared" si="3"/>
        <v>213.12864028805552</v>
      </c>
    </row>
    <row r="77" spans="1:7" x14ac:dyDescent="0.25">
      <c r="A77" s="24">
        <v>42682</v>
      </c>
      <c r="B77" s="25">
        <v>214.11000100000001</v>
      </c>
      <c r="C77" s="11">
        <f t="shared" si="0"/>
        <v>219.01500031249998</v>
      </c>
      <c r="D77" s="11">
        <f t="shared" si="1"/>
        <v>1.7668097786739689</v>
      </c>
      <c r="E77" s="25">
        <v>214.11000100000001</v>
      </c>
      <c r="F77" s="11">
        <f t="shared" si="2"/>
        <v>217.64362055734796</v>
      </c>
      <c r="G77" s="11">
        <f t="shared" si="3"/>
        <v>210.57638144265206</v>
      </c>
    </row>
    <row r="78" spans="1:7" x14ac:dyDescent="0.25">
      <c r="A78" s="24">
        <v>42681</v>
      </c>
      <c r="B78" s="25">
        <v>213.14999399999999</v>
      </c>
      <c r="C78" s="11">
        <f t="shared" si="0"/>
        <v>218.67374993749999</v>
      </c>
      <c r="D78" s="11">
        <f t="shared" si="1"/>
        <v>2.1402804901495625</v>
      </c>
      <c r="E78" s="25">
        <v>213.14999399999999</v>
      </c>
      <c r="F78" s="11">
        <f t="shared" si="2"/>
        <v>217.43055498029912</v>
      </c>
      <c r="G78" s="11">
        <f t="shared" si="3"/>
        <v>208.86943301970086</v>
      </c>
    </row>
    <row r="79" spans="1:7" x14ac:dyDescent="0.25">
      <c r="A79" s="24">
        <v>42678</v>
      </c>
      <c r="B79" s="25">
        <v>208.550003</v>
      </c>
      <c r="C79" s="11">
        <f t="shared" si="0"/>
        <v>218.22187424999998</v>
      </c>
      <c r="D79" s="11">
        <f t="shared" si="1"/>
        <v>2.4905891642370466</v>
      </c>
      <c r="E79" s="25">
        <v>208.550003</v>
      </c>
      <c r="F79" s="11">
        <f t="shared" si="2"/>
        <v>213.5311813284741</v>
      </c>
      <c r="G79" s="11">
        <f t="shared" si="3"/>
        <v>203.5688246715259</v>
      </c>
    </row>
    <row r="80" spans="1:7" x14ac:dyDescent="0.25">
      <c r="A80" s="24">
        <v>42677</v>
      </c>
      <c r="B80" s="25">
        <v>208.779999</v>
      </c>
      <c r="C80" s="11">
        <f t="shared" si="0"/>
        <v>217.44937418749996</v>
      </c>
      <c r="D80" s="11">
        <f t="shared" si="1"/>
        <v>3.3646838995064239</v>
      </c>
      <c r="E80" s="25">
        <v>208.779999</v>
      </c>
      <c r="F80" s="11">
        <f t="shared" si="2"/>
        <v>215.50936679901284</v>
      </c>
      <c r="G80" s="11">
        <f t="shared" si="3"/>
        <v>202.05063120098717</v>
      </c>
    </row>
    <row r="81" spans="1:7" x14ac:dyDescent="0.25">
      <c r="A81" s="24">
        <v>42676</v>
      </c>
      <c r="B81" s="25">
        <v>209.740005</v>
      </c>
      <c r="C81" s="11">
        <f t="shared" si="0"/>
        <v>216.71812437499997</v>
      </c>
      <c r="D81" s="11">
        <f t="shared" si="1"/>
        <v>3.8921651481979844</v>
      </c>
      <c r="E81" s="25">
        <v>209.740005</v>
      </c>
      <c r="F81" s="11">
        <f t="shared" si="2"/>
        <v>217.52433529639598</v>
      </c>
      <c r="G81" s="11">
        <f t="shared" si="3"/>
        <v>201.95567470360402</v>
      </c>
    </row>
    <row r="82" spans="1:7" x14ac:dyDescent="0.25">
      <c r="A82" s="24">
        <v>42675</v>
      </c>
      <c r="B82" s="25">
        <v>211.009995</v>
      </c>
      <c r="C82" s="11">
        <f t="shared" si="0"/>
        <v>215.98187443749998</v>
      </c>
      <c r="D82" s="11">
        <f t="shared" si="1"/>
        <v>4.0348260736076824</v>
      </c>
      <c r="E82" s="25">
        <v>211.009995</v>
      </c>
      <c r="F82" s="11">
        <f t="shared" si="2"/>
        <v>219.07964714721538</v>
      </c>
      <c r="G82" s="11">
        <f t="shared" si="3"/>
        <v>202.94034285278462</v>
      </c>
    </row>
    <row r="83" spans="1:7" x14ac:dyDescent="0.25">
      <c r="A83" s="24">
        <v>42674</v>
      </c>
      <c r="B83" s="25">
        <v>212.550003</v>
      </c>
      <c r="C83" s="11">
        <f t="shared" si="0"/>
        <v>215.37624931249999</v>
      </c>
      <c r="D83" s="11">
        <f t="shared" si="1"/>
        <v>4.0065589360258533</v>
      </c>
      <c r="E83" s="25">
        <v>212.550003</v>
      </c>
      <c r="F83" s="11">
        <f t="shared" si="2"/>
        <v>220.56312087205171</v>
      </c>
      <c r="G83" s="11">
        <f t="shared" si="3"/>
        <v>204.5368851279483</v>
      </c>
    </row>
    <row r="84" spans="1:7" x14ac:dyDescent="0.25">
      <c r="A84" s="24">
        <v>42671</v>
      </c>
      <c r="B84" s="25">
        <v>212.53999300000001</v>
      </c>
      <c r="C84" s="11">
        <f t="shared" ref="C84:C147" si="4">AVERAGE(B68:B83)</f>
        <v>214.87437437499997</v>
      </c>
      <c r="D84" s="11">
        <f t="shared" ref="D84:D147" si="5">_xlfn.STDEV.S(B68:B83)</f>
        <v>3.8093419253000946</v>
      </c>
      <c r="E84" s="25">
        <v>212.53999300000001</v>
      </c>
      <c r="F84" s="11">
        <f t="shared" ref="F84:F147" si="6">B84+2*D84</f>
        <v>220.15867685060019</v>
      </c>
      <c r="G84" s="11">
        <f t="shared" ref="G84:G147" si="7">B84-2*D84</f>
        <v>204.92130914939983</v>
      </c>
    </row>
    <row r="85" spans="1:7" x14ac:dyDescent="0.25">
      <c r="A85" s="24">
        <v>42670</v>
      </c>
      <c r="B85" s="25">
        <v>213.16999799999999</v>
      </c>
      <c r="C85" s="11">
        <f t="shared" si="4"/>
        <v>214.39874931249997</v>
      </c>
      <c r="D85" s="11">
        <f t="shared" si="5"/>
        <v>3.5745764815126218</v>
      </c>
      <c r="E85" s="25">
        <v>213.16999799999999</v>
      </c>
      <c r="F85" s="11">
        <f t="shared" si="6"/>
        <v>220.31915096302524</v>
      </c>
      <c r="G85" s="11">
        <f t="shared" si="7"/>
        <v>206.02084503697475</v>
      </c>
    </row>
    <row r="86" spans="1:7" x14ac:dyDescent="0.25">
      <c r="A86" s="24">
        <v>42669</v>
      </c>
      <c r="B86" s="25">
        <v>213.740005</v>
      </c>
      <c r="C86" s="11">
        <f t="shared" si="4"/>
        <v>214.06562418749996</v>
      </c>
      <c r="D86" s="11">
        <f t="shared" si="5"/>
        <v>3.411529181432654</v>
      </c>
      <c r="E86" s="25">
        <v>213.740005</v>
      </c>
      <c r="F86" s="11">
        <f t="shared" si="6"/>
        <v>220.56306336286531</v>
      </c>
      <c r="G86" s="11">
        <f t="shared" si="7"/>
        <v>206.91694663713469</v>
      </c>
    </row>
    <row r="87" spans="1:7" x14ac:dyDescent="0.25">
      <c r="A87" s="24">
        <v>42668</v>
      </c>
      <c r="B87" s="25">
        <v>214.16999799999999</v>
      </c>
      <c r="C87" s="11">
        <f t="shared" si="4"/>
        <v>213.73749918749999</v>
      </c>
      <c r="D87" s="11">
        <f t="shared" si="5"/>
        <v>3.148669724981735</v>
      </c>
      <c r="E87" s="25">
        <v>214.16999799999999</v>
      </c>
      <c r="F87" s="11">
        <f t="shared" si="6"/>
        <v>220.46733744996345</v>
      </c>
      <c r="G87" s="11">
        <f t="shared" si="7"/>
        <v>207.87265855003653</v>
      </c>
    </row>
    <row r="88" spans="1:7" x14ac:dyDescent="0.25">
      <c r="A88" s="24">
        <v>42667</v>
      </c>
      <c r="B88" s="25">
        <v>214.88999899999999</v>
      </c>
      <c r="C88" s="11">
        <f t="shared" si="4"/>
        <v>213.50624937499998</v>
      </c>
      <c r="D88" s="11">
        <f t="shared" si="5"/>
        <v>2.9548347446767278</v>
      </c>
      <c r="E88" s="25">
        <v>214.88999899999999</v>
      </c>
      <c r="F88" s="11">
        <f t="shared" si="6"/>
        <v>220.79966848935345</v>
      </c>
      <c r="G88" s="11">
        <f t="shared" si="7"/>
        <v>208.98032951064653</v>
      </c>
    </row>
    <row r="89" spans="1:7" x14ac:dyDescent="0.25">
      <c r="A89" s="24">
        <v>42664</v>
      </c>
      <c r="B89" s="25">
        <v>213.979996</v>
      </c>
      <c r="C89" s="11">
        <f t="shared" si="4"/>
        <v>213.29437437499996</v>
      </c>
      <c r="D89" s="11">
        <f t="shared" si="5"/>
        <v>2.7002906858056557</v>
      </c>
      <c r="E89" s="25">
        <v>213.979996</v>
      </c>
      <c r="F89" s="11">
        <f t="shared" si="6"/>
        <v>219.38057737161131</v>
      </c>
      <c r="G89" s="11">
        <f t="shared" si="7"/>
        <v>208.57941462838869</v>
      </c>
    </row>
    <row r="90" spans="1:7" x14ac:dyDescent="0.25">
      <c r="A90" s="24">
        <v>42663</v>
      </c>
      <c r="B90" s="25">
        <v>213.88000500000001</v>
      </c>
      <c r="C90" s="11">
        <f t="shared" si="4"/>
        <v>213.13124937499998</v>
      </c>
      <c r="D90" s="11">
        <f t="shared" si="5"/>
        <v>2.5632888468428163</v>
      </c>
      <c r="E90" s="25">
        <v>213.88000500000001</v>
      </c>
      <c r="F90" s="11">
        <f t="shared" si="6"/>
        <v>219.00658269368563</v>
      </c>
      <c r="G90" s="11">
        <f t="shared" si="7"/>
        <v>208.75342730631439</v>
      </c>
    </row>
    <row r="91" spans="1:7" x14ac:dyDescent="0.25">
      <c r="A91" s="24">
        <v>42662</v>
      </c>
      <c r="B91" s="25">
        <v>214.279999</v>
      </c>
      <c r="C91" s="11">
        <f t="shared" si="4"/>
        <v>212.97249981249999</v>
      </c>
      <c r="D91" s="11">
        <f t="shared" si="5"/>
        <v>2.4207201459518659</v>
      </c>
      <c r="E91" s="25">
        <v>214.279999</v>
      </c>
      <c r="F91" s="11">
        <f t="shared" si="6"/>
        <v>219.12143929190373</v>
      </c>
      <c r="G91" s="11">
        <f t="shared" si="7"/>
        <v>209.43855870809628</v>
      </c>
    </row>
    <row r="92" spans="1:7" x14ac:dyDescent="0.25">
      <c r="A92" s="24">
        <v>42661</v>
      </c>
      <c r="B92" s="25">
        <v>213.71000699999999</v>
      </c>
      <c r="C92" s="11">
        <f t="shared" si="4"/>
        <v>212.80749987499999</v>
      </c>
      <c r="D92" s="11">
        <f t="shared" si="5"/>
        <v>2.2149417282064974</v>
      </c>
      <c r="E92" s="25">
        <v>213.71000699999999</v>
      </c>
      <c r="F92" s="11">
        <f t="shared" si="6"/>
        <v>218.13989045641299</v>
      </c>
      <c r="G92" s="11">
        <f t="shared" si="7"/>
        <v>209.280123543587</v>
      </c>
    </row>
    <row r="93" spans="1:7" x14ac:dyDescent="0.25">
      <c r="A93" s="24">
        <v>42660</v>
      </c>
      <c r="B93" s="25">
        <v>212.38000500000001</v>
      </c>
      <c r="C93" s="11">
        <f t="shared" si="4"/>
        <v>212.640625</v>
      </c>
      <c r="D93" s="11">
        <f t="shared" si="5"/>
        <v>2.0198295893512062</v>
      </c>
      <c r="E93" s="25">
        <v>212.38000500000001</v>
      </c>
      <c r="F93" s="11">
        <f t="shared" si="6"/>
        <v>216.41966417870242</v>
      </c>
      <c r="G93" s="11">
        <f t="shared" si="7"/>
        <v>208.3403458212976</v>
      </c>
    </row>
    <row r="94" spans="1:7" x14ac:dyDescent="0.25">
      <c r="A94" s="24">
        <v>42657</v>
      </c>
      <c r="B94" s="25">
        <v>213.11999499999999</v>
      </c>
      <c r="C94" s="11">
        <f t="shared" si="4"/>
        <v>212.53250025</v>
      </c>
      <c r="D94" s="11">
        <f t="shared" si="5"/>
        <v>1.9818757969880092</v>
      </c>
      <c r="E94" s="25">
        <v>213.11999499999999</v>
      </c>
      <c r="F94" s="11">
        <f t="shared" si="6"/>
        <v>217.083746593976</v>
      </c>
      <c r="G94" s="11">
        <f t="shared" si="7"/>
        <v>209.15624340602398</v>
      </c>
    </row>
    <row r="95" spans="1:7" x14ac:dyDescent="0.25">
      <c r="A95" s="24">
        <v>42656</v>
      </c>
      <c r="B95" s="25">
        <v>213.009995</v>
      </c>
      <c r="C95" s="11">
        <f t="shared" si="4"/>
        <v>212.53062531250004</v>
      </c>
      <c r="D95" s="11">
        <f t="shared" si="5"/>
        <v>1.9812667736247485</v>
      </c>
      <c r="E95" s="25">
        <v>213.009995</v>
      </c>
      <c r="F95" s="11">
        <f t="shared" si="6"/>
        <v>216.97252854724951</v>
      </c>
      <c r="G95" s="11">
        <f t="shared" si="7"/>
        <v>209.0474614527505</v>
      </c>
    </row>
    <row r="96" spans="1:7" x14ac:dyDescent="0.25">
      <c r="A96" s="24">
        <v>42655</v>
      </c>
      <c r="B96" s="25">
        <v>213.71000699999999</v>
      </c>
      <c r="C96" s="11">
        <f t="shared" si="4"/>
        <v>212.80937481249998</v>
      </c>
      <c r="D96" s="11">
        <f t="shared" si="5"/>
        <v>1.673768028263541</v>
      </c>
      <c r="E96" s="25">
        <v>213.71000699999999</v>
      </c>
      <c r="F96" s="11">
        <f t="shared" si="6"/>
        <v>217.05754305652707</v>
      </c>
      <c r="G96" s="11">
        <f t="shared" si="7"/>
        <v>210.36247094347291</v>
      </c>
    </row>
    <row r="97" spans="1:7" x14ac:dyDescent="0.25">
      <c r="A97" s="24">
        <v>42654</v>
      </c>
      <c r="B97" s="25">
        <v>213.429993</v>
      </c>
      <c r="C97" s="11">
        <f t="shared" si="4"/>
        <v>213.11750031250003</v>
      </c>
      <c r="D97" s="11">
        <f t="shared" si="5"/>
        <v>1.2930248490872183</v>
      </c>
      <c r="E97" s="25">
        <v>213.429993</v>
      </c>
      <c r="F97" s="11">
        <f t="shared" si="6"/>
        <v>216.01604269817443</v>
      </c>
      <c r="G97" s="11">
        <f t="shared" si="7"/>
        <v>210.84394330182556</v>
      </c>
    </row>
    <row r="98" spans="1:7" x14ac:dyDescent="0.25">
      <c r="A98" s="24">
        <v>42653</v>
      </c>
      <c r="B98" s="25">
        <v>216.16000399999999</v>
      </c>
      <c r="C98" s="11">
        <f t="shared" si="4"/>
        <v>213.34812456250003</v>
      </c>
      <c r="D98" s="11">
        <f t="shared" si="5"/>
        <v>0.92800414094362882</v>
      </c>
      <c r="E98" s="25">
        <v>216.16000399999999</v>
      </c>
      <c r="F98" s="11">
        <f t="shared" si="6"/>
        <v>218.01601228188724</v>
      </c>
      <c r="G98" s="11">
        <f t="shared" si="7"/>
        <v>214.30399571811273</v>
      </c>
    </row>
    <row r="99" spans="1:7" x14ac:dyDescent="0.25">
      <c r="A99" s="24">
        <v>42650</v>
      </c>
      <c r="B99" s="25">
        <v>215.03999300000001</v>
      </c>
      <c r="C99" s="11">
        <f t="shared" si="4"/>
        <v>213.670000125</v>
      </c>
      <c r="D99" s="11">
        <f t="shared" si="5"/>
        <v>0.9556857698487724</v>
      </c>
      <c r="E99" s="25">
        <v>215.03999300000001</v>
      </c>
      <c r="F99" s="11">
        <f t="shared" si="6"/>
        <v>216.95136453969755</v>
      </c>
      <c r="G99" s="11">
        <f t="shared" si="7"/>
        <v>213.12862146030247</v>
      </c>
    </row>
    <row r="100" spans="1:7" x14ac:dyDescent="0.25">
      <c r="A100" s="24">
        <v>42649</v>
      </c>
      <c r="B100" s="25">
        <v>215.779999</v>
      </c>
      <c r="C100" s="11">
        <f t="shared" si="4"/>
        <v>213.8256245</v>
      </c>
      <c r="D100" s="11">
        <f t="shared" si="5"/>
        <v>0.9638469152449437</v>
      </c>
      <c r="E100" s="25">
        <v>215.779999</v>
      </c>
      <c r="F100" s="11">
        <f t="shared" si="6"/>
        <v>217.70769283048989</v>
      </c>
      <c r="G100" s="11">
        <f t="shared" si="7"/>
        <v>213.85230516951012</v>
      </c>
    </row>
    <row r="101" spans="1:7" x14ac:dyDescent="0.25">
      <c r="A101" s="24">
        <v>42648</v>
      </c>
      <c r="B101" s="25">
        <v>215.63000500000001</v>
      </c>
      <c r="C101" s="11">
        <f t="shared" si="4"/>
        <v>214.02812487499997</v>
      </c>
      <c r="D101" s="11">
        <f t="shared" si="5"/>
        <v>1.0147460123224172</v>
      </c>
      <c r="E101" s="25">
        <v>215.63000500000001</v>
      </c>
      <c r="F101" s="11">
        <f t="shared" si="6"/>
        <v>217.65949702464485</v>
      </c>
      <c r="G101" s="11">
        <f t="shared" si="7"/>
        <v>213.60051297535517</v>
      </c>
    </row>
    <row r="102" spans="1:7" x14ac:dyDescent="0.25">
      <c r="A102" s="24">
        <v>42647</v>
      </c>
      <c r="B102" s="25">
        <v>214.679993</v>
      </c>
      <c r="C102" s="11">
        <f t="shared" si="4"/>
        <v>214.18187531249998</v>
      </c>
      <c r="D102" s="11">
        <f t="shared" si="5"/>
        <v>1.061353007301951</v>
      </c>
      <c r="E102" s="25">
        <v>214.679993</v>
      </c>
      <c r="F102" s="11">
        <f t="shared" si="6"/>
        <v>216.80269901460389</v>
      </c>
      <c r="G102" s="11">
        <f t="shared" si="7"/>
        <v>212.5572869853961</v>
      </c>
    </row>
    <row r="103" spans="1:7" x14ac:dyDescent="0.25">
      <c r="A103" s="24">
        <v>42646</v>
      </c>
      <c r="B103" s="25">
        <v>215.779999</v>
      </c>
      <c r="C103" s="11">
        <f t="shared" si="4"/>
        <v>214.24062456249999</v>
      </c>
      <c r="D103" s="11">
        <f t="shared" si="5"/>
        <v>1.0612791451563195</v>
      </c>
      <c r="E103" s="25">
        <v>215.779999</v>
      </c>
      <c r="F103" s="11">
        <f t="shared" si="6"/>
        <v>217.90255729031264</v>
      </c>
      <c r="G103" s="11">
        <f t="shared" si="7"/>
        <v>213.65744070968736</v>
      </c>
    </row>
    <row r="104" spans="1:7" x14ac:dyDescent="0.25">
      <c r="A104" s="24">
        <v>42643</v>
      </c>
      <c r="B104" s="25">
        <v>216.300003</v>
      </c>
      <c r="C104" s="11">
        <f t="shared" si="4"/>
        <v>214.34124962499996</v>
      </c>
      <c r="D104" s="11">
        <f t="shared" si="5"/>
        <v>1.1283433418188438</v>
      </c>
      <c r="E104" s="25">
        <v>216.300003</v>
      </c>
      <c r="F104" s="11">
        <f t="shared" si="6"/>
        <v>218.5566896836377</v>
      </c>
      <c r="G104" s="11">
        <f t="shared" si="7"/>
        <v>214.04331631636231</v>
      </c>
    </row>
    <row r="105" spans="1:7" x14ac:dyDescent="0.25">
      <c r="A105" s="24">
        <v>42642</v>
      </c>
      <c r="B105" s="25">
        <v>214.679993</v>
      </c>
      <c r="C105" s="11">
        <f t="shared" si="4"/>
        <v>214.42937487499995</v>
      </c>
      <c r="D105" s="11">
        <f t="shared" si="5"/>
        <v>1.2249819701506839</v>
      </c>
      <c r="E105" s="25">
        <v>214.679993</v>
      </c>
      <c r="F105" s="11">
        <f t="shared" si="6"/>
        <v>217.12995694030135</v>
      </c>
      <c r="G105" s="11">
        <f t="shared" si="7"/>
        <v>212.23002905969864</v>
      </c>
    </row>
    <row r="106" spans="1:7" x14ac:dyDescent="0.25">
      <c r="A106" s="24">
        <v>42641</v>
      </c>
      <c r="B106" s="25">
        <v>216.63999899999999</v>
      </c>
      <c r="C106" s="11">
        <f t="shared" si="4"/>
        <v>214.47312468749999</v>
      </c>
      <c r="D106" s="11">
        <f t="shared" si="5"/>
        <v>1.2203539306746343</v>
      </c>
      <c r="E106" s="25">
        <v>216.63999899999999</v>
      </c>
      <c r="F106" s="11">
        <f t="shared" si="6"/>
        <v>219.08070686134926</v>
      </c>
      <c r="G106" s="11">
        <f t="shared" si="7"/>
        <v>214.19929113865072</v>
      </c>
    </row>
    <row r="107" spans="1:7" x14ac:dyDescent="0.25">
      <c r="A107" s="24">
        <v>42640</v>
      </c>
      <c r="B107" s="25">
        <v>215.570007</v>
      </c>
      <c r="C107" s="11">
        <f t="shared" si="4"/>
        <v>214.64562431249999</v>
      </c>
      <c r="D107" s="11">
        <f t="shared" si="5"/>
        <v>1.3217768630185007</v>
      </c>
      <c r="E107" s="25">
        <v>215.570007</v>
      </c>
      <c r="F107" s="11">
        <f t="shared" si="6"/>
        <v>218.213560726037</v>
      </c>
      <c r="G107" s="11">
        <f t="shared" si="7"/>
        <v>212.92645327396301</v>
      </c>
    </row>
    <row r="108" spans="1:7" x14ac:dyDescent="0.25">
      <c r="A108" s="24">
        <v>42639</v>
      </c>
      <c r="B108" s="25">
        <v>214.240005</v>
      </c>
      <c r="C108" s="11">
        <f t="shared" si="4"/>
        <v>214.72624981250001</v>
      </c>
      <c r="D108" s="11">
        <f t="shared" si="5"/>
        <v>1.3372410672218737</v>
      </c>
      <c r="E108" s="25">
        <v>214.240005</v>
      </c>
      <c r="F108" s="11">
        <f t="shared" si="6"/>
        <v>216.91448713444373</v>
      </c>
      <c r="G108" s="11">
        <f t="shared" si="7"/>
        <v>211.56552286555626</v>
      </c>
    </row>
    <row r="109" spans="1:7" x14ac:dyDescent="0.25">
      <c r="A109" s="24">
        <v>42636</v>
      </c>
      <c r="B109" s="25">
        <v>215.990005</v>
      </c>
      <c r="C109" s="11">
        <f t="shared" si="4"/>
        <v>214.75937468750001</v>
      </c>
      <c r="D109" s="11">
        <f t="shared" si="5"/>
        <v>1.3167974666894278</v>
      </c>
      <c r="E109" s="25">
        <v>215.990005</v>
      </c>
      <c r="F109" s="11">
        <f t="shared" si="6"/>
        <v>218.62359993337884</v>
      </c>
      <c r="G109" s="11">
        <f t="shared" si="7"/>
        <v>213.35641006662115</v>
      </c>
    </row>
    <row r="110" spans="1:7" x14ac:dyDescent="0.25">
      <c r="A110" s="24">
        <v>42635</v>
      </c>
      <c r="B110" s="25">
        <v>217.179993</v>
      </c>
      <c r="C110" s="11">
        <f t="shared" si="4"/>
        <v>214.98499968750002</v>
      </c>
      <c r="D110" s="11">
        <f t="shared" si="5"/>
        <v>1.1845640022231942</v>
      </c>
      <c r="E110" s="25">
        <v>217.179993</v>
      </c>
      <c r="F110" s="11">
        <f t="shared" si="6"/>
        <v>219.54912100444639</v>
      </c>
      <c r="G110" s="11">
        <f t="shared" si="7"/>
        <v>214.8108649955536</v>
      </c>
    </row>
    <row r="111" spans="1:7" x14ac:dyDescent="0.25">
      <c r="A111" s="24">
        <v>42634</v>
      </c>
      <c r="B111" s="25">
        <v>215.820007</v>
      </c>
      <c r="C111" s="11">
        <f t="shared" si="4"/>
        <v>215.23874956250003</v>
      </c>
      <c r="D111" s="11">
        <f t="shared" si="5"/>
        <v>1.1932422861813083</v>
      </c>
      <c r="E111" s="25">
        <v>215.820007</v>
      </c>
      <c r="F111" s="11">
        <f t="shared" si="6"/>
        <v>218.20649157236261</v>
      </c>
      <c r="G111" s="11">
        <f t="shared" si="7"/>
        <v>213.4335224276374</v>
      </c>
    </row>
    <row r="112" spans="1:7" x14ac:dyDescent="0.25">
      <c r="A112" s="24">
        <v>42633</v>
      </c>
      <c r="B112" s="25">
        <v>213.41999799999999</v>
      </c>
      <c r="C112" s="11">
        <f t="shared" si="4"/>
        <v>215.4143753125</v>
      </c>
      <c r="D112" s="11">
        <f t="shared" si="5"/>
        <v>1.0403336050435441</v>
      </c>
      <c r="E112" s="25">
        <v>213.41999799999999</v>
      </c>
      <c r="F112" s="11">
        <f t="shared" si="6"/>
        <v>215.50066521008708</v>
      </c>
      <c r="G112" s="11">
        <f t="shared" si="7"/>
        <v>211.33933078991291</v>
      </c>
    </row>
    <row r="113" spans="1:7" x14ac:dyDescent="0.25">
      <c r="A113" s="24">
        <v>42632</v>
      </c>
      <c r="B113" s="25">
        <v>213.41000399999999</v>
      </c>
      <c r="C113" s="11">
        <f t="shared" si="4"/>
        <v>215.39624974999998</v>
      </c>
      <c r="D113" s="11">
        <f t="shared" si="5"/>
        <v>1.0739901641526335</v>
      </c>
      <c r="E113" s="25">
        <v>213.41000399999999</v>
      </c>
      <c r="F113" s="11">
        <f t="shared" si="6"/>
        <v>215.55798432830525</v>
      </c>
      <c r="G113" s="11">
        <f t="shared" si="7"/>
        <v>211.26202367169472</v>
      </c>
    </row>
    <row r="114" spans="1:7" x14ac:dyDescent="0.25">
      <c r="A114" s="24">
        <v>42629</v>
      </c>
      <c r="B114" s="25">
        <v>213.36999499999999</v>
      </c>
      <c r="C114" s="11">
        <f t="shared" si="4"/>
        <v>215.39500043749999</v>
      </c>
      <c r="D114" s="11">
        <f t="shared" si="5"/>
        <v>1.0764387175748864</v>
      </c>
      <c r="E114" s="25">
        <v>213.36999499999999</v>
      </c>
      <c r="F114" s="11">
        <f t="shared" si="6"/>
        <v>215.52287243514976</v>
      </c>
      <c r="G114" s="11">
        <f t="shared" si="7"/>
        <v>211.21711756485021</v>
      </c>
    </row>
    <row r="115" spans="1:7" x14ac:dyDescent="0.25">
      <c r="A115" s="24">
        <v>42628</v>
      </c>
      <c r="B115" s="25">
        <v>215.279999</v>
      </c>
      <c r="C115" s="11">
        <f t="shared" si="4"/>
        <v>215.220624875</v>
      </c>
      <c r="D115" s="11">
        <f t="shared" si="5"/>
        <v>1.1664679413490358</v>
      </c>
      <c r="E115" s="25">
        <v>215.279999</v>
      </c>
      <c r="F115" s="11">
        <f t="shared" si="6"/>
        <v>217.61293488269808</v>
      </c>
      <c r="G115" s="11">
        <f t="shared" si="7"/>
        <v>212.94706311730192</v>
      </c>
    </row>
    <row r="116" spans="1:7" x14ac:dyDescent="0.25">
      <c r="A116" s="24">
        <v>42627</v>
      </c>
      <c r="B116" s="25">
        <v>213.14999399999999</v>
      </c>
      <c r="C116" s="11">
        <f t="shared" si="4"/>
        <v>215.23562524999997</v>
      </c>
      <c r="D116" s="11">
        <f t="shared" si="5"/>
        <v>1.1655330427284365</v>
      </c>
      <c r="E116" s="25">
        <v>213.14999399999999</v>
      </c>
      <c r="F116" s="11">
        <f t="shared" si="6"/>
        <v>215.48106008545687</v>
      </c>
      <c r="G116" s="11">
        <f t="shared" si="7"/>
        <v>210.81892791454311</v>
      </c>
    </row>
    <row r="117" spans="1:7" x14ac:dyDescent="0.25">
      <c r="A117" s="24">
        <v>42626</v>
      </c>
      <c r="B117" s="25">
        <v>213.229996</v>
      </c>
      <c r="C117" s="11">
        <f t="shared" si="4"/>
        <v>215.07124993749997</v>
      </c>
      <c r="D117" s="11">
        <f t="shared" si="5"/>
        <v>1.2648640544320187</v>
      </c>
      <c r="E117" s="25">
        <v>213.229996</v>
      </c>
      <c r="F117" s="11">
        <f t="shared" si="6"/>
        <v>215.75972410886405</v>
      </c>
      <c r="G117" s="11">
        <f t="shared" si="7"/>
        <v>210.70026789113595</v>
      </c>
    </row>
    <row r="118" spans="1:7" x14ac:dyDescent="0.25">
      <c r="A118" s="24">
        <v>42625</v>
      </c>
      <c r="B118" s="25">
        <v>216.33999600000001</v>
      </c>
      <c r="C118" s="11">
        <f t="shared" si="4"/>
        <v>214.92124937499997</v>
      </c>
      <c r="D118" s="11">
        <f t="shared" si="5"/>
        <v>1.3345716487671953</v>
      </c>
      <c r="E118" s="25">
        <v>216.33999600000001</v>
      </c>
      <c r="F118" s="11">
        <f t="shared" si="6"/>
        <v>219.0091392975344</v>
      </c>
      <c r="G118" s="11">
        <f t="shared" si="7"/>
        <v>213.67085270246562</v>
      </c>
    </row>
    <row r="119" spans="1:7" x14ac:dyDescent="0.25">
      <c r="A119" s="24">
        <v>42622</v>
      </c>
      <c r="B119" s="25">
        <v>213.279999</v>
      </c>
      <c r="C119" s="11">
        <f t="shared" si="4"/>
        <v>215.02499956249997</v>
      </c>
      <c r="D119" s="11">
        <f t="shared" si="5"/>
        <v>1.3783718417120028</v>
      </c>
      <c r="E119" s="25">
        <v>213.279999</v>
      </c>
      <c r="F119" s="11">
        <f t="shared" si="6"/>
        <v>216.036742683424</v>
      </c>
      <c r="G119" s="11">
        <f t="shared" si="7"/>
        <v>210.52325531657601</v>
      </c>
    </row>
    <row r="120" spans="1:7" x14ac:dyDescent="0.25">
      <c r="A120" s="24">
        <v>42621</v>
      </c>
      <c r="B120" s="25">
        <v>218.509995</v>
      </c>
      <c r="C120" s="11">
        <f t="shared" si="4"/>
        <v>214.8687495625</v>
      </c>
      <c r="D120" s="11">
        <f t="shared" si="5"/>
        <v>1.4278891605645974</v>
      </c>
      <c r="E120" s="25">
        <v>218.509995</v>
      </c>
      <c r="F120" s="11">
        <f t="shared" si="6"/>
        <v>221.36577332112921</v>
      </c>
      <c r="G120" s="11">
        <f t="shared" si="7"/>
        <v>215.6542166788708</v>
      </c>
    </row>
    <row r="121" spans="1:7" x14ac:dyDescent="0.25">
      <c r="A121" s="24">
        <v>42620</v>
      </c>
      <c r="B121" s="25">
        <v>219.009995</v>
      </c>
      <c r="C121" s="11">
        <f t="shared" si="4"/>
        <v>215.00687406249997</v>
      </c>
      <c r="D121" s="11">
        <f t="shared" si="5"/>
        <v>1.6630882862238168</v>
      </c>
      <c r="E121" s="25">
        <v>219.009995</v>
      </c>
      <c r="F121" s="11">
        <f t="shared" si="6"/>
        <v>222.33617157244763</v>
      </c>
      <c r="G121" s="11">
        <f t="shared" si="7"/>
        <v>215.68381842755238</v>
      </c>
    </row>
    <row r="122" spans="1:7" x14ac:dyDescent="0.25">
      <c r="A122" s="24">
        <v>42619</v>
      </c>
      <c r="B122" s="25">
        <v>219.029999</v>
      </c>
      <c r="C122" s="11">
        <f t="shared" si="4"/>
        <v>215.27749918749998</v>
      </c>
      <c r="D122" s="11">
        <f t="shared" si="5"/>
        <v>1.9362206898208103</v>
      </c>
      <c r="E122" s="25">
        <v>219.029999</v>
      </c>
      <c r="F122" s="11">
        <f t="shared" si="6"/>
        <v>222.90244037964163</v>
      </c>
      <c r="G122" s="11">
        <f t="shared" si="7"/>
        <v>215.15755762035838</v>
      </c>
    </row>
    <row r="123" spans="1:7" x14ac:dyDescent="0.25">
      <c r="A123" s="24">
        <v>42615</v>
      </c>
      <c r="B123" s="25">
        <v>218.36999499999999</v>
      </c>
      <c r="C123" s="11">
        <f t="shared" si="4"/>
        <v>215.4268741875</v>
      </c>
      <c r="D123" s="11">
        <f t="shared" si="5"/>
        <v>2.1307604471815953</v>
      </c>
      <c r="E123" s="25">
        <v>218.36999499999999</v>
      </c>
      <c r="F123" s="11">
        <f t="shared" si="6"/>
        <v>222.63151589436319</v>
      </c>
      <c r="G123" s="11">
        <f t="shared" si="7"/>
        <v>214.10847410563679</v>
      </c>
    </row>
    <row r="124" spans="1:7" x14ac:dyDescent="0.25">
      <c r="A124" s="24">
        <v>42614</v>
      </c>
      <c r="B124" s="25">
        <v>217.38999899999999</v>
      </c>
      <c r="C124" s="11">
        <f t="shared" si="4"/>
        <v>215.60187343749999</v>
      </c>
      <c r="D124" s="11">
        <f t="shared" si="5"/>
        <v>2.2546777828040101</v>
      </c>
      <c r="E124" s="25">
        <v>217.38999899999999</v>
      </c>
      <c r="F124" s="11">
        <f t="shared" si="6"/>
        <v>221.89935456560801</v>
      </c>
      <c r="G124" s="11">
        <f t="shared" si="7"/>
        <v>212.88064343439197</v>
      </c>
    </row>
    <row r="125" spans="1:7" x14ac:dyDescent="0.25">
      <c r="A125" s="24">
        <v>42613</v>
      </c>
      <c r="B125" s="25">
        <v>217.38000500000001</v>
      </c>
      <c r="C125" s="11">
        <f t="shared" si="4"/>
        <v>215.79874806249998</v>
      </c>
      <c r="D125" s="11">
        <f t="shared" si="5"/>
        <v>2.2653348841875469</v>
      </c>
      <c r="E125" s="25">
        <v>217.38000500000001</v>
      </c>
      <c r="F125" s="11">
        <f t="shared" si="6"/>
        <v>221.91067476837512</v>
      </c>
      <c r="G125" s="11">
        <f t="shared" si="7"/>
        <v>212.84933523162491</v>
      </c>
    </row>
    <row r="126" spans="1:7" x14ac:dyDescent="0.25">
      <c r="A126" s="24">
        <v>42612</v>
      </c>
      <c r="B126" s="25">
        <v>218</v>
      </c>
      <c r="C126" s="11">
        <f t="shared" si="4"/>
        <v>215.88562306249997</v>
      </c>
      <c r="D126" s="11">
        <f t="shared" si="5"/>
        <v>2.2995531464323693</v>
      </c>
      <c r="E126" s="25">
        <v>218</v>
      </c>
      <c r="F126" s="11">
        <f t="shared" si="6"/>
        <v>222.59910629286475</v>
      </c>
      <c r="G126" s="11">
        <f t="shared" si="7"/>
        <v>213.40089370713525</v>
      </c>
    </row>
    <row r="127" spans="1:7" x14ac:dyDescent="0.25">
      <c r="A127" s="24">
        <v>42611</v>
      </c>
      <c r="B127" s="25">
        <v>218.36000100000001</v>
      </c>
      <c r="C127" s="11">
        <f t="shared" si="4"/>
        <v>215.93687349999999</v>
      </c>
      <c r="D127" s="11">
        <f t="shared" si="5"/>
        <v>2.3391214972040282</v>
      </c>
      <c r="E127" s="25">
        <v>218.36000100000001</v>
      </c>
      <c r="F127" s="11">
        <f t="shared" si="6"/>
        <v>223.03824399440808</v>
      </c>
      <c r="G127" s="11">
        <f t="shared" si="7"/>
        <v>213.68175800559194</v>
      </c>
    </row>
    <row r="128" spans="1:7" x14ac:dyDescent="0.25">
      <c r="A128" s="24">
        <v>42608</v>
      </c>
      <c r="B128" s="25">
        <v>217.28999300000001</v>
      </c>
      <c r="C128" s="11">
        <f t="shared" si="4"/>
        <v>216.09562312499997</v>
      </c>
      <c r="D128" s="11">
        <f t="shared" si="5"/>
        <v>2.4156021566428252</v>
      </c>
      <c r="E128" s="25">
        <v>217.28999300000001</v>
      </c>
      <c r="F128" s="11">
        <f t="shared" si="6"/>
        <v>222.12119731328565</v>
      </c>
      <c r="G128" s="11">
        <f t="shared" si="7"/>
        <v>212.45878868671437</v>
      </c>
    </row>
    <row r="129" spans="1:7" x14ac:dyDescent="0.25">
      <c r="A129" s="24">
        <v>42607</v>
      </c>
      <c r="B129" s="25">
        <v>217.699997</v>
      </c>
      <c r="C129" s="11">
        <f t="shared" si="4"/>
        <v>216.33749781249998</v>
      </c>
      <c r="D129" s="11">
        <f t="shared" si="5"/>
        <v>2.3217594254528424</v>
      </c>
      <c r="E129" s="25">
        <v>217.699997</v>
      </c>
      <c r="F129" s="11">
        <f t="shared" si="6"/>
        <v>222.34351585090567</v>
      </c>
      <c r="G129" s="11">
        <f t="shared" si="7"/>
        <v>213.05647814909432</v>
      </c>
    </row>
    <row r="130" spans="1:7" x14ac:dyDescent="0.25">
      <c r="A130" s="24">
        <v>42606</v>
      </c>
      <c r="B130" s="25">
        <v>217.85000600000001</v>
      </c>
      <c r="C130" s="11">
        <f t="shared" si="4"/>
        <v>216.605622375</v>
      </c>
      <c r="D130" s="11">
        <f t="shared" si="5"/>
        <v>2.2059681769032218</v>
      </c>
      <c r="E130" s="25">
        <v>217.85000600000001</v>
      </c>
      <c r="F130" s="11">
        <f t="shared" si="6"/>
        <v>222.26194235380646</v>
      </c>
      <c r="G130" s="11">
        <f t="shared" si="7"/>
        <v>213.43806964619355</v>
      </c>
    </row>
    <row r="131" spans="1:7" x14ac:dyDescent="0.25">
      <c r="A131" s="24">
        <v>42605</v>
      </c>
      <c r="B131" s="25">
        <v>218.970001</v>
      </c>
      <c r="C131" s="11">
        <f t="shared" si="4"/>
        <v>216.8856230625</v>
      </c>
      <c r="D131" s="11">
        <f t="shared" si="5"/>
        <v>2.0464478802542549</v>
      </c>
      <c r="E131" s="25">
        <v>218.970001</v>
      </c>
      <c r="F131" s="11">
        <f t="shared" si="6"/>
        <v>223.06289676050849</v>
      </c>
      <c r="G131" s="11">
        <f t="shared" si="7"/>
        <v>214.8771052394915</v>
      </c>
    </row>
    <row r="132" spans="1:7" x14ac:dyDescent="0.25">
      <c r="A132" s="24">
        <v>42604</v>
      </c>
      <c r="B132" s="25">
        <v>218.529999</v>
      </c>
      <c r="C132" s="11">
        <f t="shared" si="4"/>
        <v>217.11624818750005</v>
      </c>
      <c r="D132" s="11">
        <f t="shared" si="5"/>
        <v>2.0613075054879526</v>
      </c>
      <c r="E132" s="25">
        <v>218.529999</v>
      </c>
      <c r="F132" s="11">
        <f t="shared" si="6"/>
        <v>222.6526140109759</v>
      </c>
      <c r="G132" s="11">
        <f t="shared" si="7"/>
        <v>214.40738398902411</v>
      </c>
    </row>
    <row r="133" spans="1:7" x14ac:dyDescent="0.25">
      <c r="A133" s="24">
        <v>42601</v>
      </c>
      <c r="B133" s="25">
        <v>218.53999300000001</v>
      </c>
      <c r="C133" s="11">
        <f t="shared" si="4"/>
        <v>217.45249850000002</v>
      </c>
      <c r="D133" s="11">
        <f t="shared" si="5"/>
        <v>1.7924530714488451</v>
      </c>
      <c r="E133" s="25">
        <v>218.53999300000001</v>
      </c>
      <c r="F133" s="11">
        <f t="shared" si="6"/>
        <v>222.1248991428977</v>
      </c>
      <c r="G133" s="11">
        <f t="shared" si="7"/>
        <v>214.95508685710232</v>
      </c>
    </row>
    <row r="134" spans="1:7" x14ac:dyDescent="0.25">
      <c r="A134" s="24">
        <v>42600</v>
      </c>
      <c r="B134" s="25">
        <v>218.86000100000001</v>
      </c>
      <c r="C134" s="11">
        <f t="shared" si="4"/>
        <v>217.78437331250001</v>
      </c>
      <c r="D134" s="11">
        <f t="shared" si="5"/>
        <v>1.4091175221030925</v>
      </c>
      <c r="E134" s="25">
        <v>218.86000100000001</v>
      </c>
      <c r="F134" s="11">
        <f t="shared" si="6"/>
        <v>221.67823604420619</v>
      </c>
      <c r="G134" s="11">
        <f t="shared" si="7"/>
        <v>216.04176595579384</v>
      </c>
    </row>
    <row r="135" spans="1:7" x14ac:dyDescent="0.25">
      <c r="A135" s="24">
        <v>42599</v>
      </c>
      <c r="B135" s="25">
        <v>218.36999499999999</v>
      </c>
      <c r="C135" s="11">
        <f t="shared" si="4"/>
        <v>217.941873625</v>
      </c>
      <c r="D135" s="11">
        <f t="shared" si="5"/>
        <v>1.3773895695050535</v>
      </c>
      <c r="E135" s="25">
        <v>218.36999499999999</v>
      </c>
      <c r="F135" s="11">
        <f t="shared" si="6"/>
        <v>221.1247741390101</v>
      </c>
      <c r="G135" s="11">
        <f t="shared" si="7"/>
        <v>215.61521586098988</v>
      </c>
    </row>
    <row r="136" spans="1:7" x14ac:dyDescent="0.25">
      <c r="A136" s="24">
        <v>42598</v>
      </c>
      <c r="B136" s="25">
        <v>217.96000699999999</v>
      </c>
      <c r="C136" s="11">
        <f t="shared" si="4"/>
        <v>218.25999837500001</v>
      </c>
      <c r="D136" s="11">
        <f t="shared" si="5"/>
        <v>0.59380072865295785</v>
      </c>
      <c r="E136" s="25">
        <v>217.96000699999999</v>
      </c>
      <c r="F136" s="11">
        <f t="shared" si="6"/>
        <v>219.14760845730589</v>
      </c>
      <c r="G136" s="11">
        <f t="shared" si="7"/>
        <v>216.77240554269409</v>
      </c>
    </row>
    <row r="137" spans="1:7" x14ac:dyDescent="0.25">
      <c r="A137" s="24">
        <v>42597</v>
      </c>
      <c r="B137" s="25">
        <v>219.08999600000001</v>
      </c>
      <c r="C137" s="11">
        <f t="shared" si="4"/>
        <v>218.225624125</v>
      </c>
      <c r="D137" s="11">
        <f t="shared" si="5"/>
        <v>0.59428279843778964</v>
      </c>
      <c r="E137" s="25">
        <v>219.08999600000001</v>
      </c>
      <c r="F137" s="11">
        <f t="shared" si="6"/>
        <v>220.27856159687559</v>
      </c>
      <c r="G137" s="11">
        <f t="shared" si="7"/>
        <v>217.90143040312444</v>
      </c>
    </row>
    <row r="138" spans="1:7" x14ac:dyDescent="0.25">
      <c r="A138" s="24">
        <v>42594</v>
      </c>
      <c r="B138" s="25">
        <v>218.46000699999999</v>
      </c>
      <c r="C138" s="11">
        <f t="shared" si="4"/>
        <v>218.23062418750001</v>
      </c>
      <c r="D138" s="11">
        <f t="shared" si="5"/>
        <v>0.60161348203690068</v>
      </c>
      <c r="E138" s="25">
        <v>218.46000699999999</v>
      </c>
      <c r="F138" s="11">
        <f t="shared" si="6"/>
        <v>219.66323396407378</v>
      </c>
      <c r="G138" s="11">
        <f t="shared" si="7"/>
        <v>217.2567800359262</v>
      </c>
    </row>
    <row r="139" spans="1:7" x14ac:dyDescent="0.25">
      <c r="A139" s="24">
        <v>42593</v>
      </c>
      <c r="B139" s="25">
        <v>218.64999399999999</v>
      </c>
      <c r="C139" s="11">
        <f t="shared" si="4"/>
        <v>218.19499968750003</v>
      </c>
      <c r="D139" s="11">
        <f t="shared" si="5"/>
        <v>0.56700337625893404</v>
      </c>
      <c r="E139" s="25">
        <v>218.64999399999999</v>
      </c>
      <c r="F139" s="11">
        <f t="shared" si="6"/>
        <v>219.78400075251787</v>
      </c>
      <c r="G139" s="11">
        <f t="shared" si="7"/>
        <v>217.51598724748212</v>
      </c>
    </row>
    <row r="140" spans="1:7" x14ac:dyDescent="0.25">
      <c r="A140" s="24">
        <v>42592</v>
      </c>
      <c r="B140" s="25">
        <v>217.63999899999999</v>
      </c>
      <c r="C140" s="11">
        <f t="shared" si="4"/>
        <v>218.21249962500002</v>
      </c>
      <c r="D140" s="11">
        <f t="shared" si="5"/>
        <v>0.57699733854647683</v>
      </c>
      <c r="E140" s="25">
        <v>217.63999899999999</v>
      </c>
      <c r="F140" s="11">
        <f t="shared" si="6"/>
        <v>218.79399367709294</v>
      </c>
      <c r="G140" s="11">
        <f t="shared" si="7"/>
        <v>216.48600432290704</v>
      </c>
    </row>
    <row r="141" spans="1:7" x14ac:dyDescent="0.25">
      <c r="A141" s="24">
        <v>42591</v>
      </c>
      <c r="B141" s="25">
        <v>218.179993</v>
      </c>
      <c r="C141" s="11">
        <f t="shared" si="4"/>
        <v>218.22812462500002</v>
      </c>
      <c r="D141" s="11">
        <f t="shared" si="5"/>
        <v>0.55625128421399372</v>
      </c>
      <c r="E141" s="25">
        <v>218.179993</v>
      </c>
      <c r="F141" s="11">
        <f t="shared" si="6"/>
        <v>219.292495568428</v>
      </c>
      <c r="G141" s="11">
        <f t="shared" si="7"/>
        <v>217.067490431572</v>
      </c>
    </row>
    <row r="142" spans="1:7" x14ac:dyDescent="0.25">
      <c r="A142" s="24">
        <v>42590</v>
      </c>
      <c r="B142" s="25">
        <v>218.050003</v>
      </c>
      <c r="C142" s="11">
        <f t="shared" si="4"/>
        <v>218.27812387500003</v>
      </c>
      <c r="D142" s="11">
        <f t="shared" si="5"/>
        <v>0.50887086265258408</v>
      </c>
      <c r="E142" s="25">
        <v>218.050003</v>
      </c>
      <c r="F142" s="11">
        <f t="shared" si="6"/>
        <v>219.06774472530518</v>
      </c>
      <c r="G142" s="11">
        <f t="shared" si="7"/>
        <v>217.03226127469483</v>
      </c>
    </row>
    <row r="143" spans="1:7" x14ac:dyDescent="0.25">
      <c r="A143" s="24">
        <v>42587</v>
      </c>
      <c r="B143" s="25">
        <v>218.179993</v>
      </c>
      <c r="C143" s="11">
        <f t="shared" si="4"/>
        <v>218.28124906250002</v>
      </c>
      <c r="D143" s="11">
        <f t="shared" si="5"/>
        <v>0.50719971726247137</v>
      </c>
      <c r="E143" s="25">
        <v>218.179993</v>
      </c>
      <c r="F143" s="11">
        <f t="shared" si="6"/>
        <v>219.19439243452493</v>
      </c>
      <c r="G143" s="11">
        <f t="shared" si="7"/>
        <v>217.16559356547506</v>
      </c>
    </row>
    <row r="144" spans="1:7" x14ac:dyDescent="0.25">
      <c r="A144" s="24">
        <v>42586</v>
      </c>
      <c r="B144" s="25">
        <v>216.41000399999999</v>
      </c>
      <c r="C144" s="11">
        <f t="shared" si="4"/>
        <v>218.26999856250004</v>
      </c>
      <c r="D144" s="11">
        <f t="shared" si="5"/>
        <v>0.50733283226405146</v>
      </c>
      <c r="E144" s="25">
        <v>216.41000399999999</v>
      </c>
      <c r="F144" s="11">
        <f t="shared" si="6"/>
        <v>217.4246696645281</v>
      </c>
      <c r="G144" s="11">
        <f t="shared" si="7"/>
        <v>215.39533833547188</v>
      </c>
    </row>
    <row r="145" spans="1:7" x14ac:dyDescent="0.25">
      <c r="A145" s="24">
        <v>42585</v>
      </c>
      <c r="B145" s="25">
        <v>216.179993</v>
      </c>
      <c r="C145" s="11">
        <f t="shared" si="4"/>
        <v>218.21499924999998</v>
      </c>
      <c r="D145" s="11">
        <f t="shared" si="5"/>
        <v>0.64866884825192028</v>
      </c>
      <c r="E145" s="25">
        <v>216.179993</v>
      </c>
      <c r="F145" s="11">
        <f t="shared" si="6"/>
        <v>217.47733069650383</v>
      </c>
      <c r="G145" s="11">
        <f t="shared" si="7"/>
        <v>214.88265530349616</v>
      </c>
    </row>
    <row r="146" spans="1:7" x14ac:dyDescent="0.25">
      <c r="A146" s="24">
        <v>42584</v>
      </c>
      <c r="B146" s="25">
        <v>215.550003</v>
      </c>
      <c r="C146" s="11">
        <f t="shared" si="4"/>
        <v>218.11999900000001</v>
      </c>
      <c r="D146" s="11">
        <f t="shared" si="5"/>
        <v>0.81825796586081156</v>
      </c>
      <c r="E146" s="25">
        <v>215.550003</v>
      </c>
      <c r="F146" s="11">
        <f t="shared" si="6"/>
        <v>217.18651893172162</v>
      </c>
      <c r="G146" s="11">
        <f t="shared" si="7"/>
        <v>213.91348706827839</v>
      </c>
    </row>
    <row r="147" spans="1:7" x14ac:dyDescent="0.25">
      <c r="A147" s="24">
        <v>42583</v>
      </c>
      <c r="B147" s="25">
        <v>216.94000199999999</v>
      </c>
      <c r="C147" s="11">
        <f t="shared" si="4"/>
        <v>217.97624881249999</v>
      </c>
      <c r="D147" s="11">
        <f t="shared" si="5"/>
        <v>1.0406584081848218</v>
      </c>
      <c r="E147" s="25">
        <v>216.94000199999999</v>
      </c>
      <c r="F147" s="11">
        <f t="shared" si="6"/>
        <v>219.02131881636964</v>
      </c>
      <c r="G147" s="11">
        <f t="shared" si="7"/>
        <v>214.85868518363034</v>
      </c>
    </row>
    <row r="148" spans="1:7" x14ac:dyDescent="0.25">
      <c r="A148" s="24">
        <v>42580</v>
      </c>
      <c r="B148" s="25">
        <v>217.11999499999999</v>
      </c>
      <c r="C148" s="11">
        <f t="shared" ref="C148:C211" si="8">AVERAGE(B132:B147)</f>
        <v>217.84937387499997</v>
      </c>
      <c r="D148" s="11">
        <f t="shared" ref="D148:D211" si="9">_xlfn.STDEV.S(B132:B147)</f>
        <v>1.0351572147228598</v>
      </c>
      <c r="E148" s="25">
        <v>217.11999499999999</v>
      </c>
      <c r="F148" s="11">
        <f t="shared" ref="F148:F211" si="10">B148+2*D148</f>
        <v>219.1903094294457</v>
      </c>
      <c r="G148" s="11">
        <f t="shared" ref="G148:G211" si="11">B148-2*D148</f>
        <v>215.04968057055427</v>
      </c>
    </row>
    <row r="149" spans="1:7" x14ac:dyDescent="0.25">
      <c r="A149" s="24">
        <v>42579</v>
      </c>
      <c r="B149" s="25">
        <v>216.770004</v>
      </c>
      <c r="C149" s="11">
        <f t="shared" si="8"/>
        <v>217.76124862499998</v>
      </c>
      <c r="D149" s="11">
        <f t="shared" si="9"/>
        <v>1.0333680504513978</v>
      </c>
      <c r="E149" s="25">
        <v>216.770004</v>
      </c>
      <c r="F149" s="11">
        <f t="shared" si="10"/>
        <v>218.8367401009028</v>
      </c>
      <c r="G149" s="11">
        <f t="shared" si="11"/>
        <v>214.7032678990972</v>
      </c>
    </row>
    <row r="150" spans="1:7" x14ac:dyDescent="0.25">
      <c r="A150" s="24">
        <v>42578</v>
      </c>
      <c r="B150" s="25">
        <v>216.520004</v>
      </c>
      <c r="C150" s="11">
        <f t="shared" si="8"/>
        <v>217.65062431249999</v>
      </c>
      <c r="D150" s="11">
        <f t="shared" si="9"/>
        <v>1.0391683278515083</v>
      </c>
      <c r="E150" s="25">
        <v>216.520004</v>
      </c>
      <c r="F150" s="11">
        <f t="shared" si="10"/>
        <v>218.59834065570303</v>
      </c>
      <c r="G150" s="11">
        <f t="shared" si="11"/>
        <v>214.44166734429697</v>
      </c>
    </row>
    <row r="151" spans="1:7" x14ac:dyDescent="0.25">
      <c r="A151" s="24">
        <v>42577</v>
      </c>
      <c r="B151" s="25">
        <v>216.75</v>
      </c>
      <c r="C151" s="11">
        <f t="shared" si="8"/>
        <v>217.50437449999998</v>
      </c>
      <c r="D151" s="11">
        <f t="shared" si="9"/>
        <v>1.0221398599804892</v>
      </c>
      <c r="E151" s="25">
        <v>216.75</v>
      </c>
      <c r="F151" s="11">
        <f t="shared" si="10"/>
        <v>218.79427971996097</v>
      </c>
      <c r="G151" s="11">
        <f t="shared" si="11"/>
        <v>214.70572028003903</v>
      </c>
    </row>
    <row r="152" spans="1:7" x14ac:dyDescent="0.25">
      <c r="A152" s="24">
        <v>42576</v>
      </c>
      <c r="B152" s="25">
        <v>216.64999399999999</v>
      </c>
      <c r="C152" s="11">
        <f t="shared" si="8"/>
        <v>217.40312481249998</v>
      </c>
      <c r="D152" s="11">
        <f t="shared" si="9"/>
        <v>1.0108513391903038</v>
      </c>
      <c r="E152" s="25">
        <v>216.64999399999999</v>
      </c>
      <c r="F152" s="11">
        <f t="shared" si="10"/>
        <v>218.67169667838061</v>
      </c>
      <c r="G152" s="11">
        <f t="shared" si="11"/>
        <v>214.62829132161937</v>
      </c>
    </row>
    <row r="153" spans="1:7" x14ac:dyDescent="0.25">
      <c r="A153" s="24">
        <v>42573</v>
      </c>
      <c r="B153" s="25">
        <v>217.240005</v>
      </c>
      <c r="C153" s="11">
        <f t="shared" si="8"/>
        <v>217.32124899999997</v>
      </c>
      <c r="D153" s="11">
        <f t="shared" si="9"/>
        <v>1.0157800391936576</v>
      </c>
      <c r="E153" s="25">
        <v>217.240005</v>
      </c>
      <c r="F153" s="11">
        <f t="shared" si="10"/>
        <v>219.27156507838731</v>
      </c>
      <c r="G153" s="11">
        <f t="shared" si="11"/>
        <v>215.20844492161268</v>
      </c>
    </row>
    <row r="154" spans="1:7" x14ac:dyDescent="0.25">
      <c r="A154" s="24">
        <v>42572</v>
      </c>
      <c r="B154" s="25">
        <v>216.270004</v>
      </c>
      <c r="C154" s="11">
        <f t="shared" si="8"/>
        <v>217.20562456249999</v>
      </c>
      <c r="D154" s="11">
        <f t="shared" si="9"/>
        <v>0.89968019462976956</v>
      </c>
      <c r="E154" s="25">
        <v>216.270004</v>
      </c>
      <c r="F154" s="11">
        <f t="shared" si="10"/>
        <v>218.06936438925953</v>
      </c>
      <c r="G154" s="11">
        <f t="shared" si="11"/>
        <v>214.47064361074047</v>
      </c>
    </row>
    <row r="155" spans="1:7" x14ac:dyDescent="0.25">
      <c r="A155" s="24">
        <v>42571</v>
      </c>
      <c r="B155" s="25">
        <v>217.08999600000001</v>
      </c>
      <c r="C155" s="11">
        <f t="shared" si="8"/>
        <v>217.06874937499998</v>
      </c>
      <c r="D155" s="11">
        <f t="shared" si="9"/>
        <v>0.86191725261573005</v>
      </c>
      <c r="E155" s="25">
        <v>217.08999600000001</v>
      </c>
      <c r="F155" s="11">
        <f t="shared" si="10"/>
        <v>218.81383050523146</v>
      </c>
      <c r="G155" s="11">
        <f t="shared" si="11"/>
        <v>215.36616149476856</v>
      </c>
    </row>
    <row r="156" spans="1:7" x14ac:dyDescent="0.25">
      <c r="A156" s="24">
        <v>42570</v>
      </c>
      <c r="B156" s="25">
        <v>216.19000199999999</v>
      </c>
      <c r="C156" s="11">
        <f t="shared" si="8"/>
        <v>216.97124950000003</v>
      </c>
      <c r="D156" s="11">
        <f t="shared" si="9"/>
        <v>0.75239783361073853</v>
      </c>
      <c r="E156" s="25">
        <v>216.19000199999999</v>
      </c>
      <c r="F156" s="11">
        <f t="shared" si="10"/>
        <v>217.69479766722148</v>
      </c>
      <c r="G156" s="11">
        <f t="shared" si="11"/>
        <v>214.68520633277851</v>
      </c>
    </row>
    <row r="157" spans="1:7" x14ac:dyDescent="0.25">
      <c r="A157" s="24">
        <v>42569</v>
      </c>
      <c r="B157" s="25">
        <v>216.41000399999999</v>
      </c>
      <c r="C157" s="11">
        <f t="shared" si="8"/>
        <v>216.88062468750002</v>
      </c>
      <c r="D157" s="11">
        <f t="shared" si="9"/>
        <v>0.75380163423310265</v>
      </c>
      <c r="E157" s="25">
        <v>216.41000399999999</v>
      </c>
      <c r="F157" s="11">
        <f t="shared" si="10"/>
        <v>217.91760726846618</v>
      </c>
      <c r="G157" s="11">
        <f t="shared" si="11"/>
        <v>214.90240073153379</v>
      </c>
    </row>
    <row r="158" spans="1:7" x14ac:dyDescent="0.25">
      <c r="A158" s="24">
        <v>42566</v>
      </c>
      <c r="B158" s="25">
        <v>215.83000200000001</v>
      </c>
      <c r="C158" s="11">
        <f t="shared" si="8"/>
        <v>216.77000037499997</v>
      </c>
      <c r="D158" s="11">
        <f t="shared" si="9"/>
        <v>0.67629261715639855</v>
      </c>
      <c r="E158" s="25">
        <v>215.83000200000001</v>
      </c>
      <c r="F158" s="11">
        <f t="shared" si="10"/>
        <v>217.18258723431279</v>
      </c>
      <c r="G158" s="11">
        <f t="shared" si="11"/>
        <v>214.47741676568722</v>
      </c>
    </row>
    <row r="159" spans="1:7" x14ac:dyDescent="0.25">
      <c r="A159" s="24">
        <v>42565</v>
      </c>
      <c r="B159" s="25">
        <v>216.11999499999999</v>
      </c>
      <c r="C159" s="11">
        <f t="shared" si="8"/>
        <v>216.63125031250001</v>
      </c>
      <c r="D159" s="11">
        <f t="shared" si="9"/>
        <v>0.62170413691183901</v>
      </c>
      <c r="E159" s="25">
        <v>216.11999499999999</v>
      </c>
      <c r="F159" s="11">
        <f t="shared" si="10"/>
        <v>217.36340327382368</v>
      </c>
      <c r="G159" s="11">
        <f t="shared" si="11"/>
        <v>214.8765867261763</v>
      </c>
    </row>
    <row r="160" spans="1:7" x14ac:dyDescent="0.25">
      <c r="A160" s="24">
        <v>42564</v>
      </c>
      <c r="B160" s="25">
        <v>214.91999799999999</v>
      </c>
      <c r="C160" s="11">
        <f t="shared" si="8"/>
        <v>216.5025004375</v>
      </c>
      <c r="D160" s="11">
        <f t="shared" si="9"/>
        <v>0.47576563595072235</v>
      </c>
      <c r="E160" s="25">
        <v>214.91999799999999</v>
      </c>
      <c r="F160" s="11">
        <f t="shared" si="10"/>
        <v>215.87152927190144</v>
      </c>
      <c r="G160" s="11">
        <f t="shared" si="11"/>
        <v>213.96846672809855</v>
      </c>
    </row>
    <row r="161" spans="1:7" x14ac:dyDescent="0.25">
      <c r="A161" s="24">
        <v>42563</v>
      </c>
      <c r="B161" s="25">
        <v>214.949997</v>
      </c>
      <c r="C161" s="11">
        <f t="shared" si="8"/>
        <v>216.4093750625</v>
      </c>
      <c r="D161" s="11">
        <f t="shared" si="9"/>
        <v>0.61926273968943324</v>
      </c>
      <c r="E161" s="25">
        <v>214.949997</v>
      </c>
      <c r="F161" s="11">
        <f t="shared" si="10"/>
        <v>216.18852247937886</v>
      </c>
      <c r="G161" s="11">
        <f t="shared" si="11"/>
        <v>213.71147152062113</v>
      </c>
    </row>
    <row r="162" spans="1:7" x14ac:dyDescent="0.25">
      <c r="A162" s="24">
        <v>42562</v>
      </c>
      <c r="B162" s="25">
        <v>213.39999399999999</v>
      </c>
      <c r="C162" s="11">
        <f t="shared" si="8"/>
        <v>216.3325003125</v>
      </c>
      <c r="D162" s="11">
        <f t="shared" si="9"/>
        <v>0.71809505755266334</v>
      </c>
      <c r="E162" s="25">
        <v>213.39999399999999</v>
      </c>
      <c r="F162" s="11">
        <f t="shared" si="10"/>
        <v>214.83618411510531</v>
      </c>
      <c r="G162" s="11">
        <f t="shared" si="11"/>
        <v>211.96380388489467</v>
      </c>
    </row>
    <row r="163" spans="1:7" x14ac:dyDescent="0.25">
      <c r="A163" s="24">
        <v>42559</v>
      </c>
      <c r="B163" s="25">
        <v>212.64999399999999</v>
      </c>
      <c r="C163" s="11">
        <f t="shared" si="8"/>
        <v>216.19812474999998</v>
      </c>
      <c r="D163" s="11">
        <f t="shared" si="9"/>
        <v>1.0143401873550129</v>
      </c>
      <c r="E163" s="25">
        <v>212.64999399999999</v>
      </c>
      <c r="F163" s="11">
        <f t="shared" si="10"/>
        <v>214.67867437471003</v>
      </c>
      <c r="G163" s="11">
        <f t="shared" si="11"/>
        <v>210.62131362528996</v>
      </c>
    </row>
    <row r="164" spans="1:7" x14ac:dyDescent="0.25">
      <c r="A164" s="24">
        <v>42558</v>
      </c>
      <c r="B164" s="25">
        <v>209.529999</v>
      </c>
      <c r="C164" s="11">
        <f t="shared" si="8"/>
        <v>215.92999924999998</v>
      </c>
      <c r="D164" s="11">
        <f t="shared" si="9"/>
        <v>1.3246856145333774</v>
      </c>
      <c r="E164" s="25">
        <v>209.529999</v>
      </c>
      <c r="F164" s="11">
        <f t="shared" si="10"/>
        <v>212.17937022906676</v>
      </c>
      <c r="G164" s="11">
        <f t="shared" si="11"/>
        <v>206.88062777093324</v>
      </c>
    </row>
    <row r="165" spans="1:7" x14ac:dyDescent="0.25">
      <c r="A165" s="24">
        <v>42557</v>
      </c>
      <c r="B165" s="25">
        <v>209.66000399999999</v>
      </c>
      <c r="C165" s="11">
        <f t="shared" si="8"/>
        <v>215.45562449999997</v>
      </c>
      <c r="D165" s="11">
        <f t="shared" si="9"/>
        <v>2.037405057424043</v>
      </c>
      <c r="E165" s="25">
        <v>209.66000399999999</v>
      </c>
      <c r="F165" s="11">
        <f t="shared" si="10"/>
        <v>213.73481411484806</v>
      </c>
      <c r="G165" s="11">
        <f t="shared" si="11"/>
        <v>205.58519388515191</v>
      </c>
    </row>
    <row r="166" spans="1:7" x14ac:dyDescent="0.25">
      <c r="A166" s="24">
        <v>42556</v>
      </c>
      <c r="B166" s="25">
        <v>208.41000399999999</v>
      </c>
      <c r="C166" s="11">
        <f t="shared" si="8"/>
        <v>215.01124949999996</v>
      </c>
      <c r="D166" s="11">
        <f t="shared" si="9"/>
        <v>2.4626193071640357</v>
      </c>
      <c r="E166" s="25">
        <v>208.41000399999999</v>
      </c>
      <c r="F166" s="11">
        <f t="shared" si="10"/>
        <v>213.33524261432805</v>
      </c>
      <c r="G166" s="11">
        <f t="shared" si="11"/>
        <v>203.48476538567192</v>
      </c>
    </row>
    <row r="167" spans="1:7" x14ac:dyDescent="0.25">
      <c r="A167" s="24">
        <v>42552</v>
      </c>
      <c r="B167" s="25">
        <v>209.91999799999999</v>
      </c>
      <c r="C167" s="11">
        <f t="shared" si="8"/>
        <v>214.50437449999995</v>
      </c>
      <c r="D167" s="11">
        <f t="shared" si="9"/>
        <v>2.9229751229441581</v>
      </c>
      <c r="E167" s="25">
        <v>209.91999799999999</v>
      </c>
      <c r="F167" s="11">
        <f t="shared" si="10"/>
        <v>215.7659482458883</v>
      </c>
      <c r="G167" s="11">
        <f t="shared" si="11"/>
        <v>204.07404775411169</v>
      </c>
    </row>
    <row r="168" spans="1:7" x14ac:dyDescent="0.25">
      <c r="A168" s="24">
        <v>42551</v>
      </c>
      <c r="B168" s="25">
        <v>209.479996</v>
      </c>
      <c r="C168" s="11">
        <f t="shared" si="8"/>
        <v>214.07749937499995</v>
      </c>
      <c r="D168" s="11">
        <f t="shared" si="9"/>
        <v>3.068277145133818</v>
      </c>
      <c r="E168" s="25">
        <v>209.479996</v>
      </c>
      <c r="F168" s="11">
        <f t="shared" si="10"/>
        <v>215.61655029026764</v>
      </c>
      <c r="G168" s="11">
        <f t="shared" si="11"/>
        <v>203.34344170973236</v>
      </c>
    </row>
    <row r="169" spans="1:7" x14ac:dyDescent="0.25">
      <c r="A169" s="24">
        <v>42550</v>
      </c>
      <c r="B169" s="25">
        <v>206.66000399999999</v>
      </c>
      <c r="C169" s="11">
        <f t="shared" si="8"/>
        <v>213.62937449999995</v>
      </c>
      <c r="D169" s="11">
        <f t="shared" si="9"/>
        <v>3.1887419025925174</v>
      </c>
      <c r="E169" s="25">
        <v>206.66000399999999</v>
      </c>
      <c r="F169" s="11">
        <f t="shared" si="10"/>
        <v>213.03748780518501</v>
      </c>
      <c r="G169" s="11">
        <f t="shared" si="11"/>
        <v>200.28252019481496</v>
      </c>
    </row>
    <row r="170" spans="1:7" x14ac:dyDescent="0.25">
      <c r="A170" s="24">
        <v>42549</v>
      </c>
      <c r="B170" s="25">
        <v>203.199997</v>
      </c>
      <c r="C170" s="11">
        <f t="shared" si="8"/>
        <v>212.96812443749994</v>
      </c>
      <c r="D170" s="11">
        <f t="shared" si="9"/>
        <v>3.4742919667799961</v>
      </c>
      <c r="E170" s="25">
        <v>203.199997</v>
      </c>
      <c r="F170" s="11">
        <f t="shared" si="10"/>
        <v>210.14858093356</v>
      </c>
      <c r="G170" s="11">
        <f t="shared" si="11"/>
        <v>196.25141306643999</v>
      </c>
    </row>
    <row r="171" spans="1:7" x14ac:dyDescent="0.25">
      <c r="A171" s="24">
        <v>42548</v>
      </c>
      <c r="B171" s="25">
        <v>199.60000600000001</v>
      </c>
      <c r="C171" s="11">
        <f t="shared" si="8"/>
        <v>212.15124899999995</v>
      </c>
      <c r="D171" s="11">
        <f t="shared" si="9"/>
        <v>4.1222801729157306</v>
      </c>
      <c r="E171" s="25">
        <v>199.60000600000001</v>
      </c>
      <c r="F171" s="11">
        <f t="shared" si="10"/>
        <v>207.84456634583148</v>
      </c>
      <c r="G171" s="11">
        <f t="shared" si="11"/>
        <v>191.35544565416853</v>
      </c>
    </row>
    <row r="172" spans="1:7" x14ac:dyDescent="0.25">
      <c r="A172" s="24">
        <v>42545</v>
      </c>
      <c r="B172" s="25">
        <v>203.240005</v>
      </c>
      <c r="C172" s="11">
        <f t="shared" si="8"/>
        <v>211.058124625</v>
      </c>
      <c r="D172" s="11">
        <f t="shared" si="9"/>
        <v>4.9593121289667144</v>
      </c>
      <c r="E172" s="25">
        <v>203.240005</v>
      </c>
      <c r="F172" s="11">
        <f t="shared" si="10"/>
        <v>213.15862925793343</v>
      </c>
      <c r="G172" s="11">
        <f t="shared" si="11"/>
        <v>193.32138074206657</v>
      </c>
    </row>
    <row r="173" spans="1:7" x14ac:dyDescent="0.25">
      <c r="A173" s="24">
        <v>42544</v>
      </c>
      <c r="B173" s="25">
        <v>210.80999800000001</v>
      </c>
      <c r="C173" s="11">
        <f t="shared" si="8"/>
        <v>210.24874981249999</v>
      </c>
      <c r="D173" s="11">
        <f t="shared" si="9"/>
        <v>5.1200721321270999</v>
      </c>
      <c r="E173" s="25">
        <v>210.80999800000001</v>
      </c>
      <c r="F173" s="11">
        <f t="shared" si="10"/>
        <v>221.05014226425422</v>
      </c>
      <c r="G173" s="11">
        <f t="shared" si="11"/>
        <v>200.5698537357458</v>
      </c>
    </row>
    <row r="174" spans="1:7" x14ac:dyDescent="0.25">
      <c r="A174" s="24">
        <v>42543</v>
      </c>
      <c r="B174" s="25">
        <v>208.10000600000001</v>
      </c>
      <c r="C174" s="11">
        <f t="shared" si="8"/>
        <v>209.89874943750004</v>
      </c>
      <c r="D174" s="11">
        <f t="shared" si="9"/>
        <v>4.8553820429001036</v>
      </c>
      <c r="E174" s="25">
        <v>208.10000600000001</v>
      </c>
      <c r="F174" s="11">
        <f t="shared" si="10"/>
        <v>217.81077008580021</v>
      </c>
      <c r="G174" s="11">
        <f t="shared" si="11"/>
        <v>198.3892419141998</v>
      </c>
    </row>
    <row r="175" spans="1:7" x14ac:dyDescent="0.25">
      <c r="A175" s="24">
        <v>42542</v>
      </c>
      <c r="B175" s="25">
        <v>208.44000199999999</v>
      </c>
      <c r="C175" s="11">
        <f t="shared" si="8"/>
        <v>209.41562468750004</v>
      </c>
      <c r="D175" s="11">
        <f t="shared" si="9"/>
        <v>4.603927239119062</v>
      </c>
      <c r="E175" s="25">
        <v>208.44000199999999</v>
      </c>
      <c r="F175" s="11">
        <f t="shared" si="10"/>
        <v>217.64785647823811</v>
      </c>
      <c r="G175" s="11">
        <f t="shared" si="11"/>
        <v>199.23214752176187</v>
      </c>
    </row>
    <row r="176" spans="1:7" x14ac:dyDescent="0.25">
      <c r="A176" s="24">
        <v>42541</v>
      </c>
      <c r="B176" s="25">
        <v>207.85000600000001</v>
      </c>
      <c r="C176" s="11">
        <f t="shared" si="8"/>
        <v>208.93562512500006</v>
      </c>
      <c r="D176" s="11">
        <f t="shared" si="9"/>
        <v>4.244675530652235</v>
      </c>
      <c r="E176" s="25">
        <v>207.85000600000001</v>
      </c>
      <c r="F176" s="11">
        <f t="shared" si="10"/>
        <v>216.33935706130447</v>
      </c>
      <c r="G176" s="11">
        <f t="shared" si="11"/>
        <v>199.36065493869555</v>
      </c>
    </row>
    <row r="177" spans="1:7" x14ac:dyDescent="0.25">
      <c r="A177" s="24">
        <v>42538</v>
      </c>
      <c r="B177" s="25">
        <v>206.520004</v>
      </c>
      <c r="C177" s="11">
        <f t="shared" si="8"/>
        <v>208.49375062500005</v>
      </c>
      <c r="D177" s="11">
        <f t="shared" si="9"/>
        <v>3.937011187904631</v>
      </c>
      <c r="E177" s="25">
        <v>206.520004</v>
      </c>
      <c r="F177" s="11">
        <f t="shared" si="10"/>
        <v>214.39402637580926</v>
      </c>
      <c r="G177" s="11">
        <f t="shared" si="11"/>
        <v>198.64598162419074</v>
      </c>
    </row>
    <row r="178" spans="1:7" x14ac:dyDescent="0.25">
      <c r="A178" s="24">
        <v>42537</v>
      </c>
      <c r="B178" s="25">
        <v>208.36999499999999</v>
      </c>
      <c r="C178" s="11">
        <f t="shared" si="8"/>
        <v>207.96687606250003</v>
      </c>
      <c r="D178" s="11">
        <f t="shared" si="9"/>
        <v>3.5615714323552807</v>
      </c>
      <c r="E178" s="25">
        <v>208.36999499999999</v>
      </c>
      <c r="F178" s="11">
        <f t="shared" si="10"/>
        <v>215.49313786471055</v>
      </c>
      <c r="G178" s="11">
        <f t="shared" si="11"/>
        <v>201.24685213528943</v>
      </c>
    </row>
    <row r="179" spans="1:7" x14ac:dyDescent="0.25">
      <c r="A179" s="24">
        <v>42536</v>
      </c>
      <c r="B179" s="25">
        <v>207.75</v>
      </c>
      <c r="C179" s="11">
        <f t="shared" si="8"/>
        <v>207.65250112500001</v>
      </c>
      <c r="D179" s="11">
        <f t="shared" si="9"/>
        <v>3.2591849160004771</v>
      </c>
      <c r="E179" s="25">
        <v>207.75</v>
      </c>
      <c r="F179" s="11">
        <f t="shared" si="10"/>
        <v>214.26836983200096</v>
      </c>
      <c r="G179" s="11">
        <f t="shared" si="11"/>
        <v>201.23163016799904</v>
      </c>
    </row>
    <row r="180" spans="1:7" x14ac:dyDescent="0.25">
      <c r="A180" s="24">
        <v>42535</v>
      </c>
      <c r="B180" s="25">
        <v>208.03999300000001</v>
      </c>
      <c r="C180" s="11">
        <f t="shared" si="8"/>
        <v>207.34625150000002</v>
      </c>
      <c r="D180" s="11">
        <f t="shared" si="9"/>
        <v>2.9762195754594885</v>
      </c>
      <c r="E180" s="25">
        <v>208.03999300000001</v>
      </c>
      <c r="F180" s="11">
        <f t="shared" si="10"/>
        <v>213.992432150919</v>
      </c>
      <c r="G180" s="11">
        <f t="shared" si="11"/>
        <v>202.08755384908102</v>
      </c>
    </row>
    <row r="181" spans="1:7" x14ac:dyDescent="0.25">
      <c r="A181" s="24">
        <v>42534</v>
      </c>
      <c r="B181" s="25">
        <v>208.449997</v>
      </c>
      <c r="C181" s="11">
        <f t="shared" si="8"/>
        <v>207.25312612499999</v>
      </c>
      <c r="D181" s="11">
        <f t="shared" si="9"/>
        <v>2.9262263660191845</v>
      </c>
      <c r="E181" s="25">
        <v>208.449997</v>
      </c>
      <c r="F181" s="11">
        <f t="shared" si="10"/>
        <v>214.30244973203835</v>
      </c>
      <c r="G181" s="11">
        <f t="shared" si="11"/>
        <v>202.59754426796164</v>
      </c>
    </row>
    <row r="182" spans="1:7" x14ac:dyDescent="0.25">
      <c r="A182" s="24">
        <v>42531</v>
      </c>
      <c r="B182" s="25">
        <v>210.070007</v>
      </c>
      <c r="C182" s="11">
        <f t="shared" si="8"/>
        <v>207.17750068749999</v>
      </c>
      <c r="D182" s="11">
        <f t="shared" si="9"/>
        <v>2.8750645518004556</v>
      </c>
      <c r="E182" s="25">
        <v>210.070007</v>
      </c>
      <c r="F182" s="11">
        <f t="shared" si="10"/>
        <v>215.8201361036009</v>
      </c>
      <c r="G182" s="11">
        <f t="shared" si="11"/>
        <v>204.31987789639911</v>
      </c>
    </row>
    <row r="183" spans="1:7" x14ac:dyDescent="0.25">
      <c r="A183" s="24">
        <v>42530</v>
      </c>
      <c r="B183" s="25">
        <v>212.08000200000001</v>
      </c>
      <c r="C183" s="11">
        <f t="shared" si="8"/>
        <v>207.28125087499998</v>
      </c>
      <c r="D183" s="11">
        <f t="shared" si="9"/>
        <v>2.951443097710245</v>
      </c>
      <c r="E183" s="25">
        <v>212.08000200000001</v>
      </c>
      <c r="F183" s="11">
        <f t="shared" si="10"/>
        <v>217.98288819542049</v>
      </c>
      <c r="G183" s="11">
        <f t="shared" si="11"/>
        <v>206.17711580457953</v>
      </c>
    </row>
    <row r="184" spans="1:7" x14ac:dyDescent="0.25">
      <c r="A184" s="24">
        <v>42529</v>
      </c>
      <c r="B184" s="25">
        <v>212.36999499999999</v>
      </c>
      <c r="C184" s="11">
        <f t="shared" si="8"/>
        <v>207.416251125</v>
      </c>
      <c r="D184" s="11">
        <f t="shared" si="9"/>
        <v>3.1245124449030852</v>
      </c>
      <c r="E184" s="25">
        <v>212.36999499999999</v>
      </c>
      <c r="F184" s="11">
        <f t="shared" si="10"/>
        <v>218.61901988980617</v>
      </c>
      <c r="G184" s="11">
        <f t="shared" si="11"/>
        <v>206.12097011019381</v>
      </c>
    </row>
    <row r="185" spans="1:7" x14ac:dyDescent="0.25">
      <c r="A185" s="24">
        <v>42528</v>
      </c>
      <c r="B185" s="25">
        <v>211.679993</v>
      </c>
      <c r="C185" s="11">
        <f t="shared" si="8"/>
        <v>207.5968760625</v>
      </c>
      <c r="D185" s="11">
        <f t="shared" si="9"/>
        <v>3.3286353545817633</v>
      </c>
      <c r="E185" s="25">
        <v>211.679993</v>
      </c>
      <c r="F185" s="11">
        <f t="shared" si="10"/>
        <v>218.33726370916352</v>
      </c>
      <c r="G185" s="11">
        <f t="shared" si="11"/>
        <v>205.02272229083647</v>
      </c>
    </row>
    <row r="186" spans="1:7" x14ac:dyDescent="0.25">
      <c r="A186" s="24">
        <v>42527</v>
      </c>
      <c r="B186" s="25">
        <v>211.35000600000001</v>
      </c>
      <c r="C186" s="11">
        <f t="shared" si="8"/>
        <v>207.910625375</v>
      </c>
      <c r="D186" s="11">
        <f t="shared" si="9"/>
        <v>3.4681051158894021</v>
      </c>
      <c r="E186" s="25">
        <v>211.35000600000001</v>
      </c>
      <c r="F186" s="11">
        <f t="shared" si="10"/>
        <v>218.28621623177881</v>
      </c>
      <c r="G186" s="11">
        <f t="shared" si="11"/>
        <v>204.41379576822121</v>
      </c>
    </row>
    <row r="187" spans="1:7" x14ac:dyDescent="0.25">
      <c r="A187" s="24">
        <v>42524</v>
      </c>
      <c r="B187" s="25">
        <v>210.279999</v>
      </c>
      <c r="C187" s="11">
        <f t="shared" si="8"/>
        <v>208.42000093750002</v>
      </c>
      <c r="D187" s="11">
        <f t="shared" si="9"/>
        <v>3.3256999303443768</v>
      </c>
      <c r="E187" s="25">
        <v>210.279999</v>
      </c>
      <c r="F187" s="11">
        <f t="shared" si="10"/>
        <v>216.93139886068874</v>
      </c>
      <c r="G187" s="11">
        <f t="shared" si="11"/>
        <v>203.62859913931126</v>
      </c>
    </row>
    <row r="188" spans="1:7" x14ac:dyDescent="0.25">
      <c r="A188" s="24">
        <v>42523</v>
      </c>
      <c r="B188" s="25">
        <v>210.91000399999999</v>
      </c>
      <c r="C188" s="11">
        <f t="shared" si="8"/>
        <v>209.0875005</v>
      </c>
      <c r="D188" s="11">
        <f t="shared" si="9"/>
        <v>2.3726580290237647</v>
      </c>
      <c r="E188" s="25">
        <v>210.91000399999999</v>
      </c>
      <c r="F188" s="11">
        <f t="shared" si="10"/>
        <v>215.65532005804752</v>
      </c>
      <c r="G188" s="11">
        <f t="shared" si="11"/>
        <v>206.16468794195245</v>
      </c>
    </row>
    <row r="189" spans="1:7" x14ac:dyDescent="0.25">
      <c r="A189" s="24">
        <v>42522</v>
      </c>
      <c r="B189" s="25">
        <v>210.270004</v>
      </c>
      <c r="C189" s="11">
        <f t="shared" si="8"/>
        <v>209.56687543750002</v>
      </c>
      <c r="D189" s="11">
        <f t="shared" si="9"/>
        <v>1.8238074082187861</v>
      </c>
      <c r="E189" s="25">
        <v>210.270004</v>
      </c>
      <c r="F189" s="11">
        <f t="shared" si="10"/>
        <v>213.91761881643757</v>
      </c>
      <c r="G189" s="11">
        <f t="shared" si="11"/>
        <v>206.62238918356243</v>
      </c>
    </row>
    <row r="190" spans="1:7" x14ac:dyDescent="0.25">
      <c r="A190" s="24">
        <v>42521</v>
      </c>
      <c r="B190" s="25">
        <v>209.83999600000001</v>
      </c>
      <c r="C190" s="11">
        <f t="shared" si="8"/>
        <v>209.5331258125</v>
      </c>
      <c r="D190" s="11">
        <f t="shared" si="9"/>
        <v>1.8041602554302165</v>
      </c>
      <c r="E190" s="25">
        <v>209.83999600000001</v>
      </c>
      <c r="F190" s="11">
        <f t="shared" si="10"/>
        <v>213.44831651086045</v>
      </c>
      <c r="G190" s="11">
        <f t="shared" si="11"/>
        <v>206.23167548913958</v>
      </c>
    </row>
    <row r="191" spans="1:7" x14ac:dyDescent="0.25">
      <c r="A191" s="24">
        <v>42517</v>
      </c>
      <c r="B191" s="25">
        <v>210.240005</v>
      </c>
      <c r="C191" s="11">
        <f t="shared" si="8"/>
        <v>209.64187518750001</v>
      </c>
      <c r="D191" s="11">
        <f t="shared" si="9"/>
        <v>1.7640111016109548</v>
      </c>
      <c r="E191" s="25">
        <v>210.240005</v>
      </c>
      <c r="F191" s="11">
        <f t="shared" si="10"/>
        <v>213.76802720322192</v>
      </c>
      <c r="G191" s="11">
        <f t="shared" si="11"/>
        <v>206.71198279677807</v>
      </c>
    </row>
    <row r="192" spans="1:7" x14ac:dyDescent="0.25">
      <c r="A192" s="24">
        <v>42516</v>
      </c>
      <c r="B192" s="25">
        <v>209.33999600000001</v>
      </c>
      <c r="C192" s="11">
        <f t="shared" si="8"/>
        <v>209.754375375</v>
      </c>
      <c r="D192" s="11">
        <f t="shared" si="9"/>
        <v>1.7394785988502355</v>
      </c>
      <c r="E192" s="25">
        <v>209.33999600000001</v>
      </c>
      <c r="F192" s="11">
        <f t="shared" si="10"/>
        <v>212.81895319770049</v>
      </c>
      <c r="G192" s="11">
        <f t="shared" si="11"/>
        <v>205.86103880229953</v>
      </c>
    </row>
    <row r="193" spans="1:7" x14ac:dyDescent="0.25">
      <c r="A193" s="24">
        <v>42515</v>
      </c>
      <c r="B193" s="25">
        <v>209.279999</v>
      </c>
      <c r="C193" s="11">
        <f t="shared" si="8"/>
        <v>209.84749975</v>
      </c>
      <c r="D193" s="11">
        <f t="shared" si="9"/>
        <v>1.6691938193900864</v>
      </c>
      <c r="E193" s="25">
        <v>209.279999</v>
      </c>
      <c r="F193" s="11">
        <f t="shared" si="10"/>
        <v>212.61838663878018</v>
      </c>
      <c r="G193" s="11">
        <f t="shared" si="11"/>
        <v>205.94161136121983</v>
      </c>
    </row>
    <row r="194" spans="1:7" x14ac:dyDescent="0.25">
      <c r="A194" s="24">
        <v>42514</v>
      </c>
      <c r="B194" s="25">
        <v>207.86999499999999</v>
      </c>
      <c r="C194" s="11">
        <f t="shared" si="8"/>
        <v>210.01999943749999</v>
      </c>
      <c r="D194" s="11">
        <f t="shared" si="9"/>
        <v>1.427511843741454</v>
      </c>
      <c r="E194" s="25">
        <v>207.86999499999999</v>
      </c>
      <c r="F194" s="11">
        <f t="shared" si="10"/>
        <v>210.7250186874829</v>
      </c>
      <c r="G194" s="11">
        <f t="shared" si="11"/>
        <v>205.01497131251708</v>
      </c>
    </row>
    <row r="195" spans="1:7" x14ac:dyDescent="0.25">
      <c r="A195" s="24">
        <v>42513</v>
      </c>
      <c r="B195" s="25">
        <v>205.21000699999999</v>
      </c>
      <c r="C195" s="11">
        <f t="shared" si="8"/>
        <v>209.98874943750002</v>
      </c>
      <c r="D195" s="11">
        <f t="shared" si="9"/>
        <v>1.4708553157450461</v>
      </c>
      <c r="E195" s="25">
        <v>205.21000699999999</v>
      </c>
      <c r="F195" s="11">
        <f t="shared" si="10"/>
        <v>208.15171763149007</v>
      </c>
      <c r="G195" s="11">
        <f t="shared" si="11"/>
        <v>202.26829636850991</v>
      </c>
    </row>
    <row r="196" spans="1:7" x14ac:dyDescent="0.25">
      <c r="A196" s="24">
        <v>42510</v>
      </c>
      <c r="B196" s="25">
        <v>205.490005</v>
      </c>
      <c r="C196" s="11">
        <f t="shared" si="8"/>
        <v>209.82999987500003</v>
      </c>
      <c r="D196" s="11">
        <f t="shared" si="9"/>
        <v>1.8234105016038087</v>
      </c>
      <c r="E196" s="25">
        <v>205.490005</v>
      </c>
      <c r="F196" s="11">
        <f t="shared" si="10"/>
        <v>209.1368260032076</v>
      </c>
      <c r="G196" s="11">
        <f t="shared" si="11"/>
        <v>201.84318399679239</v>
      </c>
    </row>
    <row r="197" spans="1:7" x14ac:dyDescent="0.25">
      <c r="A197" s="24">
        <v>42509</v>
      </c>
      <c r="B197" s="25">
        <v>204.199997</v>
      </c>
      <c r="C197" s="11">
        <f t="shared" si="8"/>
        <v>209.67062562500004</v>
      </c>
      <c r="D197" s="11">
        <f t="shared" si="9"/>
        <v>2.0832253252725828</v>
      </c>
      <c r="E197" s="25">
        <v>204.199997</v>
      </c>
      <c r="F197" s="11">
        <f t="shared" si="10"/>
        <v>208.36644765054515</v>
      </c>
      <c r="G197" s="11">
        <f t="shared" si="11"/>
        <v>200.03354634945484</v>
      </c>
    </row>
    <row r="198" spans="1:7" x14ac:dyDescent="0.25">
      <c r="A198" s="24">
        <v>42508</v>
      </c>
      <c r="B198" s="25">
        <v>204.91000399999999</v>
      </c>
      <c r="C198" s="11">
        <f t="shared" si="8"/>
        <v>209.40500062500001</v>
      </c>
      <c r="D198" s="11">
        <f t="shared" si="9"/>
        <v>2.4820200563298691</v>
      </c>
      <c r="E198" s="25">
        <v>204.91000399999999</v>
      </c>
      <c r="F198" s="11">
        <f t="shared" si="10"/>
        <v>209.87404411265973</v>
      </c>
      <c r="G198" s="11">
        <f t="shared" si="11"/>
        <v>199.94596388734024</v>
      </c>
    </row>
    <row r="199" spans="1:7" x14ac:dyDescent="0.25">
      <c r="A199" s="24">
        <v>42507</v>
      </c>
      <c r="B199" s="25">
        <v>204.85000600000001</v>
      </c>
      <c r="C199" s="11">
        <f t="shared" si="8"/>
        <v>209.08250043750002</v>
      </c>
      <c r="D199" s="11">
        <f t="shared" si="9"/>
        <v>2.7142219590559917</v>
      </c>
      <c r="E199" s="25">
        <v>204.85000600000001</v>
      </c>
      <c r="F199" s="11">
        <f t="shared" si="10"/>
        <v>210.27844991811199</v>
      </c>
      <c r="G199" s="11">
        <f t="shared" si="11"/>
        <v>199.42156208188803</v>
      </c>
    </row>
    <row r="200" spans="1:7" x14ac:dyDescent="0.25">
      <c r="A200" s="24">
        <v>42506</v>
      </c>
      <c r="B200" s="25">
        <v>206.779999</v>
      </c>
      <c r="C200" s="11">
        <f t="shared" si="8"/>
        <v>208.63062568750001</v>
      </c>
      <c r="D200" s="11">
        <f t="shared" si="9"/>
        <v>2.7828876316589279</v>
      </c>
      <c r="E200" s="25">
        <v>206.779999</v>
      </c>
      <c r="F200" s="11">
        <f t="shared" si="10"/>
        <v>212.34577426331785</v>
      </c>
      <c r="G200" s="11">
        <f t="shared" si="11"/>
        <v>201.21422373668216</v>
      </c>
    </row>
    <row r="201" spans="1:7" x14ac:dyDescent="0.25">
      <c r="A201" s="24">
        <v>42503</v>
      </c>
      <c r="B201" s="25">
        <v>204.759995</v>
      </c>
      <c r="C201" s="11">
        <f t="shared" si="8"/>
        <v>208.2812509375</v>
      </c>
      <c r="D201" s="11">
        <f t="shared" si="9"/>
        <v>2.6287625274112423</v>
      </c>
      <c r="E201" s="25">
        <v>204.759995</v>
      </c>
      <c r="F201" s="11">
        <f t="shared" si="10"/>
        <v>210.01752005482248</v>
      </c>
      <c r="G201" s="11">
        <f t="shared" si="11"/>
        <v>199.50246994517752</v>
      </c>
    </row>
    <row r="202" spans="1:7" x14ac:dyDescent="0.25">
      <c r="A202" s="24">
        <v>42502</v>
      </c>
      <c r="B202" s="25">
        <v>206.55999800000001</v>
      </c>
      <c r="C202" s="11">
        <f t="shared" si="8"/>
        <v>207.84875106250001</v>
      </c>
      <c r="D202" s="11">
        <f t="shared" si="9"/>
        <v>2.6014199184649796</v>
      </c>
      <c r="E202" s="25">
        <v>206.55999800000001</v>
      </c>
      <c r="F202" s="11">
        <f t="shared" si="10"/>
        <v>211.76283783692998</v>
      </c>
      <c r="G202" s="11">
        <f t="shared" si="11"/>
        <v>201.35715816307004</v>
      </c>
    </row>
    <row r="203" spans="1:7" x14ac:dyDescent="0.25">
      <c r="A203" s="24">
        <v>42501</v>
      </c>
      <c r="B203" s="25">
        <v>206.5</v>
      </c>
      <c r="C203" s="11">
        <f t="shared" si="8"/>
        <v>207.54937556249999</v>
      </c>
      <c r="D203" s="11">
        <f t="shared" si="9"/>
        <v>2.4423877819533635</v>
      </c>
      <c r="E203" s="25">
        <v>206.5</v>
      </c>
      <c r="F203" s="11">
        <f t="shared" si="10"/>
        <v>211.38477556390671</v>
      </c>
      <c r="G203" s="11">
        <f t="shared" si="11"/>
        <v>201.61522443609329</v>
      </c>
    </row>
    <row r="204" spans="1:7" x14ac:dyDescent="0.25">
      <c r="A204" s="24">
        <v>42500</v>
      </c>
      <c r="B204" s="25">
        <v>208.449997</v>
      </c>
      <c r="C204" s="11">
        <f t="shared" si="8"/>
        <v>207.313125625</v>
      </c>
      <c r="D204" s="11">
        <f t="shared" si="9"/>
        <v>2.3413775339569343</v>
      </c>
      <c r="E204" s="25">
        <v>208.449997</v>
      </c>
      <c r="F204" s="11">
        <f t="shared" si="10"/>
        <v>213.13275206791386</v>
      </c>
      <c r="G204" s="11">
        <f t="shared" si="11"/>
        <v>203.76724193208614</v>
      </c>
    </row>
    <row r="205" spans="1:7" x14ac:dyDescent="0.25">
      <c r="A205" s="24">
        <v>42499</v>
      </c>
      <c r="B205" s="25">
        <v>205.88999899999999</v>
      </c>
      <c r="C205" s="11">
        <f t="shared" si="8"/>
        <v>207.15937518750002</v>
      </c>
      <c r="D205" s="11">
        <f t="shared" si="9"/>
        <v>2.1634455031118396</v>
      </c>
      <c r="E205" s="25">
        <v>205.88999899999999</v>
      </c>
      <c r="F205" s="11">
        <f t="shared" si="10"/>
        <v>210.21689000622368</v>
      </c>
      <c r="G205" s="11">
        <f t="shared" si="11"/>
        <v>201.5631079937763</v>
      </c>
    </row>
    <row r="206" spans="1:7" x14ac:dyDescent="0.25">
      <c r="A206" s="24">
        <v>42496</v>
      </c>
      <c r="B206" s="25">
        <v>205.720001</v>
      </c>
      <c r="C206" s="11">
        <f t="shared" si="8"/>
        <v>206.88562487500002</v>
      </c>
      <c r="D206" s="11">
        <f t="shared" si="9"/>
        <v>2.0156673540502319</v>
      </c>
      <c r="E206" s="25">
        <v>205.720001</v>
      </c>
      <c r="F206" s="11">
        <f t="shared" si="10"/>
        <v>209.75133570810047</v>
      </c>
      <c r="G206" s="11">
        <f t="shared" si="11"/>
        <v>201.68866629189952</v>
      </c>
    </row>
    <row r="207" spans="1:7" x14ac:dyDescent="0.25">
      <c r="A207" s="24">
        <v>42495</v>
      </c>
      <c r="B207" s="25">
        <v>204.970001</v>
      </c>
      <c r="C207" s="11">
        <f t="shared" si="8"/>
        <v>206.62812518750002</v>
      </c>
      <c r="D207" s="11">
        <f t="shared" si="9"/>
        <v>1.8710637986894432</v>
      </c>
      <c r="E207" s="25">
        <v>204.970001</v>
      </c>
      <c r="F207" s="11">
        <f t="shared" si="10"/>
        <v>208.71212859737889</v>
      </c>
      <c r="G207" s="11">
        <f t="shared" si="11"/>
        <v>201.2278734026211</v>
      </c>
    </row>
    <row r="208" spans="1:7" x14ac:dyDescent="0.25">
      <c r="A208" s="24">
        <v>42494</v>
      </c>
      <c r="B208" s="25">
        <v>205.009995</v>
      </c>
      <c r="C208" s="11">
        <f t="shared" si="8"/>
        <v>206.29874993750005</v>
      </c>
      <c r="D208" s="11">
        <f t="shared" si="9"/>
        <v>1.6427839630277841</v>
      </c>
      <c r="E208" s="25">
        <v>205.009995</v>
      </c>
      <c r="F208" s="11">
        <f t="shared" si="10"/>
        <v>208.29556292605557</v>
      </c>
      <c r="G208" s="11">
        <f t="shared" si="11"/>
        <v>201.72442707394444</v>
      </c>
    </row>
    <row r="209" spans="1:7" x14ac:dyDescent="0.25">
      <c r="A209" s="24">
        <v>42493</v>
      </c>
      <c r="B209" s="25">
        <v>206.16000399999999</v>
      </c>
      <c r="C209" s="11">
        <f t="shared" si="8"/>
        <v>206.02812487500006</v>
      </c>
      <c r="D209" s="11">
        <f t="shared" si="9"/>
        <v>1.4542120918840729</v>
      </c>
      <c r="E209" s="25">
        <v>206.16000399999999</v>
      </c>
      <c r="F209" s="11">
        <f t="shared" si="10"/>
        <v>209.06842818376813</v>
      </c>
      <c r="G209" s="11">
        <f t="shared" si="11"/>
        <v>203.25157981623184</v>
      </c>
    </row>
    <row r="210" spans="1:7" x14ac:dyDescent="0.25">
      <c r="A210" s="24">
        <v>42492</v>
      </c>
      <c r="B210" s="25">
        <v>207.970001</v>
      </c>
      <c r="C210" s="11">
        <f t="shared" si="8"/>
        <v>205.83312518750003</v>
      </c>
      <c r="D210" s="11">
        <f t="shared" si="9"/>
        <v>1.170620942107006</v>
      </c>
      <c r="E210" s="25">
        <v>207.970001</v>
      </c>
      <c r="F210" s="11">
        <f t="shared" si="10"/>
        <v>210.31124288421401</v>
      </c>
      <c r="G210" s="11">
        <f t="shared" si="11"/>
        <v>205.62875911578598</v>
      </c>
    </row>
    <row r="211" spans="1:7" x14ac:dyDescent="0.25">
      <c r="A211" s="24">
        <v>42489</v>
      </c>
      <c r="B211" s="25">
        <v>206.33000200000001</v>
      </c>
      <c r="C211" s="11">
        <f t="shared" si="8"/>
        <v>205.83937556250001</v>
      </c>
      <c r="D211" s="11">
        <f t="shared" si="9"/>
        <v>1.1824290079172886</v>
      </c>
      <c r="E211" s="25">
        <v>206.33000200000001</v>
      </c>
      <c r="F211" s="11">
        <f t="shared" si="10"/>
        <v>208.69486001583459</v>
      </c>
      <c r="G211" s="11">
        <f t="shared" si="11"/>
        <v>203.96514398416542</v>
      </c>
    </row>
    <row r="212" spans="1:7" x14ac:dyDescent="0.25">
      <c r="A212" s="24">
        <v>42488</v>
      </c>
      <c r="B212" s="25">
        <v>207.449997</v>
      </c>
      <c r="C212" s="11">
        <f t="shared" ref="C212:C275" si="12">AVERAGE(B196:B211)</f>
        <v>205.90937525000001</v>
      </c>
      <c r="D212" s="11">
        <f t="shared" ref="D212:D275" si="13">_xlfn.STDEV.S(B196:B211)</f>
        <v>1.1758198726894922</v>
      </c>
      <c r="E212" s="25">
        <v>207.449997</v>
      </c>
      <c r="F212" s="11">
        <f t="shared" ref="F212:F275" si="14">B212+2*D212</f>
        <v>209.80163674537897</v>
      </c>
      <c r="G212" s="11">
        <f t="shared" ref="G212:G275" si="15">B212-2*D212</f>
        <v>205.09835725462102</v>
      </c>
    </row>
    <row r="213" spans="1:7" x14ac:dyDescent="0.25">
      <c r="A213" s="24">
        <v>42487</v>
      </c>
      <c r="B213" s="25">
        <v>209.35000600000001</v>
      </c>
      <c r="C213" s="11">
        <f t="shared" si="12"/>
        <v>206.03187475000001</v>
      </c>
      <c r="D213" s="11">
        <f t="shared" si="13"/>
        <v>1.2300631833407851</v>
      </c>
      <c r="E213" s="25">
        <v>209.35000600000001</v>
      </c>
      <c r="F213" s="11">
        <f t="shared" si="14"/>
        <v>211.81013236668159</v>
      </c>
      <c r="G213" s="11">
        <f t="shared" si="15"/>
        <v>206.88987963331843</v>
      </c>
    </row>
    <row r="214" spans="1:7" x14ac:dyDescent="0.25">
      <c r="A214" s="24">
        <v>42486</v>
      </c>
      <c r="B214" s="25">
        <v>208.91999799999999</v>
      </c>
      <c r="C214" s="11">
        <f t="shared" si="12"/>
        <v>206.35375031250001</v>
      </c>
      <c r="D214" s="11">
        <f t="shared" si="13"/>
        <v>1.3830494901408621</v>
      </c>
      <c r="E214" s="25">
        <v>208.91999799999999</v>
      </c>
      <c r="F214" s="11">
        <f t="shared" si="14"/>
        <v>211.68609698028172</v>
      </c>
      <c r="G214" s="11">
        <f t="shared" si="15"/>
        <v>206.15389901971827</v>
      </c>
    </row>
    <row r="215" spans="1:7" x14ac:dyDescent="0.25">
      <c r="A215" s="24">
        <v>42485</v>
      </c>
      <c r="B215" s="25">
        <v>208.61000100000001</v>
      </c>
      <c r="C215" s="11">
        <f t="shared" si="12"/>
        <v>206.60437493750001</v>
      </c>
      <c r="D215" s="11">
        <f t="shared" si="13"/>
        <v>1.4648915527306201</v>
      </c>
      <c r="E215" s="25">
        <v>208.61000100000001</v>
      </c>
      <c r="F215" s="11">
        <f t="shared" si="14"/>
        <v>211.53978410546125</v>
      </c>
      <c r="G215" s="11">
        <f t="shared" si="15"/>
        <v>205.68021789453877</v>
      </c>
    </row>
    <row r="216" spans="1:7" x14ac:dyDescent="0.25">
      <c r="A216" s="24">
        <v>42482</v>
      </c>
      <c r="B216" s="25">
        <v>208.970001</v>
      </c>
      <c r="C216" s="11">
        <f t="shared" si="12"/>
        <v>206.839374625</v>
      </c>
      <c r="D216" s="11">
        <f t="shared" si="13"/>
        <v>1.4662818465455585</v>
      </c>
      <c r="E216" s="25">
        <v>208.970001</v>
      </c>
      <c r="F216" s="11">
        <f t="shared" si="14"/>
        <v>211.90256469309111</v>
      </c>
      <c r="G216" s="11">
        <f t="shared" si="15"/>
        <v>206.03743730690888</v>
      </c>
    </row>
    <row r="217" spans="1:7" x14ac:dyDescent="0.25">
      <c r="A217" s="24">
        <v>42481</v>
      </c>
      <c r="B217" s="25">
        <v>208.970001</v>
      </c>
      <c r="C217" s="11">
        <f t="shared" si="12"/>
        <v>206.97624975000002</v>
      </c>
      <c r="D217" s="11">
        <f t="shared" si="13"/>
        <v>1.5596158349657143</v>
      </c>
      <c r="E217" s="25">
        <v>208.970001</v>
      </c>
      <c r="F217" s="11">
        <f t="shared" si="14"/>
        <v>212.08923266993142</v>
      </c>
      <c r="G217" s="11">
        <f t="shared" si="15"/>
        <v>205.85076933006857</v>
      </c>
    </row>
    <row r="218" spans="1:7" x14ac:dyDescent="0.25">
      <c r="A218" s="24">
        <v>42480</v>
      </c>
      <c r="B218" s="25">
        <v>210.10000600000001</v>
      </c>
      <c r="C218" s="11">
        <f t="shared" si="12"/>
        <v>207.23937512500004</v>
      </c>
      <c r="D218" s="11">
        <f t="shared" si="13"/>
        <v>1.5152892531925777</v>
      </c>
      <c r="E218" s="25">
        <v>210.10000600000001</v>
      </c>
      <c r="F218" s="11">
        <f t="shared" si="14"/>
        <v>213.13058450638516</v>
      </c>
      <c r="G218" s="11">
        <f t="shared" si="15"/>
        <v>207.06942749361485</v>
      </c>
    </row>
    <row r="219" spans="1:7" x14ac:dyDescent="0.25">
      <c r="A219" s="24">
        <v>42479</v>
      </c>
      <c r="B219" s="25">
        <v>209.89999399999999</v>
      </c>
      <c r="C219" s="11">
        <f t="shared" si="12"/>
        <v>207.46062562500001</v>
      </c>
      <c r="D219" s="11">
        <f t="shared" si="13"/>
        <v>1.6609224344249163</v>
      </c>
      <c r="E219" s="25">
        <v>209.89999399999999</v>
      </c>
      <c r="F219" s="11">
        <f t="shared" si="14"/>
        <v>213.22183886884983</v>
      </c>
      <c r="G219" s="11">
        <f t="shared" si="15"/>
        <v>206.57814913115016</v>
      </c>
    </row>
    <row r="220" spans="1:7" x14ac:dyDescent="0.25">
      <c r="A220" s="24">
        <v>42478</v>
      </c>
      <c r="B220" s="25">
        <v>209.240005</v>
      </c>
      <c r="C220" s="11">
        <f t="shared" si="12"/>
        <v>207.67312525</v>
      </c>
      <c r="D220" s="11">
        <f t="shared" si="13"/>
        <v>1.7451870773679456</v>
      </c>
      <c r="E220" s="25">
        <v>209.240005</v>
      </c>
      <c r="F220" s="11">
        <f t="shared" si="14"/>
        <v>212.73037915473589</v>
      </c>
      <c r="G220" s="11">
        <f t="shared" si="15"/>
        <v>205.74963084526411</v>
      </c>
    </row>
    <row r="221" spans="1:7" x14ac:dyDescent="0.25">
      <c r="A221" s="24">
        <v>42475</v>
      </c>
      <c r="B221" s="25">
        <v>207.779999</v>
      </c>
      <c r="C221" s="11">
        <f t="shared" si="12"/>
        <v>207.72250074999999</v>
      </c>
      <c r="D221" s="11">
        <f t="shared" si="13"/>
        <v>1.7794707906226703</v>
      </c>
      <c r="E221" s="25">
        <v>207.779999</v>
      </c>
      <c r="F221" s="11">
        <f t="shared" si="14"/>
        <v>211.33894058124534</v>
      </c>
      <c r="G221" s="11">
        <f t="shared" si="15"/>
        <v>204.22105741875467</v>
      </c>
    </row>
    <row r="222" spans="1:7" x14ac:dyDescent="0.25">
      <c r="A222" s="24">
        <v>42474</v>
      </c>
      <c r="B222" s="25">
        <v>208.009995</v>
      </c>
      <c r="C222" s="11">
        <f t="shared" si="12"/>
        <v>207.84062575000002</v>
      </c>
      <c r="D222" s="11">
        <f t="shared" si="13"/>
        <v>1.7111347415324341</v>
      </c>
      <c r="E222" s="25">
        <v>208.009995</v>
      </c>
      <c r="F222" s="11">
        <f t="shared" si="14"/>
        <v>211.43226448306487</v>
      </c>
      <c r="G222" s="11">
        <f t="shared" si="15"/>
        <v>204.58772551693514</v>
      </c>
    </row>
    <row r="223" spans="1:7" x14ac:dyDescent="0.25">
      <c r="A223" s="24">
        <v>42473</v>
      </c>
      <c r="B223" s="25">
        <v>208</v>
      </c>
      <c r="C223" s="11">
        <f t="shared" si="12"/>
        <v>207.983750375</v>
      </c>
      <c r="D223" s="11">
        <f t="shared" si="13"/>
        <v>1.6150049253840224</v>
      </c>
      <c r="E223" s="25">
        <v>208</v>
      </c>
      <c r="F223" s="11">
        <f t="shared" si="14"/>
        <v>211.23000985076806</v>
      </c>
      <c r="G223" s="11">
        <f t="shared" si="15"/>
        <v>204.76999014923194</v>
      </c>
    </row>
    <row r="224" spans="1:7" x14ac:dyDescent="0.25">
      <c r="A224" s="24">
        <v>42472</v>
      </c>
      <c r="B224" s="25">
        <v>205.91999799999999</v>
      </c>
      <c r="C224" s="11">
        <f t="shared" si="12"/>
        <v>208.17312531249999</v>
      </c>
      <c r="D224" s="11">
        <f t="shared" si="13"/>
        <v>1.4016035226118559</v>
      </c>
      <c r="E224" s="25">
        <v>205.91999799999999</v>
      </c>
      <c r="F224" s="11">
        <f t="shared" si="14"/>
        <v>208.72320504522369</v>
      </c>
      <c r="G224" s="11">
        <f t="shared" si="15"/>
        <v>203.11679095477629</v>
      </c>
    </row>
    <row r="225" spans="1:7" x14ac:dyDescent="0.25">
      <c r="A225" s="24">
        <v>42471</v>
      </c>
      <c r="B225" s="25">
        <v>204.020004</v>
      </c>
      <c r="C225" s="11">
        <f t="shared" si="12"/>
        <v>208.23000049999996</v>
      </c>
      <c r="D225" s="11">
        <f t="shared" si="13"/>
        <v>1.2776754736681264</v>
      </c>
      <c r="E225" s="25">
        <v>204.020004</v>
      </c>
      <c r="F225" s="11">
        <f t="shared" si="14"/>
        <v>206.57535494733625</v>
      </c>
      <c r="G225" s="11">
        <f t="shared" si="15"/>
        <v>201.46465305266375</v>
      </c>
    </row>
    <row r="226" spans="1:7" x14ac:dyDescent="0.25">
      <c r="A226" s="24">
        <v>42468</v>
      </c>
      <c r="B226" s="25">
        <v>204.5</v>
      </c>
      <c r="C226" s="11">
        <f t="shared" si="12"/>
        <v>208.09625049999997</v>
      </c>
      <c r="D226" s="11">
        <f t="shared" si="13"/>
        <v>1.5840828947206016</v>
      </c>
      <c r="E226" s="25">
        <v>204.5</v>
      </c>
      <c r="F226" s="11">
        <f t="shared" si="14"/>
        <v>207.66816578944119</v>
      </c>
      <c r="G226" s="11">
        <f t="shared" si="15"/>
        <v>201.33183421055881</v>
      </c>
    </row>
    <row r="227" spans="1:7" x14ac:dyDescent="0.25">
      <c r="A227" s="24">
        <v>42467</v>
      </c>
      <c r="B227" s="25">
        <v>203.949997</v>
      </c>
      <c r="C227" s="11">
        <f t="shared" si="12"/>
        <v>207.87937543749996</v>
      </c>
      <c r="D227" s="11">
        <f t="shared" si="13"/>
        <v>1.8221654022791298</v>
      </c>
      <c r="E227" s="25">
        <v>203.949997</v>
      </c>
      <c r="F227" s="11">
        <f t="shared" si="14"/>
        <v>207.59432780455825</v>
      </c>
      <c r="G227" s="11">
        <f t="shared" si="15"/>
        <v>200.30566619544175</v>
      </c>
    </row>
    <row r="228" spans="1:7" x14ac:dyDescent="0.25">
      <c r="A228" s="24">
        <v>42466</v>
      </c>
      <c r="B228" s="25">
        <v>206.41999799999999</v>
      </c>
      <c r="C228" s="11">
        <f t="shared" si="12"/>
        <v>207.73062512499999</v>
      </c>
      <c r="D228" s="11">
        <f t="shared" si="13"/>
        <v>2.041073764267292</v>
      </c>
      <c r="E228" s="25">
        <v>206.41999799999999</v>
      </c>
      <c r="F228" s="11">
        <f t="shared" si="14"/>
        <v>210.50214552853458</v>
      </c>
      <c r="G228" s="11">
        <f t="shared" si="15"/>
        <v>202.3378504714654</v>
      </c>
    </row>
    <row r="229" spans="1:7" x14ac:dyDescent="0.25">
      <c r="A229" s="24">
        <v>42465</v>
      </c>
      <c r="B229" s="25">
        <v>204.19000199999999</v>
      </c>
      <c r="C229" s="11">
        <f t="shared" si="12"/>
        <v>207.6662501875</v>
      </c>
      <c r="D229" s="11">
        <f t="shared" si="13"/>
        <v>2.0665981203046151</v>
      </c>
      <c r="E229" s="25">
        <v>204.19000199999999</v>
      </c>
      <c r="F229" s="11">
        <f t="shared" si="14"/>
        <v>208.32319824060923</v>
      </c>
      <c r="G229" s="11">
        <f t="shared" si="15"/>
        <v>200.05680575939076</v>
      </c>
    </row>
    <row r="230" spans="1:7" x14ac:dyDescent="0.25">
      <c r="A230" s="24">
        <v>42464</v>
      </c>
      <c r="B230" s="25">
        <v>206.25</v>
      </c>
      <c r="C230" s="11">
        <f t="shared" si="12"/>
        <v>207.34374993750001</v>
      </c>
      <c r="D230" s="11">
        <f t="shared" si="13"/>
        <v>2.1855217852596365</v>
      </c>
      <c r="E230" s="25">
        <v>206.25</v>
      </c>
      <c r="F230" s="11">
        <f t="shared" si="14"/>
        <v>210.62104357051928</v>
      </c>
      <c r="G230" s="11">
        <f t="shared" si="15"/>
        <v>201.87895642948072</v>
      </c>
    </row>
    <row r="231" spans="1:7" x14ac:dyDescent="0.25">
      <c r="A231" s="24">
        <v>42461</v>
      </c>
      <c r="B231" s="25">
        <v>206.91999799999999</v>
      </c>
      <c r="C231" s="11">
        <f t="shared" si="12"/>
        <v>207.17687506249999</v>
      </c>
      <c r="D231" s="11">
        <f t="shared" si="13"/>
        <v>2.1589157386122175</v>
      </c>
      <c r="E231" s="25">
        <v>206.91999799999999</v>
      </c>
      <c r="F231" s="11">
        <f t="shared" si="14"/>
        <v>211.23782947722444</v>
      </c>
      <c r="G231" s="11">
        <f t="shared" si="15"/>
        <v>202.60216652277555</v>
      </c>
    </row>
    <row r="232" spans="1:7" x14ac:dyDescent="0.25">
      <c r="A232" s="24">
        <v>42460</v>
      </c>
      <c r="B232" s="25">
        <v>205.520004</v>
      </c>
      <c r="C232" s="11">
        <f t="shared" si="12"/>
        <v>207.07124987500001</v>
      </c>
      <c r="D232" s="11">
        <f t="shared" si="13"/>
        <v>2.1252040919272646</v>
      </c>
      <c r="E232" s="25">
        <v>205.520004</v>
      </c>
      <c r="F232" s="11">
        <f t="shared" si="14"/>
        <v>209.77041218385452</v>
      </c>
      <c r="G232" s="11">
        <f t="shared" si="15"/>
        <v>201.26959581614548</v>
      </c>
    </row>
    <row r="233" spans="1:7" x14ac:dyDescent="0.25">
      <c r="A233" s="24">
        <v>42459</v>
      </c>
      <c r="B233" s="25">
        <v>206.020004</v>
      </c>
      <c r="C233" s="11">
        <f t="shared" si="12"/>
        <v>206.8556250625</v>
      </c>
      <c r="D233" s="11">
        <f t="shared" si="13"/>
        <v>2.0945101170907248</v>
      </c>
      <c r="E233" s="25">
        <v>206.020004</v>
      </c>
      <c r="F233" s="11">
        <f t="shared" si="14"/>
        <v>210.20902423418144</v>
      </c>
      <c r="G233" s="11">
        <f t="shared" si="15"/>
        <v>201.83098376581856</v>
      </c>
    </row>
    <row r="234" spans="1:7" x14ac:dyDescent="0.25">
      <c r="A234" s="24">
        <v>42458</v>
      </c>
      <c r="B234" s="25">
        <v>205.11999499999999</v>
      </c>
      <c r="C234" s="11">
        <f t="shared" si="12"/>
        <v>206.67125024999996</v>
      </c>
      <c r="D234" s="11">
        <f t="shared" si="13"/>
        <v>2.0246540654343081</v>
      </c>
      <c r="E234" s="25">
        <v>205.11999499999999</v>
      </c>
      <c r="F234" s="11">
        <f t="shared" si="14"/>
        <v>209.1693031308686</v>
      </c>
      <c r="G234" s="11">
        <f t="shared" si="15"/>
        <v>201.07068686913138</v>
      </c>
    </row>
    <row r="235" spans="1:7" x14ac:dyDescent="0.25">
      <c r="A235" s="24">
        <v>42457</v>
      </c>
      <c r="B235" s="25">
        <v>203.240005</v>
      </c>
      <c r="C235" s="11">
        <f t="shared" si="12"/>
        <v>206.35999956249998</v>
      </c>
      <c r="D235" s="11">
        <f t="shared" si="13"/>
        <v>1.8364523095755751</v>
      </c>
      <c r="E235" s="25">
        <v>203.240005</v>
      </c>
      <c r="F235" s="11">
        <f t="shared" si="14"/>
        <v>206.91290961915115</v>
      </c>
      <c r="G235" s="11">
        <f t="shared" si="15"/>
        <v>199.56710038084884</v>
      </c>
    </row>
    <row r="236" spans="1:7" x14ac:dyDescent="0.25">
      <c r="A236" s="24">
        <v>42453</v>
      </c>
      <c r="B236" s="25">
        <v>203.11999499999999</v>
      </c>
      <c r="C236" s="11">
        <f t="shared" si="12"/>
        <v>205.94375024999999</v>
      </c>
      <c r="D236" s="11">
        <f t="shared" si="13"/>
        <v>1.7324153830259275</v>
      </c>
      <c r="E236" s="25">
        <v>203.11999499999999</v>
      </c>
      <c r="F236" s="11">
        <f t="shared" si="14"/>
        <v>206.58482576605184</v>
      </c>
      <c r="G236" s="11">
        <f t="shared" si="15"/>
        <v>199.65516423394814</v>
      </c>
    </row>
    <row r="237" spans="1:7" x14ac:dyDescent="0.25">
      <c r="A237" s="24">
        <v>42452</v>
      </c>
      <c r="B237" s="25">
        <v>203.21000699999999</v>
      </c>
      <c r="C237" s="11">
        <f t="shared" si="12"/>
        <v>205.56124962500002</v>
      </c>
      <c r="D237" s="11">
        <f t="shared" si="13"/>
        <v>1.6286259356723971</v>
      </c>
      <c r="E237" s="25">
        <v>203.21000699999999</v>
      </c>
      <c r="F237" s="11">
        <f t="shared" si="14"/>
        <v>206.4672588713448</v>
      </c>
      <c r="G237" s="11">
        <f t="shared" si="15"/>
        <v>199.95275512865518</v>
      </c>
    </row>
    <row r="238" spans="1:7" x14ac:dyDescent="0.25">
      <c r="A238" s="24">
        <v>42451</v>
      </c>
      <c r="B238" s="25">
        <v>204.55999800000001</v>
      </c>
      <c r="C238" s="11">
        <f t="shared" si="12"/>
        <v>205.275625125</v>
      </c>
      <c r="D238" s="11">
        <f t="shared" si="13"/>
        <v>1.6142393045997827</v>
      </c>
      <c r="E238" s="25">
        <v>204.55999800000001</v>
      </c>
      <c r="F238" s="11">
        <f t="shared" si="14"/>
        <v>207.78847660919956</v>
      </c>
      <c r="G238" s="11">
        <f t="shared" si="15"/>
        <v>201.33151939080045</v>
      </c>
    </row>
    <row r="239" spans="1:7" x14ac:dyDescent="0.25">
      <c r="A239" s="24">
        <v>42450</v>
      </c>
      <c r="B239" s="25">
        <v>204.66999799999999</v>
      </c>
      <c r="C239" s="11">
        <f t="shared" si="12"/>
        <v>205.06000031250005</v>
      </c>
      <c r="D239" s="11">
        <f t="shared" si="13"/>
        <v>1.4463279157968634</v>
      </c>
      <c r="E239" s="25">
        <v>204.66999799999999</v>
      </c>
      <c r="F239" s="11">
        <f t="shared" si="14"/>
        <v>207.56265383159371</v>
      </c>
      <c r="G239" s="11">
        <f t="shared" si="15"/>
        <v>201.77734216840628</v>
      </c>
    </row>
    <row r="240" spans="1:7" x14ac:dyDescent="0.25">
      <c r="A240" s="24">
        <v>42447</v>
      </c>
      <c r="B240" s="25">
        <v>204.38000500000001</v>
      </c>
      <c r="C240" s="11">
        <f t="shared" si="12"/>
        <v>204.85187518750004</v>
      </c>
      <c r="D240" s="11">
        <f t="shared" si="13"/>
        <v>1.2163720143375671</v>
      </c>
      <c r="E240" s="25">
        <v>204.38000500000001</v>
      </c>
      <c r="F240" s="11">
        <f t="shared" si="14"/>
        <v>206.81274902867514</v>
      </c>
      <c r="G240" s="11">
        <f t="shared" si="15"/>
        <v>201.94726097132488</v>
      </c>
    </row>
    <row r="241" spans="1:7" x14ac:dyDescent="0.25">
      <c r="A241" s="24">
        <v>42446</v>
      </c>
      <c r="B241" s="25">
        <v>204.63000500000001</v>
      </c>
      <c r="C241" s="11">
        <f t="shared" si="12"/>
        <v>204.75562562499999</v>
      </c>
      <c r="D241" s="11">
        <f t="shared" si="13"/>
        <v>1.1867873900498429</v>
      </c>
      <c r="E241" s="25">
        <v>204.63000500000001</v>
      </c>
      <c r="F241" s="11">
        <f t="shared" si="14"/>
        <v>207.0035797800997</v>
      </c>
      <c r="G241" s="11">
        <f t="shared" si="15"/>
        <v>202.25643021990032</v>
      </c>
    </row>
    <row r="242" spans="1:7" x14ac:dyDescent="0.25">
      <c r="A242" s="24">
        <v>42445</v>
      </c>
      <c r="B242" s="25">
        <v>203.33999600000001</v>
      </c>
      <c r="C242" s="11">
        <f t="shared" si="12"/>
        <v>204.79375068750002</v>
      </c>
      <c r="D242" s="11">
        <f t="shared" si="13"/>
        <v>1.1712770716253109</v>
      </c>
      <c r="E242" s="25">
        <v>203.33999600000001</v>
      </c>
      <c r="F242" s="11">
        <f t="shared" si="14"/>
        <v>205.68255014325064</v>
      </c>
      <c r="G242" s="11">
        <f t="shared" si="15"/>
        <v>200.99744185674939</v>
      </c>
    </row>
    <row r="243" spans="1:7" x14ac:dyDescent="0.25">
      <c r="A243" s="24">
        <v>42444</v>
      </c>
      <c r="B243" s="25">
        <v>202.16999799999999</v>
      </c>
      <c r="C243" s="11">
        <f t="shared" si="12"/>
        <v>204.72125043750003</v>
      </c>
      <c r="D243" s="11">
        <f t="shared" si="13"/>
        <v>1.2253261422371846</v>
      </c>
      <c r="E243" s="25">
        <v>202.16999799999999</v>
      </c>
      <c r="F243" s="11">
        <f t="shared" si="14"/>
        <v>204.62065028447435</v>
      </c>
      <c r="G243" s="11">
        <f t="shared" si="15"/>
        <v>199.71934571552563</v>
      </c>
    </row>
    <row r="244" spans="1:7" x14ac:dyDescent="0.25">
      <c r="A244" s="24">
        <v>42443</v>
      </c>
      <c r="B244" s="25">
        <v>202.5</v>
      </c>
      <c r="C244" s="11">
        <f t="shared" si="12"/>
        <v>204.61000050000001</v>
      </c>
      <c r="D244" s="11">
        <f t="shared" si="13"/>
        <v>1.3720397146886092</v>
      </c>
      <c r="E244" s="25">
        <v>202.5</v>
      </c>
      <c r="F244" s="11">
        <f t="shared" si="14"/>
        <v>205.24407942937722</v>
      </c>
      <c r="G244" s="11">
        <f t="shared" si="15"/>
        <v>199.75592057062278</v>
      </c>
    </row>
    <row r="245" spans="1:7" x14ac:dyDescent="0.25">
      <c r="A245" s="24">
        <v>42440</v>
      </c>
      <c r="B245" s="25">
        <v>202.759995</v>
      </c>
      <c r="C245" s="11">
        <f t="shared" si="12"/>
        <v>204.36500062499999</v>
      </c>
      <c r="D245" s="11">
        <f t="shared" si="13"/>
        <v>1.3772679918407496</v>
      </c>
      <c r="E245" s="25">
        <v>202.759995</v>
      </c>
      <c r="F245" s="11">
        <f t="shared" si="14"/>
        <v>205.51453098368151</v>
      </c>
      <c r="G245" s="11">
        <f t="shared" si="15"/>
        <v>200.0054590163185</v>
      </c>
    </row>
    <row r="246" spans="1:7" x14ac:dyDescent="0.25">
      <c r="A246" s="24">
        <v>42439</v>
      </c>
      <c r="B246" s="25">
        <v>199.53999300000001</v>
      </c>
      <c r="C246" s="11">
        <f t="shared" si="12"/>
        <v>204.27562518749997</v>
      </c>
      <c r="D246" s="11">
        <f t="shared" si="13"/>
        <v>1.4345874635009752</v>
      </c>
      <c r="E246" s="25">
        <v>199.53999300000001</v>
      </c>
      <c r="F246" s="11">
        <f t="shared" si="14"/>
        <v>202.40916792700196</v>
      </c>
      <c r="G246" s="11">
        <f t="shared" si="15"/>
        <v>196.67081807299806</v>
      </c>
    </row>
    <row r="247" spans="1:7" x14ac:dyDescent="0.25">
      <c r="A247" s="24">
        <v>42438</v>
      </c>
      <c r="B247" s="25">
        <v>199.38000500000001</v>
      </c>
      <c r="C247" s="11">
        <f t="shared" si="12"/>
        <v>203.85624974999999</v>
      </c>
      <c r="D247" s="11">
        <f t="shared" si="13"/>
        <v>1.7622837843796311</v>
      </c>
      <c r="E247" s="25">
        <v>199.38000500000001</v>
      </c>
      <c r="F247" s="11">
        <f t="shared" si="14"/>
        <v>202.90457256875928</v>
      </c>
      <c r="G247" s="11">
        <f t="shared" si="15"/>
        <v>195.85543743124074</v>
      </c>
    </row>
    <row r="248" spans="1:7" x14ac:dyDescent="0.25">
      <c r="A248" s="24">
        <v>42437</v>
      </c>
      <c r="B248" s="25">
        <v>198.39999399999999</v>
      </c>
      <c r="C248" s="11">
        <f t="shared" si="12"/>
        <v>203.38500018749997</v>
      </c>
      <c r="D248" s="11">
        <f t="shared" si="13"/>
        <v>1.8917656192092491</v>
      </c>
      <c r="E248" s="25">
        <v>198.39999399999999</v>
      </c>
      <c r="F248" s="11">
        <f t="shared" si="14"/>
        <v>202.1835252384185</v>
      </c>
      <c r="G248" s="11">
        <f t="shared" si="15"/>
        <v>194.61646276158149</v>
      </c>
    </row>
    <row r="249" spans="1:7" x14ac:dyDescent="0.25">
      <c r="A249" s="24">
        <v>42436</v>
      </c>
      <c r="B249" s="25">
        <v>200.58999600000001</v>
      </c>
      <c r="C249" s="11">
        <f t="shared" si="12"/>
        <v>202.93999956249996</v>
      </c>
      <c r="D249" s="11">
        <f t="shared" si="13"/>
        <v>2.1726373202531204</v>
      </c>
      <c r="E249" s="25">
        <v>200.58999600000001</v>
      </c>
      <c r="F249" s="11">
        <f t="shared" si="14"/>
        <v>204.93527064050625</v>
      </c>
      <c r="G249" s="11">
        <f t="shared" si="15"/>
        <v>196.24472135949378</v>
      </c>
    </row>
    <row r="250" spans="1:7" x14ac:dyDescent="0.25">
      <c r="A250" s="24">
        <v>42433</v>
      </c>
      <c r="B250" s="25">
        <v>200.429993</v>
      </c>
      <c r="C250" s="11">
        <f t="shared" si="12"/>
        <v>202.6006240625</v>
      </c>
      <c r="D250" s="11">
        <f t="shared" si="13"/>
        <v>2.0816431267805222</v>
      </c>
      <c r="E250" s="25">
        <v>200.429993</v>
      </c>
      <c r="F250" s="11">
        <f t="shared" si="14"/>
        <v>204.59327925356104</v>
      </c>
      <c r="G250" s="11">
        <f t="shared" si="15"/>
        <v>196.26670674643896</v>
      </c>
    </row>
    <row r="251" spans="1:7" x14ac:dyDescent="0.25">
      <c r="A251" s="24">
        <v>42432</v>
      </c>
      <c r="B251" s="25">
        <v>199.779999</v>
      </c>
      <c r="C251" s="11">
        <f t="shared" si="12"/>
        <v>202.30749893750001</v>
      </c>
      <c r="D251" s="11">
        <f t="shared" si="13"/>
        <v>2.0328669980327279</v>
      </c>
      <c r="E251" s="25">
        <v>199.779999</v>
      </c>
      <c r="F251" s="11">
        <f t="shared" si="14"/>
        <v>203.84573299606546</v>
      </c>
      <c r="G251" s="11">
        <f t="shared" si="15"/>
        <v>195.71426500393454</v>
      </c>
    </row>
    <row r="252" spans="1:7" x14ac:dyDescent="0.25">
      <c r="A252" s="24">
        <v>42431</v>
      </c>
      <c r="B252" s="25">
        <v>199</v>
      </c>
      <c r="C252" s="11">
        <f t="shared" si="12"/>
        <v>202.0912485625</v>
      </c>
      <c r="D252" s="11">
        <f t="shared" si="13"/>
        <v>2.1096395309439311</v>
      </c>
      <c r="E252" s="25">
        <v>199</v>
      </c>
      <c r="F252" s="11">
        <f t="shared" si="14"/>
        <v>203.21927906188787</v>
      </c>
      <c r="G252" s="11">
        <f t="shared" si="15"/>
        <v>194.78072093811213</v>
      </c>
    </row>
    <row r="253" spans="1:7" x14ac:dyDescent="0.25">
      <c r="A253" s="24">
        <v>42430</v>
      </c>
      <c r="B253" s="25">
        <v>198.11000100000001</v>
      </c>
      <c r="C253" s="11">
        <f t="shared" si="12"/>
        <v>201.83374887500003</v>
      </c>
      <c r="D253" s="11">
        <f t="shared" si="13"/>
        <v>2.2240396470582953</v>
      </c>
      <c r="E253" s="25">
        <v>198.11000100000001</v>
      </c>
      <c r="F253" s="11">
        <f t="shared" si="14"/>
        <v>202.55808029411659</v>
      </c>
      <c r="G253" s="11">
        <f t="shared" si="15"/>
        <v>193.66192170588343</v>
      </c>
    </row>
    <row r="254" spans="1:7" x14ac:dyDescent="0.25">
      <c r="A254" s="24">
        <v>42429</v>
      </c>
      <c r="B254" s="25">
        <v>193.55999800000001</v>
      </c>
      <c r="C254" s="11">
        <f t="shared" si="12"/>
        <v>201.51499850000002</v>
      </c>
      <c r="D254" s="11">
        <f t="shared" si="13"/>
        <v>2.3740523479238904</v>
      </c>
      <c r="E254" s="25">
        <v>193.55999800000001</v>
      </c>
      <c r="F254" s="11">
        <f t="shared" si="14"/>
        <v>198.30810269584779</v>
      </c>
      <c r="G254" s="11">
        <f t="shared" si="15"/>
        <v>188.81189330415222</v>
      </c>
    </row>
    <row r="255" spans="1:7" x14ac:dyDescent="0.25">
      <c r="A255" s="24">
        <v>42426</v>
      </c>
      <c r="B255" s="25">
        <v>195.08999600000001</v>
      </c>
      <c r="C255" s="11">
        <f t="shared" si="12"/>
        <v>200.82749850000005</v>
      </c>
      <c r="D255" s="11">
        <f t="shared" si="13"/>
        <v>2.955101569153971</v>
      </c>
      <c r="E255" s="25">
        <v>195.08999600000001</v>
      </c>
      <c r="F255" s="11">
        <f t="shared" si="14"/>
        <v>201.00019913830795</v>
      </c>
      <c r="G255" s="11">
        <f t="shared" si="15"/>
        <v>189.17979286169208</v>
      </c>
    </row>
    <row r="256" spans="1:7" x14ac:dyDescent="0.25">
      <c r="A256" s="24">
        <v>42425</v>
      </c>
      <c r="B256" s="25">
        <v>195.53999300000001</v>
      </c>
      <c r="C256" s="11">
        <f t="shared" si="12"/>
        <v>200.22874837500001</v>
      </c>
      <c r="D256" s="11">
        <f t="shared" si="13"/>
        <v>3.0920056532424574</v>
      </c>
      <c r="E256" s="25">
        <v>195.53999300000001</v>
      </c>
      <c r="F256" s="11">
        <f t="shared" si="14"/>
        <v>201.72400430648491</v>
      </c>
      <c r="G256" s="11">
        <f t="shared" si="15"/>
        <v>189.3559816935151</v>
      </c>
    </row>
    <row r="257" spans="1:7" x14ac:dyDescent="0.25">
      <c r="A257" s="24">
        <v>42424</v>
      </c>
      <c r="B257" s="25">
        <v>193.199997</v>
      </c>
      <c r="C257" s="11">
        <f t="shared" si="12"/>
        <v>199.676247625</v>
      </c>
      <c r="D257" s="11">
        <f t="shared" si="13"/>
        <v>3.0905756371613107</v>
      </c>
      <c r="E257" s="25">
        <v>193.199997</v>
      </c>
      <c r="F257" s="11">
        <f t="shared" si="14"/>
        <v>199.38114827432261</v>
      </c>
      <c r="G257" s="11">
        <f t="shared" si="15"/>
        <v>187.01884572567738</v>
      </c>
    </row>
    <row r="258" spans="1:7" x14ac:dyDescent="0.25">
      <c r="A258" s="24">
        <v>42423</v>
      </c>
      <c r="B258" s="25">
        <v>192.320007</v>
      </c>
      <c r="C258" s="11">
        <f t="shared" si="12"/>
        <v>198.96187212500001</v>
      </c>
      <c r="D258" s="11">
        <f t="shared" si="13"/>
        <v>3.1886429598672819</v>
      </c>
      <c r="E258" s="25">
        <v>192.320007</v>
      </c>
      <c r="F258" s="11">
        <f t="shared" si="14"/>
        <v>198.69729291973456</v>
      </c>
      <c r="G258" s="11">
        <f t="shared" si="15"/>
        <v>185.94272108026544</v>
      </c>
    </row>
    <row r="259" spans="1:7" x14ac:dyDescent="0.25">
      <c r="A259" s="24">
        <v>42422</v>
      </c>
      <c r="B259" s="25">
        <v>194.779999</v>
      </c>
      <c r="C259" s="11">
        <f t="shared" si="12"/>
        <v>198.27312281250002</v>
      </c>
      <c r="D259" s="11">
        <f t="shared" si="13"/>
        <v>3.3651949196542965</v>
      </c>
      <c r="E259" s="25">
        <v>194.779999</v>
      </c>
      <c r="F259" s="11">
        <f t="shared" si="14"/>
        <v>201.5103888393086</v>
      </c>
      <c r="G259" s="11">
        <f t="shared" si="15"/>
        <v>188.0496091606914</v>
      </c>
    </row>
    <row r="260" spans="1:7" x14ac:dyDescent="0.25">
      <c r="A260" s="24">
        <v>42419</v>
      </c>
      <c r="B260" s="25">
        <v>192</v>
      </c>
      <c r="C260" s="11">
        <f t="shared" si="12"/>
        <v>197.81124787499999</v>
      </c>
      <c r="D260" s="11">
        <f t="shared" si="13"/>
        <v>3.3012227545285673</v>
      </c>
      <c r="E260" s="25">
        <v>192</v>
      </c>
      <c r="F260" s="11">
        <f t="shared" si="14"/>
        <v>198.60244550905713</v>
      </c>
      <c r="G260" s="11">
        <f t="shared" si="15"/>
        <v>185.39755449094287</v>
      </c>
    </row>
    <row r="261" spans="1:7" x14ac:dyDescent="0.25">
      <c r="A261" s="24">
        <v>42418</v>
      </c>
      <c r="B261" s="25">
        <v>192.08999600000001</v>
      </c>
      <c r="C261" s="11">
        <f t="shared" si="12"/>
        <v>197.15499787499999</v>
      </c>
      <c r="D261" s="11">
        <f t="shared" si="13"/>
        <v>3.3502900919199798</v>
      </c>
      <c r="E261" s="25">
        <v>192.08999600000001</v>
      </c>
      <c r="F261" s="11">
        <f t="shared" si="14"/>
        <v>198.79057618383996</v>
      </c>
      <c r="G261" s="11">
        <f t="shared" si="15"/>
        <v>185.38941581616007</v>
      </c>
    </row>
    <row r="262" spans="1:7" x14ac:dyDescent="0.25">
      <c r="A262" s="24">
        <v>42417</v>
      </c>
      <c r="B262" s="25">
        <v>192.88000500000001</v>
      </c>
      <c r="C262" s="11">
        <f t="shared" si="12"/>
        <v>196.48812293749998</v>
      </c>
      <c r="D262" s="11">
        <f t="shared" si="13"/>
        <v>3.219620596762947</v>
      </c>
      <c r="E262" s="25">
        <v>192.88000500000001</v>
      </c>
      <c r="F262" s="11">
        <f t="shared" si="14"/>
        <v>199.31924619352591</v>
      </c>
      <c r="G262" s="11">
        <f t="shared" si="15"/>
        <v>186.44076380647411</v>
      </c>
    </row>
    <row r="263" spans="1:7" x14ac:dyDescent="0.25">
      <c r="A263" s="24">
        <v>42416</v>
      </c>
      <c r="B263" s="25">
        <v>189.779999</v>
      </c>
      <c r="C263" s="11">
        <f t="shared" si="12"/>
        <v>196.07187368749999</v>
      </c>
      <c r="D263" s="11">
        <f t="shared" si="13"/>
        <v>3.2292593678119585</v>
      </c>
      <c r="E263" s="25">
        <v>189.779999</v>
      </c>
      <c r="F263" s="11">
        <f t="shared" si="14"/>
        <v>196.23851773562393</v>
      </c>
      <c r="G263" s="11">
        <f t="shared" si="15"/>
        <v>183.32148026437608</v>
      </c>
    </row>
    <row r="264" spans="1:7" x14ac:dyDescent="0.25">
      <c r="A264" s="24">
        <v>42412</v>
      </c>
      <c r="B264" s="25">
        <v>186.63000500000001</v>
      </c>
      <c r="C264" s="11">
        <f t="shared" si="12"/>
        <v>195.47187331249998</v>
      </c>
      <c r="D264" s="11">
        <f t="shared" si="13"/>
        <v>3.4574141403798433</v>
      </c>
      <c r="E264" s="25">
        <v>186.63000500000001</v>
      </c>
      <c r="F264" s="11">
        <f t="shared" si="14"/>
        <v>193.54483328075969</v>
      </c>
      <c r="G264" s="11">
        <f t="shared" si="15"/>
        <v>179.71517671924033</v>
      </c>
    </row>
    <row r="265" spans="1:7" x14ac:dyDescent="0.25">
      <c r="A265" s="24">
        <v>42411</v>
      </c>
      <c r="B265" s="25">
        <v>182.86000100000001</v>
      </c>
      <c r="C265" s="11">
        <f t="shared" si="12"/>
        <v>194.73624899999999</v>
      </c>
      <c r="D265" s="11">
        <f t="shared" si="13"/>
        <v>4.0021006359181408</v>
      </c>
      <c r="E265" s="25">
        <v>182.86000100000001</v>
      </c>
      <c r="F265" s="11">
        <f t="shared" si="14"/>
        <v>190.86420227183629</v>
      </c>
      <c r="G265" s="11">
        <f t="shared" si="15"/>
        <v>174.85579972816373</v>
      </c>
    </row>
    <row r="266" spans="1:7" x14ac:dyDescent="0.25">
      <c r="A266" s="24">
        <v>42410</v>
      </c>
      <c r="B266" s="25">
        <v>185.270004</v>
      </c>
      <c r="C266" s="11">
        <f t="shared" si="12"/>
        <v>193.62812431250001</v>
      </c>
      <c r="D266" s="11">
        <f t="shared" si="13"/>
        <v>4.6717877373941068</v>
      </c>
      <c r="E266" s="25">
        <v>185.270004</v>
      </c>
      <c r="F266" s="11">
        <f t="shared" si="14"/>
        <v>194.61357947478822</v>
      </c>
      <c r="G266" s="11">
        <f t="shared" si="15"/>
        <v>175.92642852521178</v>
      </c>
    </row>
    <row r="267" spans="1:7" x14ac:dyDescent="0.25">
      <c r="A267" s="24">
        <v>42409</v>
      </c>
      <c r="B267" s="25">
        <v>185.429993</v>
      </c>
      <c r="C267" s="11">
        <f t="shared" si="12"/>
        <v>192.68062499999999</v>
      </c>
      <c r="D267" s="11">
        <f t="shared" si="13"/>
        <v>4.7371769955689427</v>
      </c>
      <c r="E267" s="25">
        <v>185.429993</v>
      </c>
      <c r="F267" s="11">
        <f t="shared" si="14"/>
        <v>194.90434699113788</v>
      </c>
      <c r="G267" s="11">
        <f t="shared" si="15"/>
        <v>175.95563900886211</v>
      </c>
    </row>
    <row r="268" spans="1:7" x14ac:dyDescent="0.25">
      <c r="A268" s="24">
        <v>42408</v>
      </c>
      <c r="B268" s="25">
        <v>185.41999799999999</v>
      </c>
      <c r="C268" s="11">
        <f t="shared" si="12"/>
        <v>191.78374962500001</v>
      </c>
      <c r="D268" s="11">
        <f t="shared" si="13"/>
        <v>4.6612807575118946</v>
      </c>
      <c r="E268" s="25">
        <v>185.41999799999999</v>
      </c>
      <c r="F268" s="11">
        <f t="shared" si="14"/>
        <v>194.74255951502377</v>
      </c>
      <c r="G268" s="11">
        <f t="shared" si="15"/>
        <v>176.09743648497621</v>
      </c>
    </row>
    <row r="269" spans="1:7" x14ac:dyDescent="0.25">
      <c r="A269" s="24">
        <v>42405</v>
      </c>
      <c r="B269" s="25">
        <v>187.949997</v>
      </c>
      <c r="C269" s="11">
        <f t="shared" si="12"/>
        <v>190.9349995</v>
      </c>
      <c r="D269" s="11">
        <f t="shared" si="13"/>
        <v>4.4930324680202514</v>
      </c>
      <c r="E269" s="25">
        <v>187.949997</v>
      </c>
      <c r="F269" s="11">
        <f t="shared" si="14"/>
        <v>196.93606193604049</v>
      </c>
      <c r="G269" s="11">
        <f t="shared" si="15"/>
        <v>178.9639320639595</v>
      </c>
    </row>
    <row r="270" spans="1:7" x14ac:dyDescent="0.25">
      <c r="A270" s="24">
        <v>42404</v>
      </c>
      <c r="B270" s="25">
        <v>191.60000600000001</v>
      </c>
      <c r="C270" s="11">
        <f t="shared" si="12"/>
        <v>190.29999925000001</v>
      </c>
      <c r="D270" s="11">
        <f t="shared" si="13"/>
        <v>4.1132963237146374</v>
      </c>
      <c r="E270" s="25">
        <v>191.60000600000001</v>
      </c>
      <c r="F270" s="11">
        <f t="shared" si="14"/>
        <v>199.82659864742928</v>
      </c>
      <c r="G270" s="11">
        <f t="shared" si="15"/>
        <v>183.37341335257074</v>
      </c>
    </row>
    <row r="271" spans="1:7" x14ac:dyDescent="0.25">
      <c r="A271" s="24">
        <v>42403</v>
      </c>
      <c r="B271" s="25">
        <v>191.300003</v>
      </c>
      <c r="C271" s="11">
        <f t="shared" si="12"/>
        <v>190.17749975000001</v>
      </c>
      <c r="D271" s="11">
        <f t="shared" si="13"/>
        <v>4.0382374650359969</v>
      </c>
      <c r="E271" s="25">
        <v>191.300003</v>
      </c>
      <c r="F271" s="11">
        <f t="shared" si="14"/>
        <v>199.37647793007199</v>
      </c>
      <c r="G271" s="11">
        <f t="shared" si="15"/>
        <v>183.22352806992802</v>
      </c>
    </row>
    <row r="272" spans="1:7" x14ac:dyDescent="0.25">
      <c r="A272" s="24">
        <v>42402</v>
      </c>
      <c r="B272" s="25">
        <v>190.16000399999999</v>
      </c>
      <c r="C272" s="11">
        <f t="shared" si="12"/>
        <v>189.94062518750002</v>
      </c>
      <c r="D272" s="11">
        <f t="shared" si="13"/>
        <v>3.8370133225947898</v>
      </c>
      <c r="E272" s="25">
        <v>190.16000399999999</v>
      </c>
      <c r="F272" s="11">
        <f t="shared" si="14"/>
        <v>197.83403064518956</v>
      </c>
      <c r="G272" s="11">
        <f t="shared" si="15"/>
        <v>182.48597735481042</v>
      </c>
    </row>
    <row r="273" spans="1:7" x14ac:dyDescent="0.25">
      <c r="A273" s="24">
        <v>42401</v>
      </c>
      <c r="B273" s="25">
        <v>193.64999399999999</v>
      </c>
      <c r="C273" s="11">
        <f t="shared" si="12"/>
        <v>189.60437587499999</v>
      </c>
      <c r="D273" s="11">
        <f t="shared" si="13"/>
        <v>3.5376664448734552</v>
      </c>
      <c r="E273" s="25">
        <v>193.64999399999999</v>
      </c>
      <c r="F273" s="11">
        <f t="shared" si="14"/>
        <v>200.7253268897469</v>
      </c>
      <c r="G273" s="11">
        <f t="shared" si="15"/>
        <v>186.57466111025309</v>
      </c>
    </row>
    <row r="274" spans="1:7" x14ac:dyDescent="0.25">
      <c r="A274" s="24">
        <v>42398</v>
      </c>
      <c r="B274" s="25">
        <v>193.720001</v>
      </c>
      <c r="C274" s="11">
        <f t="shared" si="12"/>
        <v>189.6325006875</v>
      </c>
      <c r="D274" s="11">
        <f t="shared" si="13"/>
        <v>3.5698005246351929</v>
      </c>
      <c r="E274" s="25">
        <v>193.720001</v>
      </c>
      <c r="F274" s="11">
        <f t="shared" si="14"/>
        <v>200.85960204927039</v>
      </c>
      <c r="G274" s="11">
        <f t="shared" si="15"/>
        <v>186.5803999507296</v>
      </c>
    </row>
    <row r="275" spans="1:7" x14ac:dyDescent="0.25">
      <c r="A275" s="24">
        <v>42397</v>
      </c>
      <c r="B275" s="25">
        <v>189.11000100000001</v>
      </c>
      <c r="C275" s="11">
        <f t="shared" si="12"/>
        <v>189.72000031249999</v>
      </c>
      <c r="D275" s="11">
        <f t="shared" si="13"/>
        <v>3.6561783915289054</v>
      </c>
      <c r="E275" s="25">
        <v>189.11000100000001</v>
      </c>
      <c r="F275" s="11">
        <f t="shared" si="14"/>
        <v>196.42235778305783</v>
      </c>
      <c r="G275" s="11">
        <f t="shared" si="15"/>
        <v>181.79764421694219</v>
      </c>
    </row>
    <row r="276" spans="1:7" x14ac:dyDescent="0.25">
      <c r="A276" s="24">
        <v>42396</v>
      </c>
      <c r="B276" s="25">
        <v>188.13000500000001</v>
      </c>
      <c r="C276" s="11">
        <f t="shared" ref="C276:C339" si="16">AVERAGE(B260:B275)</f>
        <v>189.36562543749997</v>
      </c>
      <c r="D276" s="11">
        <f t="shared" ref="D276:D339" si="17">_xlfn.STDEV.S(B260:B275)</f>
        <v>3.39876265790451</v>
      </c>
      <c r="E276" s="25">
        <v>188.13000500000001</v>
      </c>
      <c r="F276" s="11">
        <f t="shared" ref="F276:F339" si="18">B276+2*D276</f>
        <v>194.92753031580904</v>
      </c>
      <c r="G276" s="11">
        <f t="shared" ref="G276:G339" si="19">B276-2*D276</f>
        <v>181.33247968419099</v>
      </c>
    </row>
    <row r="277" spans="1:7" x14ac:dyDescent="0.25">
      <c r="A277" s="24">
        <v>42395</v>
      </c>
      <c r="B277" s="25">
        <v>190.199997</v>
      </c>
      <c r="C277" s="11">
        <f t="shared" si="16"/>
        <v>189.12375074999997</v>
      </c>
      <c r="D277" s="11">
        <f t="shared" si="17"/>
        <v>3.3359115572834663</v>
      </c>
      <c r="E277" s="25">
        <v>190.199997</v>
      </c>
      <c r="F277" s="11">
        <f t="shared" si="18"/>
        <v>196.87182011456693</v>
      </c>
      <c r="G277" s="11">
        <f t="shared" si="19"/>
        <v>183.52817388543306</v>
      </c>
    </row>
    <row r="278" spans="1:7" x14ac:dyDescent="0.25">
      <c r="A278" s="24">
        <v>42394</v>
      </c>
      <c r="B278" s="25">
        <v>187.63999899999999</v>
      </c>
      <c r="C278" s="11">
        <f t="shared" si="16"/>
        <v>189.00562581250003</v>
      </c>
      <c r="D278" s="11">
        <f t="shared" si="17"/>
        <v>3.2563888779239534</v>
      </c>
      <c r="E278" s="25">
        <v>187.63999899999999</v>
      </c>
      <c r="F278" s="11">
        <f t="shared" si="18"/>
        <v>194.1527767558479</v>
      </c>
      <c r="G278" s="11">
        <f t="shared" si="19"/>
        <v>181.12722124415208</v>
      </c>
    </row>
    <row r="279" spans="1:7" x14ac:dyDescent="0.25">
      <c r="A279" s="24">
        <v>42391</v>
      </c>
      <c r="B279" s="25">
        <v>190.520004</v>
      </c>
      <c r="C279" s="11">
        <f t="shared" si="16"/>
        <v>188.67812543750003</v>
      </c>
      <c r="D279" s="11">
        <f t="shared" si="17"/>
        <v>3.1005273361853116</v>
      </c>
      <c r="E279" s="25">
        <v>190.520004</v>
      </c>
      <c r="F279" s="11">
        <f t="shared" si="18"/>
        <v>196.72105867237062</v>
      </c>
      <c r="G279" s="11">
        <f t="shared" si="19"/>
        <v>184.31894932762938</v>
      </c>
    </row>
    <row r="280" spans="1:7" x14ac:dyDescent="0.25">
      <c r="A280" s="24">
        <v>42390</v>
      </c>
      <c r="B280" s="25">
        <v>186.69000199999999</v>
      </c>
      <c r="C280" s="11">
        <f t="shared" si="16"/>
        <v>188.72437575000001</v>
      </c>
      <c r="D280" s="11">
        <f t="shared" si="17"/>
        <v>3.1234939012292502</v>
      </c>
      <c r="E280" s="25">
        <v>186.69000199999999</v>
      </c>
      <c r="F280" s="11">
        <f t="shared" si="18"/>
        <v>192.9369898024585</v>
      </c>
      <c r="G280" s="11">
        <f t="shared" si="19"/>
        <v>180.44301419754149</v>
      </c>
    </row>
    <row r="281" spans="1:7" x14ac:dyDescent="0.25">
      <c r="A281" s="24">
        <v>42389</v>
      </c>
      <c r="B281" s="25">
        <v>185.64999399999999</v>
      </c>
      <c r="C281" s="11">
        <f t="shared" si="16"/>
        <v>188.7281255625</v>
      </c>
      <c r="D281" s="11">
        <f t="shared" si="17"/>
        <v>3.1208468402446781</v>
      </c>
      <c r="E281" s="25">
        <v>185.64999399999999</v>
      </c>
      <c r="F281" s="11">
        <f t="shared" si="18"/>
        <v>191.89168768048935</v>
      </c>
      <c r="G281" s="11">
        <f t="shared" si="19"/>
        <v>179.40830031951063</v>
      </c>
    </row>
    <row r="282" spans="1:7" x14ac:dyDescent="0.25">
      <c r="A282" s="24">
        <v>42388</v>
      </c>
      <c r="B282" s="25">
        <v>188.05999800000001</v>
      </c>
      <c r="C282" s="11">
        <f t="shared" si="16"/>
        <v>188.90250012499999</v>
      </c>
      <c r="D282" s="11">
        <f t="shared" si="17"/>
        <v>2.8360627547155093</v>
      </c>
      <c r="E282" s="25">
        <v>188.05999800000001</v>
      </c>
      <c r="F282" s="11">
        <f t="shared" si="18"/>
        <v>193.73212350943103</v>
      </c>
      <c r="G282" s="11">
        <f t="shared" si="19"/>
        <v>182.38787249056898</v>
      </c>
    </row>
    <row r="283" spans="1:7" x14ac:dyDescent="0.25">
      <c r="A283" s="24">
        <v>42384</v>
      </c>
      <c r="B283" s="25">
        <v>187.80999800000001</v>
      </c>
      <c r="C283" s="11">
        <f t="shared" si="16"/>
        <v>189.07687474999997</v>
      </c>
      <c r="D283" s="11">
        <f t="shared" si="17"/>
        <v>2.6792667753853241</v>
      </c>
      <c r="E283" s="25">
        <v>187.80999800000001</v>
      </c>
      <c r="F283" s="11">
        <f t="shared" si="18"/>
        <v>193.16853155077067</v>
      </c>
      <c r="G283" s="11">
        <f t="shared" si="19"/>
        <v>182.45146444922935</v>
      </c>
    </row>
    <row r="284" spans="1:7" x14ac:dyDescent="0.25">
      <c r="A284" s="24">
        <v>42383</v>
      </c>
      <c r="B284" s="25">
        <v>191.929993</v>
      </c>
      <c r="C284" s="11">
        <f t="shared" si="16"/>
        <v>189.2256250625</v>
      </c>
      <c r="D284" s="11">
        <f t="shared" si="17"/>
        <v>2.5249192794881052</v>
      </c>
      <c r="E284" s="25">
        <v>191.929993</v>
      </c>
      <c r="F284" s="11">
        <f t="shared" si="18"/>
        <v>196.9798315589762</v>
      </c>
      <c r="G284" s="11">
        <f t="shared" si="19"/>
        <v>186.88015444102379</v>
      </c>
    </row>
    <row r="285" spans="1:7" x14ac:dyDescent="0.25">
      <c r="A285" s="24">
        <v>42382</v>
      </c>
      <c r="B285" s="25">
        <v>188.83000200000001</v>
      </c>
      <c r="C285" s="11">
        <f t="shared" si="16"/>
        <v>189.63249975000002</v>
      </c>
      <c r="D285" s="11">
        <f t="shared" si="17"/>
        <v>2.3917959352789691</v>
      </c>
      <c r="E285" s="25">
        <v>188.83000200000001</v>
      </c>
      <c r="F285" s="11">
        <f t="shared" si="18"/>
        <v>193.61359387055793</v>
      </c>
      <c r="G285" s="11">
        <f t="shared" si="19"/>
        <v>184.04641012944208</v>
      </c>
    </row>
    <row r="286" spans="1:7" x14ac:dyDescent="0.25">
      <c r="A286" s="24">
        <v>42381</v>
      </c>
      <c r="B286" s="25">
        <v>193.66000399999999</v>
      </c>
      <c r="C286" s="11">
        <f t="shared" si="16"/>
        <v>189.68750006250002</v>
      </c>
      <c r="D286" s="11">
        <f t="shared" si="17"/>
        <v>2.3604392744466143</v>
      </c>
      <c r="E286" s="25">
        <v>193.66000399999999</v>
      </c>
      <c r="F286" s="11">
        <f t="shared" si="18"/>
        <v>198.38088254889323</v>
      </c>
      <c r="G286" s="11">
        <f t="shared" si="19"/>
        <v>188.93912545110675</v>
      </c>
    </row>
    <row r="287" spans="1:7" x14ac:dyDescent="0.25">
      <c r="A287" s="24">
        <v>42380</v>
      </c>
      <c r="B287" s="25">
        <v>192.11000100000001</v>
      </c>
      <c r="C287" s="11">
        <f t="shared" si="16"/>
        <v>189.81624993750003</v>
      </c>
      <c r="D287" s="11">
        <f t="shared" si="17"/>
        <v>2.5223400195417849</v>
      </c>
      <c r="E287" s="25">
        <v>192.11000100000001</v>
      </c>
      <c r="F287" s="11">
        <f t="shared" si="18"/>
        <v>197.15468103908358</v>
      </c>
      <c r="G287" s="11">
        <f t="shared" si="19"/>
        <v>187.06532096091644</v>
      </c>
    </row>
    <row r="288" spans="1:7" x14ac:dyDescent="0.25">
      <c r="A288" s="24">
        <v>42377</v>
      </c>
      <c r="B288" s="25">
        <v>191.91999799999999</v>
      </c>
      <c r="C288" s="11">
        <f t="shared" si="16"/>
        <v>189.86687481250004</v>
      </c>
      <c r="D288" s="11">
        <f t="shared" si="17"/>
        <v>2.5619231363889163</v>
      </c>
      <c r="E288" s="25">
        <v>191.91999799999999</v>
      </c>
      <c r="F288" s="11">
        <f t="shared" si="18"/>
        <v>197.04384427277782</v>
      </c>
      <c r="G288" s="11">
        <f t="shared" si="19"/>
        <v>186.79615172722217</v>
      </c>
    </row>
    <row r="289" spans="1:7" x14ac:dyDescent="0.25">
      <c r="A289" s="24">
        <v>42376</v>
      </c>
      <c r="B289" s="25">
        <v>194.050003</v>
      </c>
      <c r="C289" s="11">
        <f t="shared" si="16"/>
        <v>189.97687443749999</v>
      </c>
      <c r="D289" s="11">
        <f t="shared" si="17"/>
        <v>2.612630140604876</v>
      </c>
      <c r="E289" s="25">
        <v>194.050003</v>
      </c>
      <c r="F289" s="11">
        <f t="shared" si="18"/>
        <v>199.27526328120976</v>
      </c>
      <c r="G289" s="11">
        <f t="shared" si="19"/>
        <v>188.82474271879025</v>
      </c>
    </row>
    <row r="290" spans="1:7" x14ac:dyDescent="0.25">
      <c r="A290" s="24">
        <v>42375</v>
      </c>
      <c r="B290" s="25">
        <v>198.820007</v>
      </c>
      <c r="C290" s="11">
        <f t="shared" si="16"/>
        <v>190.00187499999998</v>
      </c>
      <c r="D290" s="11">
        <f t="shared" si="17"/>
        <v>2.6517429776178525</v>
      </c>
      <c r="E290" s="25">
        <v>198.820007</v>
      </c>
      <c r="F290" s="11">
        <f t="shared" si="18"/>
        <v>204.12349295523572</v>
      </c>
      <c r="G290" s="11">
        <f t="shared" si="19"/>
        <v>193.51652104476429</v>
      </c>
    </row>
    <row r="291" spans="1:7" x14ac:dyDescent="0.25">
      <c r="A291" s="24">
        <v>42374</v>
      </c>
      <c r="B291" s="25">
        <v>201.36000100000001</v>
      </c>
      <c r="C291" s="11">
        <f t="shared" si="16"/>
        <v>190.32062537499993</v>
      </c>
      <c r="D291" s="11">
        <f t="shared" si="17"/>
        <v>3.3445026982869446</v>
      </c>
      <c r="E291" s="25">
        <v>201.36000100000001</v>
      </c>
      <c r="F291" s="11">
        <f t="shared" si="18"/>
        <v>208.0490063965739</v>
      </c>
      <c r="G291" s="11">
        <f t="shared" si="19"/>
        <v>194.67099560342612</v>
      </c>
    </row>
    <row r="292" spans="1:7" x14ac:dyDescent="0.25">
      <c r="A292" s="24">
        <v>42373</v>
      </c>
      <c r="B292" s="25">
        <v>201.020004</v>
      </c>
      <c r="C292" s="11">
        <f t="shared" si="16"/>
        <v>191.08625037499993</v>
      </c>
      <c r="D292" s="11">
        <f t="shared" si="17"/>
        <v>4.3112934721514069</v>
      </c>
      <c r="E292" s="25">
        <v>201.020004</v>
      </c>
      <c r="F292" s="11">
        <f t="shared" si="18"/>
        <v>209.64259094430281</v>
      </c>
      <c r="G292" s="11">
        <f t="shared" si="19"/>
        <v>192.39741705569719</v>
      </c>
    </row>
    <row r="293" spans="1:7" x14ac:dyDescent="0.25">
      <c r="A293" s="24">
        <v>42369</v>
      </c>
      <c r="B293" s="25">
        <v>203.86999499999999</v>
      </c>
      <c r="C293" s="11">
        <f t="shared" si="16"/>
        <v>191.89187531249996</v>
      </c>
      <c r="D293" s="11">
        <f t="shared" si="17"/>
        <v>4.8878375639367819</v>
      </c>
      <c r="E293" s="25">
        <v>203.86999499999999</v>
      </c>
      <c r="F293" s="11">
        <f t="shared" si="18"/>
        <v>213.64567012787356</v>
      </c>
      <c r="G293" s="11">
        <f t="shared" si="19"/>
        <v>194.09431987212642</v>
      </c>
    </row>
    <row r="294" spans="1:7" x14ac:dyDescent="0.25">
      <c r="A294" s="24">
        <v>42368</v>
      </c>
      <c r="B294" s="25">
        <v>205.929993</v>
      </c>
      <c r="C294" s="11">
        <f t="shared" si="16"/>
        <v>192.74625018749998</v>
      </c>
      <c r="D294" s="11">
        <f t="shared" si="17"/>
        <v>5.699695529662022</v>
      </c>
      <c r="E294" s="25">
        <v>205.929993</v>
      </c>
      <c r="F294" s="11">
        <f t="shared" si="18"/>
        <v>217.32938405932404</v>
      </c>
      <c r="G294" s="11">
        <f t="shared" si="19"/>
        <v>194.53060194067595</v>
      </c>
    </row>
    <row r="295" spans="1:7" x14ac:dyDescent="0.25">
      <c r="A295" s="24">
        <v>42367</v>
      </c>
      <c r="B295" s="25">
        <v>207.39999399999999</v>
      </c>
      <c r="C295" s="11">
        <f t="shared" si="16"/>
        <v>193.88937481249999</v>
      </c>
      <c r="D295" s="11">
        <f t="shared" si="17"/>
        <v>6.3985804039465721</v>
      </c>
      <c r="E295" s="25">
        <v>207.39999399999999</v>
      </c>
      <c r="F295" s="11">
        <f t="shared" si="18"/>
        <v>220.19715480789313</v>
      </c>
      <c r="G295" s="11">
        <f t="shared" si="19"/>
        <v>194.60283319210686</v>
      </c>
    </row>
    <row r="296" spans="1:7" x14ac:dyDescent="0.25">
      <c r="A296" s="24">
        <v>42366</v>
      </c>
      <c r="B296" s="25">
        <v>205.21000699999999</v>
      </c>
      <c r="C296" s="11">
        <f t="shared" si="16"/>
        <v>194.94437418750002</v>
      </c>
      <c r="D296" s="11">
        <f t="shared" si="17"/>
        <v>7.1531031030550931</v>
      </c>
      <c r="E296" s="25">
        <v>205.21000699999999</v>
      </c>
      <c r="F296" s="11">
        <f t="shared" si="18"/>
        <v>219.51621320611017</v>
      </c>
      <c r="G296" s="11">
        <f t="shared" si="19"/>
        <v>190.90380079388981</v>
      </c>
    </row>
    <row r="297" spans="1:7" x14ac:dyDescent="0.25">
      <c r="A297" s="24">
        <v>42362</v>
      </c>
      <c r="B297" s="25">
        <v>205.679993</v>
      </c>
      <c r="C297" s="11">
        <f t="shared" si="16"/>
        <v>196.10187450000004</v>
      </c>
      <c r="D297" s="11">
        <f t="shared" si="17"/>
        <v>7.2264094602153444</v>
      </c>
      <c r="E297" s="25">
        <v>205.679993</v>
      </c>
      <c r="F297" s="11">
        <f t="shared" si="18"/>
        <v>220.1328119204307</v>
      </c>
      <c r="G297" s="11">
        <f t="shared" si="19"/>
        <v>191.22717407956929</v>
      </c>
    </row>
    <row r="298" spans="1:7" x14ac:dyDescent="0.25">
      <c r="A298" s="24">
        <v>42361</v>
      </c>
      <c r="B298" s="25">
        <v>206.020004</v>
      </c>
      <c r="C298" s="11">
        <f t="shared" si="16"/>
        <v>197.35374943750006</v>
      </c>
      <c r="D298" s="11">
        <f t="shared" si="17"/>
        <v>7.027272584096238</v>
      </c>
      <c r="E298" s="25">
        <v>206.020004</v>
      </c>
      <c r="F298" s="11">
        <f t="shared" si="18"/>
        <v>220.07454916819248</v>
      </c>
      <c r="G298" s="11">
        <f t="shared" si="19"/>
        <v>191.96545883180752</v>
      </c>
    </row>
    <row r="299" spans="1:7" x14ac:dyDescent="0.25">
      <c r="A299" s="24">
        <v>42360</v>
      </c>
      <c r="B299" s="25">
        <v>203.5</v>
      </c>
      <c r="C299" s="11">
        <f t="shared" si="16"/>
        <v>198.47624981250001</v>
      </c>
      <c r="D299" s="11">
        <f t="shared" si="17"/>
        <v>6.8765710372630533</v>
      </c>
      <c r="E299" s="25">
        <v>203.5</v>
      </c>
      <c r="F299" s="11">
        <f t="shared" si="18"/>
        <v>217.2531420745261</v>
      </c>
      <c r="G299" s="11">
        <f t="shared" si="19"/>
        <v>189.7468579254739</v>
      </c>
    </row>
    <row r="300" spans="1:7" x14ac:dyDescent="0.25">
      <c r="A300" s="24">
        <v>42359</v>
      </c>
      <c r="B300" s="25">
        <v>201.66999799999999</v>
      </c>
      <c r="C300" s="11">
        <f t="shared" si="16"/>
        <v>199.4568749375</v>
      </c>
      <c r="D300" s="11">
        <f t="shared" si="17"/>
        <v>6.3529078198051563</v>
      </c>
      <c r="E300" s="25">
        <v>201.66999799999999</v>
      </c>
      <c r="F300" s="11">
        <f t="shared" si="18"/>
        <v>214.3758136396103</v>
      </c>
      <c r="G300" s="11">
        <f t="shared" si="19"/>
        <v>188.96418236038969</v>
      </c>
    </row>
    <row r="301" spans="1:7" x14ac:dyDescent="0.25">
      <c r="A301" s="24">
        <v>42356</v>
      </c>
      <c r="B301" s="25">
        <v>200.020004</v>
      </c>
      <c r="C301" s="11">
        <f t="shared" si="16"/>
        <v>200.06562525000001</v>
      </c>
      <c r="D301" s="11">
        <f t="shared" si="17"/>
        <v>6.0426610992471774</v>
      </c>
      <c r="E301" s="25">
        <v>200.020004</v>
      </c>
      <c r="F301" s="11">
        <f t="shared" si="18"/>
        <v>212.10532619849437</v>
      </c>
      <c r="G301" s="11">
        <f t="shared" si="19"/>
        <v>187.93468180150563</v>
      </c>
    </row>
    <row r="302" spans="1:7" x14ac:dyDescent="0.25">
      <c r="A302" s="24">
        <v>42355</v>
      </c>
      <c r="B302" s="25">
        <v>204.86000100000001</v>
      </c>
      <c r="C302" s="11">
        <f t="shared" si="16"/>
        <v>200.765000375</v>
      </c>
      <c r="D302" s="11">
        <f t="shared" si="17"/>
        <v>5.2513054874658707</v>
      </c>
      <c r="E302" s="25">
        <v>204.86000100000001</v>
      </c>
      <c r="F302" s="11">
        <f t="shared" si="18"/>
        <v>215.36261197493175</v>
      </c>
      <c r="G302" s="11">
        <f t="shared" si="19"/>
        <v>194.35739002506827</v>
      </c>
    </row>
    <row r="303" spans="1:7" x14ac:dyDescent="0.25">
      <c r="A303" s="24">
        <v>42354</v>
      </c>
      <c r="B303" s="25">
        <v>208.029999</v>
      </c>
      <c r="C303" s="11">
        <f t="shared" si="16"/>
        <v>201.46500018749998</v>
      </c>
      <c r="D303" s="11">
        <f t="shared" si="17"/>
        <v>4.9805702529618303</v>
      </c>
      <c r="E303" s="25">
        <v>208.029999</v>
      </c>
      <c r="F303" s="11">
        <f t="shared" si="18"/>
        <v>217.99113950592366</v>
      </c>
      <c r="G303" s="11">
        <f t="shared" si="19"/>
        <v>198.06885849407635</v>
      </c>
    </row>
    <row r="304" spans="1:7" x14ac:dyDescent="0.25">
      <c r="A304" s="24">
        <v>42353</v>
      </c>
      <c r="B304" s="25">
        <v>205.029999</v>
      </c>
      <c r="C304" s="11">
        <f t="shared" si="16"/>
        <v>202.46000006249997</v>
      </c>
      <c r="D304" s="11">
        <f t="shared" si="17"/>
        <v>4.5594883065268403</v>
      </c>
      <c r="E304" s="25">
        <v>205.029999</v>
      </c>
      <c r="F304" s="11">
        <f t="shared" si="18"/>
        <v>214.14897561305369</v>
      </c>
      <c r="G304" s="11">
        <f t="shared" si="19"/>
        <v>195.91102238694631</v>
      </c>
    </row>
    <row r="305" spans="1:7" x14ac:dyDescent="0.25">
      <c r="A305" s="24">
        <v>42352</v>
      </c>
      <c r="B305" s="25">
        <v>202.89999399999999</v>
      </c>
      <c r="C305" s="11">
        <f t="shared" si="16"/>
        <v>203.27937512499997</v>
      </c>
      <c r="D305" s="11">
        <f t="shared" si="17"/>
        <v>3.6203613763713474</v>
      </c>
      <c r="E305" s="25">
        <v>202.89999399999999</v>
      </c>
      <c r="F305" s="11">
        <f t="shared" si="18"/>
        <v>210.14071675274269</v>
      </c>
      <c r="G305" s="11">
        <f t="shared" si="19"/>
        <v>195.65927124725729</v>
      </c>
    </row>
    <row r="306" spans="1:7" x14ac:dyDescent="0.25">
      <c r="A306" s="24">
        <v>42349</v>
      </c>
      <c r="B306" s="25">
        <v>201.88000500000001</v>
      </c>
      <c r="C306" s="11">
        <f t="shared" si="16"/>
        <v>203.83249956249995</v>
      </c>
      <c r="D306" s="11">
        <f t="shared" si="17"/>
        <v>2.666742349201185</v>
      </c>
      <c r="E306" s="25">
        <v>201.88000500000001</v>
      </c>
      <c r="F306" s="11">
        <f t="shared" si="18"/>
        <v>207.21348969840238</v>
      </c>
      <c r="G306" s="11">
        <f t="shared" si="19"/>
        <v>196.54652030159764</v>
      </c>
    </row>
    <row r="307" spans="1:7" x14ac:dyDescent="0.25">
      <c r="A307" s="24">
        <v>42348</v>
      </c>
      <c r="B307" s="25">
        <v>205.86999499999999</v>
      </c>
      <c r="C307" s="11">
        <f t="shared" si="16"/>
        <v>204.02374943749999</v>
      </c>
      <c r="D307" s="11">
        <f t="shared" si="17"/>
        <v>2.3773185237127965</v>
      </c>
      <c r="E307" s="25">
        <v>205.86999499999999</v>
      </c>
      <c r="F307" s="11">
        <f t="shared" si="18"/>
        <v>210.62463204742559</v>
      </c>
      <c r="G307" s="11">
        <f t="shared" si="19"/>
        <v>201.11535795257439</v>
      </c>
    </row>
    <row r="308" spans="1:7" x14ac:dyDescent="0.25">
      <c r="A308" s="24">
        <v>42347</v>
      </c>
      <c r="B308" s="25">
        <v>205.33999600000001</v>
      </c>
      <c r="C308" s="11">
        <f t="shared" si="16"/>
        <v>204.30562406249996</v>
      </c>
      <c r="D308" s="11">
        <f t="shared" si="17"/>
        <v>2.3067504491395812</v>
      </c>
      <c r="E308" s="25">
        <v>205.33999600000001</v>
      </c>
      <c r="F308" s="11">
        <f t="shared" si="18"/>
        <v>209.95349689827918</v>
      </c>
      <c r="G308" s="11">
        <f t="shared" si="19"/>
        <v>200.72649510172084</v>
      </c>
    </row>
    <row r="309" spans="1:7" x14ac:dyDescent="0.25">
      <c r="A309" s="24">
        <v>42346</v>
      </c>
      <c r="B309" s="25">
        <v>206.949997</v>
      </c>
      <c r="C309" s="11">
        <f t="shared" si="16"/>
        <v>204.5756235625</v>
      </c>
      <c r="D309" s="11">
        <f t="shared" si="17"/>
        <v>2.1435903674142271</v>
      </c>
      <c r="E309" s="25">
        <v>206.949997</v>
      </c>
      <c r="F309" s="11">
        <f t="shared" si="18"/>
        <v>211.23717773482846</v>
      </c>
      <c r="G309" s="11">
        <f t="shared" si="19"/>
        <v>202.66281626517153</v>
      </c>
    </row>
    <row r="310" spans="1:7" x14ac:dyDescent="0.25">
      <c r="A310" s="24">
        <v>42345</v>
      </c>
      <c r="B310" s="25">
        <v>208.35000600000001</v>
      </c>
      <c r="C310" s="11">
        <f t="shared" si="16"/>
        <v>204.76812368750001</v>
      </c>
      <c r="D310" s="11">
        <f t="shared" si="17"/>
        <v>2.2131656321741997</v>
      </c>
      <c r="E310" s="25">
        <v>208.35000600000001</v>
      </c>
      <c r="F310" s="11">
        <f t="shared" si="18"/>
        <v>212.7763372643484</v>
      </c>
      <c r="G310" s="11">
        <f t="shared" si="19"/>
        <v>203.92367473565162</v>
      </c>
    </row>
    <row r="311" spans="1:7" x14ac:dyDescent="0.25">
      <c r="A311" s="24">
        <v>42342</v>
      </c>
      <c r="B311" s="25">
        <v>209.61999499999999</v>
      </c>
      <c r="C311" s="11">
        <f t="shared" si="16"/>
        <v>204.91937450000003</v>
      </c>
      <c r="D311" s="11">
        <f t="shared" si="17"/>
        <v>2.3746640941449102</v>
      </c>
      <c r="E311" s="25">
        <v>209.61999499999999</v>
      </c>
      <c r="F311" s="11">
        <f t="shared" si="18"/>
        <v>214.3693231882898</v>
      </c>
      <c r="G311" s="11">
        <f t="shared" si="19"/>
        <v>204.87066681171018</v>
      </c>
    </row>
    <row r="312" spans="1:7" x14ac:dyDescent="0.25">
      <c r="A312" s="24">
        <v>42341</v>
      </c>
      <c r="B312" s="25">
        <v>205.61000100000001</v>
      </c>
      <c r="C312" s="11">
        <f t="shared" si="16"/>
        <v>205.05812456250004</v>
      </c>
      <c r="D312" s="11">
        <f t="shared" si="17"/>
        <v>2.5848246633515379</v>
      </c>
      <c r="E312" s="25">
        <v>205.61000100000001</v>
      </c>
      <c r="F312" s="11">
        <f t="shared" si="18"/>
        <v>210.77965032670309</v>
      </c>
      <c r="G312" s="11">
        <f t="shared" si="19"/>
        <v>200.44035167329693</v>
      </c>
    </row>
    <row r="313" spans="1:7" x14ac:dyDescent="0.25">
      <c r="A313" s="24">
        <v>42340</v>
      </c>
      <c r="B313" s="25">
        <v>208.529999</v>
      </c>
      <c r="C313" s="11">
        <f t="shared" si="16"/>
        <v>205.08312418750003</v>
      </c>
      <c r="D313" s="11">
        <f t="shared" si="17"/>
        <v>2.5883234951283351</v>
      </c>
      <c r="E313" s="25">
        <v>208.529999</v>
      </c>
      <c r="F313" s="11">
        <f t="shared" si="18"/>
        <v>213.70664599025667</v>
      </c>
      <c r="G313" s="11">
        <f t="shared" si="19"/>
        <v>203.35335200974333</v>
      </c>
    </row>
    <row r="314" spans="1:7" x14ac:dyDescent="0.25">
      <c r="A314" s="24">
        <v>42339</v>
      </c>
      <c r="B314" s="25">
        <v>210.679993</v>
      </c>
      <c r="C314" s="11">
        <f t="shared" si="16"/>
        <v>205.26124956250001</v>
      </c>
      <c r="D314" s="11">
        <f t="shared" si="17"/>
        <v>2.7265156389026384</v>
      </c>
      <c r="E314" s="25">
        <v>210.679993</v>
      </c>
      <c r="F314" s="11">
        <f t="shared" si="18"/>
        <v>216.13302427780528</v>
      </c>
      <c r="G314" s="11">
        <f t="shared" si="19"/>
        <v>205.22696172219472</v>
      </c>
    </row>
    <row r="315" spans="1:7" x14ac:dyDescent="0.25">
      <c r="A315" s="24">
        <v>42338</v>
      </c>
      <c r="B315" s="25">
        <v>208.69000199999999</v>
      </c>
      <c r="C315" s="11">
        <f t="shared" si="16"/>
        <v>205.552498875</v>
      </c>
      <c r="D315" s="11">
        <f t="shared" si="17"/>
        <v>3.0434428584551596</v>
      </c>
      <c r="E315" s="25">
        <v>208.69000199999999</v>
      </c>
      <c r="F315" s="11">
        <f t="shared" si="18"/>
        <v>214.77688771691032</v>
      </c>
      <c r="G315" s="11">
        <f t="shared" si="19"/>
        <v>202.60311628308966</v>
      </c>
    </row>
    <row r="316" spans="1:7" x14ac:dyDescent="0.25">
      <c r="A316" s="24">
        <v>42335</v>
      </c>
      <c r="B316" s="25">
        <v>209.55999800000001</v>
      </c>
      <c r="C316" s="11">
        <f t="shared" si="16"/>
        <v>205.87687399999999</v>
      </c>
      <c r="D316" s="11">
        <f t="shared" si="17"/>
        <v>3.0863768744838866</v>
      </c>
      <c r="E316" s="25">
        <v>209.55999800000001</v>
      </c>
      <c r="F316" s="11">
        <f t="shared" si="18"/>
        <v>215.73275174896779</v>
      </c>
      <c r="G316" s="11">
        <f t="shared" si="19"/>
        <v>203.38724425103223</v>
      </c>
    </row>
    <row r="317" spans="1:7" x14ac:dyDescent="0.25">
      <c r="A317" s="24">
        <v>42333</v>
      </c>
      <c r="B317" s="25">
        <v>209.320007</v>
      </c>
      <c r="C317" s="11">
        <f t="shared" si="16"/>
        <v>206.36999900000001</v>
      </c>
      <c r="D317" s="11">
        <f t="shared" si="17"/>
        <v>2.9984737633250886</v>
      </c>
      <c r="E317" s="25">
        <v>209.320007</v>
      </c>
      <c r="F317" s="11">
        <f t="shared" si="18"/>
        <v>215.31695452665019</v>
      </c>
      <c r="G317" s="11">
        <f t="shared" si="19"/>
        <v>203.32305947334982</v>
      </c>
    </row>
    <row r="318" spans="1:7" x14ac:dyDescent="0.25">
      <c r="A318" s="24">
        <v>42332</v>
      </c>
      <c r="B318" s="25">
        <v>209.35000600000001</v>
      </c>
      <c r="C318" s="11">
        <f t="shared" si="16"/>
        <v>206.95124918749997</v>
      </c>
      <c r="D318" s="11">
        <f t="shared" si="17"/>
        <v>2.5539140660663353</v>
      </c>
      <c r="E318" s="25">
        <v>209.35000600000001</v>
      </c>
      <c r="F318" s="11">
        <f t="shared" si="18"/>
        <v>214.45783413213269</v>
      </c>
      <c r="G318" s="11">
        <f t="shared" si="19"/>
        <v>204.24217786786733</v>
      </c>
    </row>
    <row r="319" spans="1:7" x14ac:dyDescent="0.25">
      <c r="A319" s="24">
        <v>42331</v>
      </c>
      <c r="B319" s="25">
        <v>209.070007</v>
      </c>
      <c r="C319" s="11">
        <f t="shared" si="16"/>
        <v>207.2318745</v>
      </c>
      <c r="D319" s="11">
        <f t="shared" si="17"/>
        <v>2.5554890211766237</v>
      </c>
      <c r="E319" s="25">
        <v>209.070007</v>
      </c>
      <c r="F319" s="11">
        <f t="shared" si="18"/>
        <v>214.18098504235326</v>
      </c>
      <c r="G319" s="11">
        <f t="shared" si="19"/>
        <v>203.95902895764675</v>
      </c>
    </row>
    <row r="320" spans="1:7" x14ac:dyDescent="0.25">
      <c r="A320" s="24">
        <v>42328</v>
      </c>
      <c r="B320" s="25">
        <v>209.30999800000001</v>
      </c>
      <c r="C320" s="11">
        <f t="shared" si="16"/>
        <v>207.296875</v>
      </c>
      <c r="D320" s="11">
        <f t="shared" si="17"/>
        <v>2.5901349950709252</v>
      </c>
      <c r="E320" s="25">
        <v>209.30999800000001</v>
      </c>
      <c r="F320" s="11">
        <f t="shared" si="18"/>
        <v>214.49026799014186</v>
      </c>
      <c r="G320" s="11">
        <f t="shared" si="19"/>
        <v>204.12972800985816</v>
      </c>
    </row>
    <row r="321" spans="1:7" x14ac:dyDescent="0.25">
      <c r="A321" s="24">
        <v>42327</v>
      </c>
      <c r="B321" s="25">
        <v>208.550003</v>
      </c>
      <c r="C321" s="11">
        <f t="shared" si="16"/>
        <v>207.56437493749999</v>
      </c>
      <c r="D321" s="11">
        <f t="shared" si="17"/>
        <v>2.561263065222819</v>
      </c>
      <c r="E321" s="25">
        <v>208.550003</v>
      </c>
      <c r="F321" s="11">
        <f t="shared" si="18"/>
        <v>213.67252913044564</v>
      </c>
      <c r="G321" s="11">
        <f t="shared" si="19"/>
        <v>203.42747686955437</v>
      </c>
    </row>
    <row r="322" spans="1:7" x14ac:dyDescent="0.25">
      <c r="A322" s="24">
        <v>42326</v>
      </c>
      <c r="B322" s="25">
        <v>208.729996</v>
      </c>
      <c r="C322" s="11">
        <f t="shared" si="16"/>
        <v>207.91750049999999</v>
      </c>
      <c r="D322" s="11">
        <f t="shared" si="17"/>
        <v>2.2453044022335127</v>
      </c>
      <c r="E322" s="25">
        <v>208.729996</v>
      </c>
      <c r="F322" s="11">
        <f t="shared" si="18"/>
        <v>213.22060480446703</v>
      </c>
      <c r="G322" s="11">
        <f t="shared" si="19"/>
        <v>204.23938719553297</v>
      </c>
    </row>
    <row r="323" spans="1:7" x14ac:dyDescent="0.25">
      <c r="A323" s="24">
        <v>42325</v>
      </c>
      <c r="B323" s="25">
        <v>205.470001</v>
      </c>
      <c r="C323" s="11">
        <f t="shared" si="16"/>
        <v>208.34562493749999</v>
      </c>
      <c r="D323" s="11">
        <f t="shared" si="17"/>
        <v>1.5683755154422869</v>
      </c>
      <c r="E323" s="25">
        <v>205.470001</v>
      </c>
      <c r="F323" s="11">
        <f t="shared" si="18"/>
        <v>208.60675203088456</v>
      </c>
      <c r="G323" s="11">
        <f t="shared" si="19"/>
        <v>202.33324996911543</v>
      </c>
    </row>
    <row r="324" spans="1:7" x14ac:dyDescent="0.25">
      <c r="A324" s="24">
        <v>42324</v>
      </c>
      <c r="B324" s="25">
        <v>205.61999499999999</v>
      </c>
      <c r="C324" s="11">
        <f t="shared" si="16"/>
        <v>208.3206253125</v>
      </c>
      <c r="D324" s="11">
        <f t="shared" si="17"/>
        <v>1.6130198615032063</v>
      </c>
      <c r="E324" s="25">
        <v>205.61999499999999</v>
      </c>
      <c r="F324" s="11">
        <f t="shared" si="18"/>
        <v>208.8460347230064</v>
      </c>
      <c r="G324" s="11">
        <f t="shared" si="19"/>
        <v>202.39395527699358</v>
      </c>
    </row>
    <row r="325" spans="1:7" x14ac:dyDescent="0.25">
      <c r="A325" s="24">
        <v>42321</v>
      </c>
      <c r="B325" s="25">
        <v>202.53999300000001</v>
      </c>
      <c r="C325" s="11">
        <f t="shared" si="16"/>
        <v>208.33812524999999</v>
      </c>
      <c r="D325" s="11">
        <f t="shared" si="17"/>
        <v>1.5797014301299059</v>
      </c>
      <c r="E325" s="25">
        <v>202.53999300000001</v>
      </c>
      <c r="F325" s="11">
        <f t="shared" si="18"/>
        <v>205.69939586025981</v>
      </c>
      <c r="G325" s="11">
        <f t="shared" si="19"/>
        <v>199.38059013974021</v>
      </c>
    </row>
    <row r="326" spans="1:7" x14ac:dyDescent="0.25">
      <c r="A326" s="24">
        <v>42320</v>
      </c>
      <c r="B326" s="25">
        <v>204.83999600000001</v>
      </c>
      <c r="C326" s="11">
        <f t="shared" si="16"/>
        <v>208.0625</v>
      </c>
      <c r="D326" s="11">
        <f t="shared" si="17"/>
        <v>2.1277183118755474</v>
      </c>
      <c r="E326" s="25">
        <v>204.83999600000001</v>
      </c>
      <c r="F326" s="11">
        <f t="shared" si="18"/>
        <v>209.09543262375109</v>
      </c>
      <c r="G326" s="11">
        <f t="shared" si="19"/>
        <v>200.58455937624893</v>
      </c>
    </row>
    <row r="327" spans="1:7" x14ac:dyDescent="0.25">
      <c r="A327" s="24">
        <v>42319</v>
      </c>
      <c r="B327" s="25">
        <v>207.740005</v>
      </c>
      <c r="C327" s="11">
        <f t="shared" si="16"/>
        <v>207.843124375</v>
      </c>
      <c r="D327" s="11">
        <f t="shared" si="17"/>
        <v>2.2721449471491559</v>
      </c>
      <c r="E327" s="25">
        <v>207.740005</v>
      </c>
      <c r="F327" s="11">
        <f t="shared" si="18"/>
        <v>212.28429489429831</v>
      </c>
      <c r="G327" s="11">
        <f t="shared" si="19"/>
        <v>203.19571510570168</v>
      </c>
    </row>
    <row r="328" spans="1:7" x14ac:dyDescent="0.25">
      <c r="A328" s="24">
        <v>42318</v>
      </c>
      <c r="B328" s="25">
        <v>208.55999800000001</v>
      </c>
      <c r="C328" s="11">
        <f t="shared" si="16"/>
        <v>207.72562500000001</v>
      </c>
      <c r="D328" s="11">
        <f t="shared" si="17"/>
        <v>2.2221927106702206</v>
      </c>
      <c r="E328" s="25">
        <v>208.55999800000001</v>
      </c>
      <c r="F328" s="11">
        <f t="shared" si="18"/>
        <v>213.00438342134044</v>
      </c>
      <c r="G328" s="11">
        <f t="shared" si="19"/>
        <v>204.11561257865958</v>
      </c>
    </row>
    <row r="329" spans="1:7" x14ac:dyDescent="0.25">
      <c r="A329" s="24">
        <v>42317</v>
      </c>
      <c r="B329" s="25">
        <v>208.08000200000001</v>
      </c>
      <c r="C329" s="11">
        <f t="shared" si="16"/>
        <v>207.90999981250002</v>
      </c>
      <c r="D329" s="11">
        <f t="shared" si="17"/>
        <v>2.15636290854671</v>
      </c>
      <c r="E329" s="25">
        <v>208.08000200000001</v>
      </c>
      <c r="F329" s="11">
        <f t="shared" si="18"/>
        <v>212.39272781709343</v>
      </c>
      <c r="G329" s="11">
        <f t="shared" si="19"/>
        <v>203.76727618290658</v>
      </c>
    </row>
    <row r="330" spans="1:7" x14ac:dyDescent="0.25">
      <c r="A330" s="24">
        <v>42314</v>
      </c>
      <c r="B330" s="25">
        <v>210.03999300000001</v>
      </c>
      <c r="C330" s="11">
        <f t="shared" si="16"/>
        <v>207.88187500000004</v>
      </c>
      <c r="D330" s="11">
        <f t="shared" si="17"/>
        <v>2.1506644023083341</v>
      </c>
      <c r="E330" s="25">
        <v>210.03999300000001</v>
      </c>
      <c r="F330" s="11">
        <f t="shared" si="18"/>
        <v>214.34132180461668</v>
      </c>
      <c r="G330" s="11">
        <f t="shared" si="19"/>
        <v>205.73866419538334</v>
      </c>
    </row>
    <row r="331" spans="1:7" x14ac:dyDescent="0.25">
      <c r="A331" s="24">
        <v>42313</v>
      </c>
      <c r="B331" s="25">
        <v>210.14999399999999</v>
      </c>
      <c r="C331" s="11">
        <f t="shared" si="16"/>
        <v>207.84187500000002</v>
      </c>
      <c r="D331" s="11">
        <f t="shared" si="17"/>
        <v>2.1005200868728364</v>
      </c>
      <c r="E331" s="25">
        <v>210.14999399999999</v>
      </c>
      <c r="F331" s="11">
        <f t="shared" si="18"/>
        <v>214.35103417374566</v>
      </c>
      <c r="G331" s="11">
        <f t="shared" si="19"/>
        <v>205.94895382625432</v>
      </c>
    </row>
    <row r="332" spans="1:7" x14ac:dyDescent="0.25">
      <c r="A332" s="24">
        <v>42312</v>
      </c>
      <c r="B332" s="25">
        <v>210.36000100000001</v>
      </c>
      <c r="C332" s="11">
        <f t="shared" si="16"/>
        <v>207.93312450000002</v>
      </c>
      <c r="D332" s="11">
        <f t="shared" si="17"/>
        <v>2.1703707809246482</v>
      </c>
      <c r="E332" s="25">
        <v>210.36000100000001</v>
      </c>
      <c r="F332" s="11">
        <f t="shared" si="18"/>
        <v>214.7007425618493</v>
      </c>
      <c r="G332" s="11">
        <f t="shared" si="19"/>
        <v>206.01925943815073</v>
      </c>
    </row>
    <row r="333" spans="1:7" x14ac:dyDescent="0.25">
      <c r="A333" s="24">
        <v>42311</v>
      </c>
      <c r="B333" s="25">
        <v>211</v>
      </c>
      <c r="C333" s="11">
        <f t="shared" si="16"/>
        <v>207.98312468750004</v>
      </c>
      <c r="D333" s="11">
        <f t="shared" si="17"/>
        <v>2.2190185782851759</v>
      </c>
      <c r="E333" s="25">
        <v>211</v>
      </c>
      <c r="F333" s="11">
        <f t="shared" si="18"/>
        <v>215.43803715657035</v>
      </c>
      <c r="G333" s="11">
        <f t="shared" si="19"/>
        <v>206.56196284342965</v>
      </c>
    </row>
    <row r="334" spans="1:7" x14ac:dyDescent="0.25">
      <c r="A334" s="24">
        <v>42310</v>
      </c>
      <c r="B334" s="25">
        <v>210.38999899999999</v>
      </c>
      <c r="C334" s="11">
        <f t="shared" si="16"/>
        <v>208.08812425000002</v>
      </c>
      <c r="D334" s="11">
        <f t="shared" si="17"/>
        <v>2.3237690012178489</v>
      </c>
      <c r="E334" s="25">
        <v>210.38999899999999</v>
      </c>
      <c r="F334" s="11">
        <f t="shared" si="18"/>
        <v>215.0375370024357</v>
      </c>
      <c r="G334" s="11">
        <f t="shared" si="19"/>
        <v>205.74246099756428</v>
      </c>
    </row>
    <row r="335" spans="1:7" x14ac:dyDescent="0.25">
      <c r="A335" s="24">
        <v>42307</v>
      </c>
      <c r="B335" s="25">
        <v>207.929993</v>
      </c>
      <c r="C335" s="11">
        <f t="shared" si="16"/>
        <v>208.15312381250001</v>
      </c>
      <c r="D335" s="11">
        <f t="shared" si="17"/>
        <v>2.375390750859268</v>
      </c>
      <c r="E335" s="25">
        <v>207.929993</v>
      </c>
      <c r="F335" s="11">
        <f t="shared" si="18"/>
        <v>212.68077450171853</v>
      </c>
      <c r="G335" s="11">
        <f t="shared" si="19"/>
        <v>203.17921149828146</v>
      </c>
    </row>
    <row r="336" spans="1:7" x14ac:dyDescent="0.25">
      <c r="A336" s="24">
        <v>42306</v>
      </c>
      <c r="B336" s="25">
        <v>208.83000200000001</v>
      </c>
      <c r="C336" s="11">
        <f t="shared" si="16"/>
        <v>208.08187293749998</v>
      </c>
      <c r="D336" s="11">
        <f t="shared" si="17"/>
        <v>2.3631208725464559</v>
      </c>
      <c r="E336" s="25">
        <v>208.83000200000001</v>
      </c>
      <c r="F336" s="11">
        <f t="shared" si="18"/>
        <v>213.55624374509293</v>
      </c>
      <c r="G336" s="11">
        <f t="shared" si="19"/>
        <v>204.10376025490709</v>
      </c>
    </row>
    <row r="337" spans="1:7" x14ac:dyDescent="0.25">
      <c r="A337" s="24">
        <v>42305</v>
      </c>
      <c r="B337" s="25">
        <v>208.949997</v>
      </c>
      <c r="C337" s="11">
        <f t="shared" si="16"/>
        <v>208.05187318750001</v>
      </c>
      <c r="D337" s="11">
        <f t="shared" si="17"/>
        <v>2.3494979611112154</v>
      </c>
      <c r="E337" s="25">
        <v>208.949997</v>
      </c>
      <c r="F337" s="11">
        <f t="shared" si="18"/>
        <v>213.64899292222242</v>
      </c>
      <c r="G337" s="11">
        <f t="shared" si="19"/>
        <v>204.25100107777757</v>
      </c>
    </row>
    <row r="338" spans="1:7" x14ac:dyDescent="0.25">
      <c r="A338" s="24">
        <v>42304</v>
      </c>
      <c r="B338" s="25">
        <v>206.60000600000001</v>
      </c>
      <c r="C338" s="11">
        <f t="shared" si="16"/>
        <v>208.07687281250003</v>
      </c>
      <c r="D338" s="11">
        <f t="shared" si="17"/>
        <v>2.3572668270896888</v>
      </c>
      <c r="E338" s="25">
        <v>206.60000600000001</v>
      </c>
      <c r="F338" s="11">
        <f t="shared" si="18"/>
        <v>211.31453965417938</v>
      </c>
      <c r="G338" s="11">
        <f t="shared" si="19"/>
        <v>201.88547234582063</v>
      </c>
    </row>
    <row r="339" spans="1:7" x14ac:dyDescent="0.25">
      <c r="A339" s="24">
        <v>42303</v>
      </c>
      <c r="B339" s="25">
        <v>207</v>
      </c>
      <c r="C339" s="11">
        <f t="shared" si="16"/>
        <v>207.94374843750003</v>
      </c>
      <c r="D339" s="11">
        <f t="shared" si="17"/>
        <v>2.3779769484132212</v>
      </c>
      <c r="E339" s="25">
        <v>207</v>
      </c>
      <c r="F339" s="11">
        <f t="shared" si="18"/>
        <v>211.75595389682644</v>
      </c>
      <c r="G339" s="11">
        <f t="shared" si="19"/>
        <v>202.24404610317356</v>
      </c>
    </row>
    <row r="340" spans="1:7" x14ac:dyDescent="0.25">
      <c r="A340" s="24">
        <v>42300</v>
      </c>
      <c r="B340" s="25">
        <v>207.509995</v>
      </c>
      <c r="C340" s="11">
        <f t="shared" ref="C340:C403" si="20">AVERAGE(B324:B339)</f>
        <v>208.03937337500005</v>
      </c>
      <c r="D340" s="11">
        <f t="shared" ref="D340:D403" si="21">_xlfn.STDEV.S(B324:B339)</f>
        <v>2.3013987656461681</v>
      </c>
      <c r="E340" s="25">
        <v>207.509995</v>
      </c>
      <c r="F340" s="11">
        <f t="shared" ref="F340:F403" si="22">B340+2*D340</f>
        <v>212.11279253129234</v>
      </c>
      <c r="G340" s="11">
        <f t="shared" ref="G340:G403" si="23">B340-2*D340</f>
        <v>202.90719746870766</v>
      </c>
    </row>
    <row r="341" spans="1:7" x14ac:dyDescent="0.25">
      <c r="A341" s="24">
        <v>42299</v>
      </c>
      <c r="B341" s="25">
        <v>205.259995</v>
      </c>
      <c r="C341" s="11">
        <f t="shared" si="20"/>
        <v>208.15749837500005</v>
      </c>
      <c r="D341" s="11">
        <f t="shared" si="21"/>
        <v>2.2158540516057692</v>
      </c>
      <c r="E341" s="25">
        <v>205.259995</v>
      </c>
      <c r="F341" s="11">
        <f t="shared" si="22"/>
        <v>209.69170310321155</v>
      </c>
      <c r="G341" s="11">
        <f t="shared" si="23"/>
        <v>200.82828689678846</v>
      </c>
    </row>
    <row r="342" spans="1:7" x14ac:dyDescent="0.25">
      <c r="A342" s="24">
        <v>42298</v>
      </c>
      <c r="B342" s="25">
        <v>201.85000600000001</v>
      </c>
      <c r="C342" s="11">
        <f t="shared" si="20"/>
        <v>208.32749850000002</v>
      </c>
      <c r="D342" s="11">
        <f t="shared" si="21"/>
        <v>1.8262328467868472</v>
      </c>
      <c r="E342" s="25">
        <v>201.85000600000001</v>
      </c>
      <c r="F342" s="11">
        <f t="shared" si="22"/>
        <v>205.50247169357371</v>
      </c>
      <c r="G342" s="11">
        <f t="shared" si="23"/>
        <v>198.1975403064263</v>
      </c>
    </row>
    <row r="343" spans="1:7" x14ac:dyDescent="0.25">
      <c r="A343" s="24">
        <v>42297</v>
      </c>
      <c r="B343" s="25">
        <v>203.11000100000001</v>
      </c>
      <c r="C343" s="11">
        <f t="shared" si="20"/>
        <v>208.14062412500002</v>
      </c>
      <c r="D343" s="11">
        <f t="shared" si="21"/>
        <v>2.298744281091913</v>
      </c>
      <c r="E343" s="25">
        <v>203.11000100000001</v>
      </c>
      <c r="F343" s="11">
        <f t="shared" si="22"/>
        <v>207.70748956218384</v>
      </c>
      <c r="G343" s="11">
        <f t="shared" si="23"/>
        <v>198.51251243781618</v>
      </c>
    </row>
    <row r="344" spans="1:7" x14ac:dyDescent="0.25">
      <c r="A344" s="24">
        <v>42296</v>
      </c>
      <c r="B344" s="25">
        <v>203.36999499999999</v>
      </c>
      <c r="C344" s="11">
        <f t="shared" si="20"/>
        <v>207.85124887500001</v>
      </c>
      <c r="D344" s="11">
        <f t="shared" si="21"/>
        <v>2.6213259218095404</v>
      </c>
      <c r="E344" s="25">
        <v>203.36999499999999</v>
      </c>
      <c r="F344" s="11">
        <f t="shared" si="22"/>
        <v>208.61264684361907</v>
      </c>
      <c r="G344" s="11">
        <f t="shared" si="23"/>
        <v>198.1273431563809</v>
      </c>
    </row>
    <row r="345" spans="1:7" x14ac:dyDescent="0.25">
      <c r="A345" s="24">
        <v>42293</v>
      </c>
      <c r="B345" s="25">
        <v>203.270004</v>
      </c>
      <c r="C345" s="11">
        <f t="shared" si="20"/>
        <v>207.52687368749997</v>
      </c>
      <c r="D345" s="11">
        <f t="shared" si="21"/>
        <v>2.8397892715132147</v>
      </c>
      <c r="E345" s="25">
        <v>203.270004</v>
      </c>
      <c r="F345" s="11">
        <f t="shared" si="22"/>
        <v>208.94958254302642</v>
      </c>
      <c r="G345" s="11">
        <f t="shared" si="23"/>
        <v>197.59042545697358</v>
      </c>
    </row>
    <row r="346" spans="1:7" x14ac:dyDescent="0.25">
      <c r="A346" s="24">
        <v>42292</v>
      </c>
      <c r="B346" s="25">
        <v>202.35000600000001</v>
      </c>
      <c r="C346" s="11">
        <f t="shared" si="20"/>
        <v>207.22624881249999</v>
      </c>
      <c r="D346" s="11">
        <f t="shared" si="21"/>
        <v>3.0258335508064587</v>
      </c>
      <c r="E346" s="25">
        <v>202.35000600000001</v>
      </c>
      <c r="F346" s="11">
        <f t="shared" si="22"/>
        <v>208.40167310161291</v>
      </c>
      <c r="G346" s="11">
        <f t="shared" si="23"/>
        <v>196.2983388983871</v>
      </c>
    </row>
    <row r="347" spans="1:7" x14ac:dyDescent="0.25">
      <c r="A347" s="24">
        <v>42291</v>
      </c>
      <c r="B347" s="25">
        <v>199.28999300000001</v>
      </c>
      <c r="C347" s="11">
        <f t="shared" si="20"/>
        <v>206.745624625</v>
      </c>
      <c r="D347" s="11">
        <f t="shared" si="21"/>
        <v>3.156998828188966</v>
      </c>
      <c r="E347" s="25">
        <v>199.28999300000001</v>
      </c>
      <c r="F347" s="11">
        <f t="shared" si="22"/>
        <v>205.60399065637793</v>
      </c>
      <c r="G347" s="11">
        <f t="shared" si="23"/>
        <v>192.97599534362209</v>
      </c>
    </row>
    <row r="348" spans="1:7" x14ac:dyDescent="0.25">
      <c r="A348" s="24">
        <v>42290</v>
      </c>
      <c r="B348" s="25">
        <v>200.25</v>
      </c>
      <c r="C348" s="11">
        <f t="shared" si="20"/>
        <v>206.06687456249998</v>
      </c>
      <c r="D348" s="11">
        <f t="shared" si="21"/>
        <v>3.5225474659357889</v>
      </c>
      <c r="E348" s="25">
        <v>200.25</v>
      </c>
      <c r="F348" s="11">
        <f t="shared" si="22"/>
        <v>207.29509493187157</v>
      </c>
      <c r="G348" s="11">
        <f t="shared" si="23"/>
        <v>193.20490506812843</v>
      </c>
    </row>
    <row r="349" spans="1:7" x14ac:dyDescent="0.25">
      <c r="A349" s="24">
        <v>42289</v>
      </c>
      <c r="B349" s="25">
        <v>201.520004</v>
      </c>
      <c r="C349" s="11">
        <f t="shared" si="20"/>
        <v>205.4349995</v>
      </c>
      <c r="D349" s="11">
        <f t="shared" si="21"/>
        <v>3.6068633399886174</v>
      </c>
      <c r="E349" s="25">
        <v>201.520004</v>
      </c>
      <c r="F349" s="11">
        <f t="shared" si="22"/>
        <v>208.73373067997724</v>
      </c>
      <c r="G349" s="11">
        <f t="shared" si="23"/>
        <v>194.30627732002276</v>
      </c>
    </row>
    <row r="350" spans="1:7" x14ac:dyDescent="0.25">
      <c r="A350" s="24">
        <v>42286</v>
      </c>
      <c r="B350" s="25">
        <v>201.33000200000001</v>
      </c>
      <c r="C350" s="11">
        <f t="shared" si="20"/>
        <v>204.84249975</v>
      </c>
      <c r="D350" s="11">
        <f t="shared" si="21"/>
        <v>3.4047321112468039</v>
      </c>
      <c r="E350" s="25">
        <v>201.33000200000001</v>
      </c>
      <c r="F350" s="11">
        <f t="shared" si="22"/>
        <v>208.13946622249361</v>
      </c>
      <c r="G350" s="11">
        <f t="shared" si="23"/>
        <v>194.52053777750641</v>
      </c>
    </row>
    <row r="351" spans="1:7" x14ac:dyDescent="0.25">
      <c r="A351" s="24">
        <v>42285</v>
      </c>
      <c r="B351" s="25">
        <v>201.21000699999999</v>
      </c>
      <c r="C351" s="11">
        <f t="shared" si="20"/>
        <v>204.27624993750001</v>
      </c>
      <c r="D351" s="11">
        <f t="shared" si="21"/>
        <v>3.165603493309828</v>
      </c>
      <c r="E351" s="25">
        <v>201.21000699999999</v>
      </c>
      <c r="F351" s="11">
        <f t="shared" si="22"/>
        <v>207.54121398661965</v>
      </c>
      <c r="G351" s="11">
        <f t="shared" si="23"/>
        <v>194.87880001338033</v>
      </c>
    </row>
    <row r="352" spans="1:7" x14ac:dyDescent="0.25">
      <c r="A352" s="24">
        <v>42284</v>
      </c>
      <c r="B352" s="25">
        <v>199.41000399999999</v>
      </c>
      <c r="C352" s="11">
        <f t="shared" si="20"/>
        <v>203.85625081250001</v>
      </c>
      <c r="D352" s="11">
        <f t="shared" si="21"/>
        <v>3.0934910300804215</v>
      </c>
      <c r="E352" s="25">
        <v>199.41000399999999</v>
      </c>
      <c r="F352" s="11">
        <f t="shared" si="22"/>
        <v>205.59698606016082</v>
      </c>
      <c r="G352" s="11">
        <f t="shared" si="23"/>
        <v>193.22302193983916</v>
      </c>
    </row>
    <row r="353" spans="1:7" x14ac:dyDescent="0.25">
      <c r="A353" s="24">
        <v>42283</v>
      </c>
      <c r="B353" s="25">
        <v>197.78999300000001</v>
      </c>
      <c r="C353" s="11">
        <f t="shared" si="20"/>
        <v>203.26750093750002</v>
      </c>
      <c r="D353" s="11">
        <f t="shared" si="21"/>
        <v>2.9780327790375196</v>
      </c>
      <c r="E353" s="25">
        <v>197.78999300000001</v>
      </c>
      <c r="F353" s="11">
        <f t="shared" si="22"/>
        <v>203.74605855807505</v>
      </c>
      <c r="G353" s="11">
        <f t="shared" si="23"/>
        <v>191.83392744192497</v>
      </c>
    </row>
    <row r="354" spans="1:7" x14ac:dyDescent="0.25">
      <c r="A354" s="24">
        <v>42282</v>
      </c>
      <c r="B354" s="25">
        <v>198.470001</v>
      </c>
      <c r="C354" s="11">
        <f t="shared" si="20"/>
        <v>202.5700006875</v>
      </c>
      <c r="D354" s="11">
        <f t="shared" si="21"/>
        <v>2.8630800969163204</v>
      </c>
      <c r="E354" s="25">
        <v>198.470001</v>
      </c>
      <c r="F354" s="11">
        <f t="shared" si="22"/>
        <v>204.19616119383264</v>
      </c>
      <c r="G354" s="11">
        <f t="shared" si="23"/>
        <v>192.74384080616736</v>
      </c>
    </row>
    <row r="355" spans="1:7" x14ac:dyDescent="0.25">
      <c r="A355" s="24">
        <v>42279</v>
      </c>
      <c r="B355" s="25">
        <v>195</v>
      </c>
      <c r="C355" s="11">
        <f t="shared" si="20"/>
        <v>202.06187537500003</v>
      </c>
      <c r="D355" s="11">
        <f t="shared" si="21"/>
        <v>2.8213047561703997</v>
      </c>
      <c r="E355" s="25">
        <v>195</v>
      </c>
      <c r="F355" s="11">
        <f t="shared" si="22"/>
        <v>200.64260951234081</v>
      </c>
      <c r="G355" s="11">
        <f t="shared" si="23"/>
        <v>189.35739048765919</v>
      </c>
    </row>
    <row r="356" spans="1:7" x14ac:dyDescent="0.25">
      <c r="A356" s="24">
        <v>42278</v>
      </c>
      <c r="B356" s="25">
        <v>192.13000500000001</v>
      </c>
      <c r="C356" s="11">
        <f t="shared" si="20"/>
        <v>201.311875375</v>
      </c>
      <c r="D356" s="11">
        <f t="shared" si="21"/>
        <v>3.00977758766154</v>
      </c>
      <c r="E356" s="25">
        <v>192.13000500000001</v>
      </c>
      <c r="F356" s="11">
        <f t="shared" si="22"/>
        <v>198.1495601753231</v>
      </c>
      <c r="G356" s="11">
        <f t="shared" si="23"/>
        <v>186.11044982467692</v>
      </c>
    </row>
    <row r="357" spans="1:7" x14ac:dyDescent="0.25">
      <c r="A357" s="24">
        <v>42277</v>
      </c>
      <c r="B357" s="25">
        <v>191.63000500000001</v>
      </c>
      <c r="C357" s="11">
        <f t="shared" si="20"/>
        <v>200.35062600000001</v>
      </c>
      <c r="D357" s="11">
        <f t="shared" si="21"/>
        <v>3.3365398027530646</v>
      </c>
      <c r="E357" s="25">
        <v>191.63000500000001</v>
      </c>
      <c r="F357" s="11">
        <f t="shared" si="22"/>
        <v>198.30308460550614</v>
      </c>
      <c r="G357" s="11">
        <f t="shared" si="23"/>
        <v>184.95692539449388</v>
      </c>
    </row>
    <row r="358" spans="1:7" x14ac:dyDescent="0.25">
      <c r="A358" s="24">
        <v>42276</v>
      </c>
      <c r="B358" s="25">
        <v>188.11999499999999</v>
      </c>
      <c r="C358" s="11">
        <f t="shared" si="20"/>
        <v>199.49875162499998</v>
      </c>
      <c r="D358" s="11">
        <f t="shared" si="21"/>
        <v>3.7177390554413168</v>
      </c>
      <c r="E358" s="25">
        <v>188.11999499999999</v>
      </c>
      <c r="F358" s="11">
        <f t="shared" si="22"/>
        <v>195.55547311088262</v>
      </c>
      <c r="G358" s="11">
        <f t="shared" si="23"/>
        <v>180.68451688911736</v>
      </c>
    </row>
    <row r="359" spans="1:7" x14ac:dyDescent="0.25">
      <c r="A359" s="24">
        <v>42275</v>
      </c>
      <c r="B359" s="25">
        <v>188.009995</v>
      </c>
      <c r="C359" s="11">
        <f t="shared" si="20"/>
        <v>198.6406259375</v>
      </c>
      <c r="D359" s="11">
        <f t="shared" si="21"/>
        <v>4.6151156383603427</v>
      </c>
      <c r="E359" s="25">
        <v>188.009995</v>
      </c>
      <c r="F359" s="11">
        <f t="shared" si="22"/>
        <v>197.24022627672068</v>
      </c>
      <c r="G359" s="11">
        <f t="shared" si="23"/>
        <v>178.77976372327933</v>
      </c>
    </row>
    <row r="360" spans="1:7" x14ac:dyDescent="0.25">
      <c r="A360" s="24">
        <v>42272</v>
      </c>
      <c r="B360" s="25">
        <v>192.85000600000001</v>
      </c>
      <c r="C360" s="11">
        <f t="shared" si="20"/>
        <v>197.6968755625</v>
      </c>
      <c r="D360" s="11">
        <f t="shared" si="21"/>
        <v>5.1528228489285732</v>
      </c>
      <c r="E360" s="25">
        <v>192.85000600000001</v>
      </c>
      <c r="F360" s="11">
        <f t="shared" si="22"/>
        <v>203.15565169785717</v>
      </c>
      <c r="G360" s="11">
        <f t="shared" si="23"/>
        <v>182.54436030214285</v>
      </c>
    </row>
    <row r="361" spans="1:7" x14ac:dyDescent="0.25">
      <c r="A361" s="24">
        <v>42271</v>
      </c>
      <c r="B361" s="25">
        <v>192.89999399999999</v>
      </c>
      <c r="C361" s="11">
        <f t="shared" si="20"/>
        <v>197.03937624999998</v>
      </c>
      <c r="D361" s="11">
        <f t="shared" si="21"/>
        <v>5.0508396962310265</v>
      </c>
      <c r="E361" s="25">
        <v>192.89999399999999</v>
      </c>
      <c r="F361" s="11">
        <f t="shared" si="22"/>
        <v>203.00167339246204</v>
      </c>
      <c r="G361" s="11">
        <f t="shared" si="23"/>
        <v>182.79831460753795</v>
      </c>
    </row>
    <row r="362" spans="1:7" x14ac:dyDescent="0.25">
      <c r="A362" s="24">
        <v>42270</v>
      </c>
      <c r="B362" s="25">
        <v>193.60000600000001</v>
      </c>
      <c r="C362" s="11">
        <f t="shared" si="20"/>
        <v>196.391250625</v>
      </c>
      <c r="D362" s="11">
        <f t="shared" si="21"/>
        <v>4.8597490922569637</v>
      </c>
      <c r="E362" s="25">
        <v>193.60000600000001</v>
      </c>
      <c r="F362" s="11">
        <f t="shared" si="22"/>
        <v>203.31950418451393</v>
      </c>
      <c r="G362" s="11">
        <f t="shared" si="23"/>
        <v>183.88050781548608</v>
      </c>
    </row>
    <row r="363" spans="1:7" x14ac:dyDescent="0.25">
      <c r="A363" s="24">
        <v>42269</v>
      </c>
      <c r="B363" s="25">
        <v>193.91000399999999</v>
      </c>
      <c r="C363" s="11">
        <f t="shared" si="20"/>
        <v>195.844375625</v>
      </c>
      <c r="D363" s="11">
        <f t="shared" si="21"/>
        <v>4.6314615640053676</v>
      </c>
      <c r="E363" s="25">
        <v>193.91000399999999</v>
      </c>
      <c r="F363" s="11">
        <f t="shared" si="22"/>
        <v>203.17292712801071</v>
      </c>
      <c r="G363" s="11">
        <f t="shared" si="23"/>
        <v>184.64708087198926</v>
      </c>
    </row>
    <row r="364" spans="1:7" x14ac:dyDescent="0.25">
      <c r="A364" s="24">
        <v>42268</v>
      </c>
      <c r="B364" s="25">
        <v>196.46000699999999</v>
      </c>
      <c r="C364" s="11">
        <f t="shared" si="20"/>
        <v>195.50812631249997</v>
      </c>
      <c r="D364" s="11">
        <f t="shared" si="21"/>
        <v>4.5593642844083817</v>
      </c>
      <c r="E364" s="25">
        <v>196.46000699999999</v>
      </c>
      <c r="F364" s="11">
        <f t="shared" si="22"/>
        <v>205.57873556881674</v>
      </c>
      <c r="G364" s="11">
        <f t="shared" si="23"/>
        <v>187.34127843118324</v>
      </c>
    </row>
    <row r="365" spans="1:7" x14ac:dyDescent="0.25">
      <c r="A365" s="24">
        <v>42265</v>
      </c>
      <c r="B365" s="25">
        <v>195.449997</v>
      </c>
      <c r="C365" s="11">
        <f t="shared" si="20"/>
        <v>195.27125175</v>
      </c>
      <c r="D365" s="11">
        <f t="shared" si="21"/>
        <v>4.3919623405364705</v>
      </c>
      <c r="E365" s="25">
        <v>195.449997</v>
      </c>
      <c r="F365" s="11">
        <f t="shared" si="22"/>
        <v>204.23392168107293</v>
      </c>
      <c r="G365" s="11">
        <f t="shared" si="23"/>
        <v>186.66607231892706</v>
      </c>
    </row>
    <row r="366" spans="1:7" x14ac:dyDescent="0.25">
      <c r="A366" s="24">
        <v>42264</v>
      </c>
      <c r="B366" s="25">
        <v>199.729996</v>
      </c>
      <c r="C366" s="11">
        <f t="shared" si="20"/>
        <v>194.89187631250002</v>
      </c>
      <c r="D366" s="11">
        <f t="shared" si="21"/>
        <v>4.0663024287561562</v>
      </c>
      <c r="E366" s="25">
        <v>199.729996</v>
      </c>
      <c r="F366" s="11">
        <f t="shared" si="22"/>
        <v>207.86260085751232</v>
      </c>
      <c r="G366" s="11">
        <f t="shared" si="23"/>
        <v>191.59739114248768</v>
      </c>
    </row>
    <row r="367" spans="1:7" x14ac:dyDescent="0.25">
      <c r="A367" s="24">
        <v>42263</v>
      </c>
      <c r="B367" s="25">
        <v>200.179993</v>
      </c>
      <c r="C367" s="11">
        <f t="shared" si="20"/>
        <v>194.79187593750001</v>
      </c>
      <c r="D367" s="11">
        <f t="shared" si="21"/>
        <v>3.9142489290126372</v>
      </c>
      <c r="E367" s="25">
        <v>200.179993</v>
      </c>
      <c r="F367" s="11">
        <f t="shared" si="22"/>
        <v>208.00849085802528</v>
      </c>
      <c r="G367" s="11">
        <f t="shared" si="23"/>
        <v>192.35149514197471</v>
      </c>
    </row>
    <row r="368" spans="1:7" x14ac:dyDescent="0.25">
      <c r="A368" s="24">
        <v>42262</v>
      </c>
      <c r="B368" s="25">
        <v>198.46000699999999</v>
      </c>
      <c r="C368" s="11">
        <f t="shared" si="20"/>
        <v>194.72750006250004</v>
      </c>
      <c r="D368" s="11">
        <f t="shared" si="21"/>
        <v>3.8087028523756197</v>
      </c>
      <c r="E368" s="25">
        <v>198.46000699999999</v>
      </c>
      <c r="F368" s="11">
        <f t="shared" si="22"/>
        <v>206.07741270475123</v>
      </c>
      <c r="G368" s="11">
        <f t="shared" si="23"/>
        <v>190.84260129524876</v>
      </c>
    </row>
    <row r="369" spans="1:7" x14ac:dyDescent="0.25">
      <c r="A369" s="24">
        <v>42261</v>
      </c>
      <c r="B369" s="25">
        <v>196.009995</v>
      </c>
      <c r="C369" s="11">
        <f t="shared" si="20"/>
        <v>194.66812525000003</v>
      </c>
      <c r="D369" s="11">
        <f t="shared" si="21"/>
        <v>3.7375805033510194</v>
      </c>
      <c r="E369" s="25">
        <v>196.009995</v>
      </c>
      <c r="F369" s="11">
        <f t="shared" si="22"/>
        <v>203.48515600670206</v>
      </c>
      <c r="G369" s="11">
        <f t="shared" si="23"/>
        <v>188.53483399329795</v>
      </c>
    </row>
    <row r="370" spans="1:7" x14ac:dyDescent="0.25">
      <c r="A370" s="24">
        <v>42258</v>
      </c>
      <c r="B370" s="25">
        <v>196.740005</v>
      </c>
      <c r="C370" s="11">
        <f t="shared" si="20"/>
        <v>194.55687537500003</v>
      </c>
      <c r="D370" s="11">
        <f t="shared" si="21"/>
        <v>3.6642339072710186</v>
      </c>
      <c r="E370" s="25">
        <v>196.740005</v>
      </c>
      <c r="F370" s="11">
        <f t="shared" si="22"/>
        <v>204.06847281454202</v>
      </c>
      <c r="G370" s="11">
        <f t="shared" si="23"/>
        <v>189.41153718545797</v>
      </c>
    </row>
    <row r="371" spans="1:7" x14ac:dyDescent="0.25">
      <c r="A371" s="24">
        <v>42257</v>
      </c>
      <c r="B371" s="25">
        <v>195.85000600000001</v>
      </c>
      <c r="C371" s="11">
        <f t="shared" si="20"/>
        <v>194.44875062500003</v>
      </c>
      <c r="D371" s="11">
        <f t="shared" si="21"/>
        <v>3.5652545428102749</v>
      </c>
      <c r="E371" s="25">
        <v>195.85000600000001</v>
      </c>
      <c r="F371" s="11">
        <f t="shared" si="22"/>
        <v>202.98051508562057</v>
      </c>
      <c r="G371" s="11">
        <f t="shared" si="23"/>
        <v>188.71949691437945</v>
      </c>
    </row>
    <row r="372" spans="1:7" x14ac:dyDescent="0.25">
      <c r="A372" s="24">
        <v>42256</v>
      </c>
      <c r="B372" s="25">
        <v>194.78999300000001</v>
      </c>
      <c r="C372" s="11">
        <f t="shared" si="20"/>
        <v>194.50187600000001</v>
      </c>
      <c r="D372" s="11">
        <f t="shared" si="21"/>
        <v>3.5803173340777659</v>
      </c>
      <c r="E372" s="25">
        <v>194.78999300000001</v>
      </c>
      <c r="F372" s="11">
        <f t="shared" si="22"/>
        <v>201.95062766815553</v>
      </c>
      <c r="G372" s="11">
        <f t="shared" si="23"/>
        <v>187.62935833184449</v>
      </c>
    </row>
    <row r="373" spans="1:7" x14ac:dyDescent="0.25">
      <c r="A373" s="24">
        <v>42255</v>
      </c>
      <c r="B373" s="25">
        <v>197.429993</v>
      </c>
      <c r="C373" s="11">
        <f t="shared" si="20"/>
        <v>194.66812525</v>
      </c>
      <c r="D373" s="11">
        <f t="shared" si="21"/>
        <v>3.5241557054657777</v>
      </c>
      <c r="E373" s="25">
        <v>197.429993</v>
      </c>
      <c r="F373" s="11">
        <f t="shared" si="22"/>
        <v>204.47830441093154</v>
      </c>
      <c r="G373" s="11">
        <f t="shared" si="23"/>
        <v>190.38168158906845</v>
      </c>
    </row>
    <row r="374" spans="1:7" x14ac:dyDescent="0.25">
      <c r="A374" s="24">
        <v>42251</v>
      </c>
      <c r="B374" s="25">
        <v>192.58999600000001</v>
      </c>
      <c r="C374" s="11">
        <f t="shared" si="20"/>
        <v>195.03062450000002</v>
      </c>
      <c r="D374" s="11">
        <f t="shared" si="21"/>
        <v>3.4889382249286669</v>
      </c>
      <c r="E374" s="25">
        <v>192.58999600000001</v>
      </c>
      <c r="F374" s="11">
        <f t="shared" si="22"/>
        <v>199.56787244985736</v>
      </c>
      <c r="G374" s="11">
        <f t="shared" si="23"/>
        <v>185.61211955014267</v>
      </c>
    </row>
    <row r="375" spans="1:7" x14ac:dyDescent="0.25">
      <c r="A375" s="24">
        <v>42250</v>
      </c>
      <c r="B375" s="25">
        <v>195.550003</v>
      </c>
      <c r="C375" s="11">
        <f t="shared" si="20"/>
        <v>195.30999956250002</v>
      </c>
      <c r="D375" s="11">
        <f t="shared" si="21"/>
        <v>3.0500427280123765</v>
      </c>
      <c r="E375" s="25">
        <v>195.550003</v>
      </c>
      <c r="F375" s="11">
        <f t="shared" si="22"/>
        <v>201.65008845602475</v>
      </c>
      <c r="G375" s="11">
        <f t="shared" si="23"/>
        <v>189.44991754397526</v>
      </c>
    </row>
    <row r="376" spans="1:7" x14ac:dyDescent="0.25">
      <c r="A376" s="24">
        <v>42249</v>
      </c>
      <c r="B376" s="25">
        <v>195.41000399999999</v>
      </c>
      <c r="C376" s="11">
        <f t="shared" si="20"/>
        <v>195.78125006250002</v>
      </c>
      <c r="D376" s="11">
        <f t="shared" si="21"/>
        <v>2.3488396019879647</v>
      </c>
      <c r="E376" s="25">
        <v>195.41000399999999</v>
      </c>
      <c r="F376" s="11">
        <f t="shared" si="22"/>
        <v>200.10768320397591</v>
      </c>
      <c r="G376" s="11">
        <f t="shared" si="23"/>
        <v>190.71232479602406</v>
      </c>
    </row>
    <row r="377" spans="1:7" x14ac:dyDescent="0.25">
      <c r="A377" s="24">
        <v>42248</v>
      </c>
      <c r="B377" s="25">
        <v>191.770004</v>
      </c>
      <c r="C377" s="11">
        <f t="shared" si="20"/>
        <v>195.9412499375</v>
      </c>
      <c r="D377" s="11">
        <f t="shared" si="21"/>
        <v>2.2194855960031936</v>
      </c>
      <c r="E377" s="25">
        <v>191.770004</v>
      </c>
      <c r="F377" s="11">
        <f t="shared" si="22"/>
        <v>196.20897519200639</v>
      </c>
      <c r="G377" s="11">
        <f t="shared" si="23"/>
        <v>187.33103280799361</v>
      </c>
    </row>
    <row r="378" spans="1:7" x14ac:dyDescent="0.25">
      <c r="A378" s="24">
        <v>42247</v>
      </c>
      <c r="B378" s="25">
        <v>197.66999799999999</v>
      </c>
      <c r="C378" s="11">
        <f t="shared" si="20"/>
        <v>195.87062556250001</v>
      </c>
      <c r="D378" s="11">
        <f t="shared" si="21"/>
        <v>2.3375484995925362</v>
      </c>
      <c r="E378" s="25">
        <v>197.66999799999999</v>
      </c>
      <c r="F378" s="11">
        <f t="shared" si="22"/>
        <v>202.34509499918505</v>
      </c>
      <c r="G378" s="11">
        <f t="shared" si="23"/>
        <v>192.99490100081493</v>
      </c>
    </row>
    <row r="379" spans="1:7" x14ac:dyDescent="0.25">
      <c r="A379" s="24">
        <v>42244</v>
      </c>
      <c r="B379" s="25">
        <v>199.279999</v>
      </c>
      <c r="C379" s="11">
        <f t="shared" si="20"/>
        <v>196.12500006249999</v>
      </c>
      <c r="D379" s="11">
        <f t="shared" si="21"/>
        <v>2.2950485922296981</v>
      </c>
      <c r="E379" s="25">
        <v>199.279999</v>
      </c>
      <c r="F379" s="11">
        <f t="shared" si="22"/>
        <v>203.87009618445941</v>
      </c>
      <c r="G379" s="11">
        <f t="shared" si="23"/>
        <v>194.68990181554059</v>
      </c>
    </row>
    <row r="380" spans="1:7" x14ac:dyDescent="0.25">
      <c r="A380" s="24">
        <v>42243</v>
      </c>
      <c r="B380" s="25">
        <v>199.270004</v>
      </c>
      <c r="C380" s="11">
        <f t="shared" si="20"/>
        <v>196.46062474999999</v>
      </c>
      <c r="D380" s="11">
        <f t="shared" si="21"/>
        <v>2.3417120297682037</v>
      </c>
      <c r="E380" s="25">
        <v>199.270004</v>
      </c>
      <c r="F380" s="11">
        <f t="shared" si="22"/>
        <v>203.95342805953641</v>
      </c>
      <c r="G380" s="11">
        <f t="shared" si="23"/>
        <v>194.58657994046359</v>
      </c>
    </row>
    <row r="381" spans="1:7" x14ac:dyDescent="0.25">
      <c r="A381" s="24">
        <v>42242</v>
      </c>
      <c r="B381" s="25">
        <v>194.46000699999999</v>
      </c>
      <c r="C381" s="11">
        <f t="shared" si="20"/>
        <v>196.63624956249998</v>
      </c>
      <c r="D381" s="11">
        <f t="shared" si="21"/>
        <v>2.4447676733230601</v>
      </c>
      <c r="E381" s="25">
        <v>194.46000699999999</v>
      </c>
      <c r="F381" s="11">
        <f t="shared" si="22"/>
        <v>199.3495423466461</v>
      </c>
      <c r="G381" s="11">
        <f t="shared" si="23"/>
        <v>189.57047165335388</v>
      </c>
    </row>
    <row r="382" spans="1:7" x14ac:dyDescent="0.25">
      <c r="A382" s="24">
        <v>42241</v>
      </c>
      <c r="B382" s="25">
        <v>187.270004</v>
      </c>
      <c r="C382" s="11">
        <f t="shared" si="20"/>
        <v>196.57437518749998</v>
      </c>
      <c r="D382" s="11">
        <f t="shared" si="21"/>
        <v>2.4889210002753437</v>
      </c>
      <c r="E382" s="25">
        <v>187.270004</v>
      </c>
      <c r="F382" s="11">
        <f t="shared" si="22"/>
        <v>192.24784600055068</v>
      </c>
      <c r="G382" s="11">
        <f t="shared" si="23"/>
        <v>182.29216199944932</v>
      </c>
    </row>
    <row r="383" spans="1:7" x14ac:dyDescent="0.25">
      <c r="A383" s="24">
        <v>42240</v>
      </c>
      <c r="B383" s="25">
        <v>189.5</v>
      </c>
      <c r="C383" s="11">
        <f t="shared" si="20"/>
        <v>195.79562568750001</v>
      </c>
      <c r="D383" s="11">
        <f t="shared" si="21"/>
        <v>3.2642618780429498</v>
      </c>
      <c r="E383" s="25">
        <v>189.5</v>
      </c>
      <c r="F383" s="11">
        <f t="shared" si="22"/>
        <v>196.02852375608589</v>
      </c>
      <c r="G383" s="11">
        <f t="shared" si="23"/>
        <v>182.97147624391411</v>
      </c>
    </row>
    <row r="384" spans="1:7" x14ac:dyDescent="0.25">
      <c r="A384" s="24">
        <v>42237</v>
      </c>
      <c r="B384" s="25">
        <v>197.83000200000001</v>
      </c>
      <c r="C384" s="11">
        <f t="shared" si="20"/>
        <v>195.12812612499999</v>
      </c>
      <c r="D384" s="11">
        <f t="shared" si="21"/>
        <v>3.3971990378139023</v>
      </c>
      <c r="E384" s="25">
        <v>197.83000200000001</v>
      </c>
      <c r="F384" s="11">
        <f t="shared" si="22"/>
        <v>204.62440007562782</v>
      </c>
      <c r="G384" s="11">
        <f t="shared" si="23"/>
        <v>191.0356039243722</v>
      </c>
    </row>
    <row r="385" spans="1:7" x14ac:dyDescent="0.25">
      <c r="A385" s="24">
        <v>42236</v>
      </c>
      <c r="B385" s="25">
        <v>203.970001</v>
      </c>
      <c r="C385" s="11">
        <f t="shared" si="20"/>
        <v>195.08875081250002</v>
      </c>
      <c r="D385" s="11">
        <f t="shared" si="21"/>
        <v>3.3594475336759406</v>
      </c>
      <c r="E385" s="25">
        <v>203.970001</v>
      </c>
      <c r="F385" s="11">
        <f t="shared" si="22"/>
        <v>210.68889606735189</v>
      </c>
      <c r="G385" s="11">
        <f t="shared" si="23"/>
        <v>197.2511059326481</v>
      </c>
    </row>
    <row r="386" spans="1:7" x14ac:dyDescent="0.25">
      <c r="A386" s="24">
        <v>42235</v>
      </c>
      <c r="B386" s="25">
        <v>208.320007</v>
      </c>
      <c r="C386" s="11">
        <f t="shared" si="20"/>
        <v>195.58625118750004</v>
      </c>
      <c r="D386" s="11">
        <f t="shared" si="21"/>
        <v>4.0278706040353738</v>
      </c>
      <c r="E386" s="25">
        <v>208.320007</v>
      </c>
      <c r="F386" s="11">
        <f t="shared" si="22"/>
        <v>216.37574820807075</v>
      </c>
      <c r="G386" s="11">
        <f t="shared" si="23"/>
        <v>200.26426579192926</v>
      </c>
    </row>
    <row r="387" spans="1:7" x14ac:dyDescent="0.25">
      <c r="A387" s="24">
        <v>42234</v>
      </c>
      <c r="B387" s="25">
        <v>209.979996</v>
      </c>
      <c r="C387" s="11">
        <f t="shared" si="20"/>
        <v>196.31000131250002</v>
      </c>
      <c r="D387" s="11">
        <f t="shared" si="21"/>
        <v>5.1367466057827142</v>
      </c>
      <c r="E387" s="25">
        <v>209.979996</v>
      </c>
      <c r="F387" s="11">
        <f t="shared" si="22"/>
        <v>220.25348921156544</v>
      </c>
      <c r="G387" s="11">
        <f t="shared" si="23"/>
        <v>199.70650278843456</v>
      </c>
    </row>
    <row r="388" spans="1:7" x14ac:dyDescent="0.25">
      <c r="A388" s="24">
        <v>42233</v>
      </c>
      <c r="B388" s="25">
        <v>210.58999600000001</v>
      </c>
      <c r="C388" s="11">
        <f t="shared" si="20"/>
        <v>197.19312568750001</v>
      </c>
      <c r="D388" s="11">
        <f t="shared" si="21"/>
        <v>6.1642577593821928</v>
      </c>
      <c r="E388" s="25">
        <v>210.58999600000001</v>
      </c>
      <c r="F388" s="11">
        <f t="shared" si="22"/>
        <v>222.9185115187644</v>
      </c>
      <c r="G388" s="11">
        <f t="shared" si="23"/>
        <v>198.26148048123562</v>
      </c>
    </row>
    <row r="389" spans="1:7" x14ac:dyDescent="0.25">
      <c r="A389" s="24">
        <v>42230</v>
      </c>
      <c r="B389" s="25">
        <v>209.41999799999999</v>
      </c>
      <c r="C389" s="11">
        <f t="shared" si="20"/>
        <v>198.180625875</v>
      </c>
      <c r="D389" s="11">
        <f t="shared" si="21"/>
        <v>6.9669203497325656</v>
      </c>
      <c r="E389" s="25">
        <v>209.41999799999999</v>
      </c>
      <c r="F389" s="11">
        <f t="shared" si="22"/>
        <v>223.35383869946511</v>
      </c>
      <c r="G389" s="11">
        <f t="shared" si="23"/>
        <v>195.48615730053487</v>
      </c>
    </row>
    <row r="390" spans="1:7" x14ac:dyDescent="0.25">
      <c r="A390" s="24">
        <v>42229</v>
      </c>
      <c r="B390" s="25">
        <v>208.66000399999999</v>
      </c>
      <c r="C390" s="11">
        <f t="shared" si="20"/>
        <v>198.93000118749998</v>
      </c>
      <c r="D390" s="11">
        <f t="shared" si="21"/>
        <v>7.5048637993424441</v>
      </c>
      <c r="E390" s="25">
        <v>208.66000399999999</v>
      </c>
      <c r="F390" s="11">
        <f t="shared" si="22"/>
        <v>223.66973159868488</v>
      </c>
      <c r="G390" s="11">
        <f t="shared" si="23"/>
        <v>193.6502764013151</v>
      </c>
    </row>
    <row r="391" spans="1:7" x14ac:dyDescent="0.25">
      <c r="A391" s="24">
        <v>42228</v>
      </c>
      <c r="B391" s="25">
        <v>208.91999799999999</v>
      </c>
      <c r="C391" s="11">
        <f t="shared" si="20"/>
        <v>199.93437668749996</v>
      </c>
      <c r="D391" s="11">
        <f t="shared" si="21"/>
        <v>7.6732508379605644</v>
      </c>
      <c r="E391" s="25">
        <v>208.91999799999999</v>
      </c>
      <c r="F391" s="11">
        <f t="shared" si="22"/>
        <v>224.26649967592112</v>
      </c>
      <c r="G391" s="11">
        <f t="shared" si="23"/>
        <v>193.57349632407886</v>
      </c>
    </row>
    <row r="392" spans="1:7" x14ac:dyDescent="0.25">
      <c r="A392" s="24">
        <v>42227</v>
      </c>
      <c r="B392" s="25">
        <v>208.66999799999999</v>
      </c>
      <c r="C392" s="11">
        <f t="shared" si="20"/>
        <v>200.77000137499996</v>
      </c>
      <c r="D392" s="11">
        <f t="shared" si="21"/>
        <v>7.8889291042582705</v>
      </c>
      <c r="E392" s="25">
        <v>208.66999799999999</v>
      </c>
      <c r="F392" s="11">
        <f t="shared" si="22"/>
        <v>224.44785620851653</v>
      </c>
      <c r="G392" s="11">
        <f t="shared" si="23"/>
        <v>192.89213979148346</v>
      </c>
    </row>
    <row r="393" spans="1:7" x14ac:dyDescent="0.25">
      <c r="A393" s="24">
        <v>42226</v>
      </c>
      <c r="B393" s="25">
        <v>210.570007</v>
      </c>
      <c r="C393" s="11">
        <f t="shared" si="20"/>
        <v>201.59875099999996</v>
      </c>
      <c r="D393" s="11">
        <f t="shared" si="21"/>
        <v>7.984231108629892</v>
      </c>
      <c r="E393" s="25">
        <v>210.570007</v>
      </c>
      <c r="F393" s="11">
        <f t="shared" si="22"/>
        <v>226.53846921725977</v>
      </c>
      <c r="G393" s="11">
        <f t="shared" si="23"/>
        <v>194.60154478274023</v>
      </c>
    </row>
    <row r="394" spans="1:7" x14ac:dyDescent="0.25">
      <c r="A394" s="24">
        <v>42223</v>
      </c>
      <c r="B394" s="25">
        <v>207.949997</v>
      </c>
      <c r="C394" s="11">
        <f t="shared" si="20"/>
        <v>202.77375118749995</v>
      </c>
      <c r="D394" s="11">
        <f t="shared" si="21"/>
        <v>7.8230784883263889</v>
      </c>
      <c r="E394" s="25">
        <v>207.949997</v>
      </c>
      <c r="F394" s="11">
        <f t="shared" si="22"/>
        <v>223.59615397665277</v>
      </c>
      <c r="G394" s="11">
        <f t="shared" si="23"/>
        <v>192.30384002334722</v>
      </c>
    </row>
    <row r="395" spans="1:7" x14ac:dyDescent="0.25">
      <c r="A395" s="24">
        <v>42222</v>
      </c>
      <c r="B395" s="25">
        <v>208.35000600000001</v>
      </c>
      <c r="C395" s="11">
        <f t="shared" si="20"/>
        <v>203.41625112499995</v>
      </c>
      <c r="D395" s="11">
        <f t="shared" si="21"/>
        <v>7.798071047446002</v>
      </c>
      <c r="E395" s="25">
        <v>208.35000600000001</v>
      </c>
      <c r="F395" s="11">
        <f t="shared" si="22"/>
        <v>223.94614809489201</v>
      </c>
      <c r="G395" s="11">
        <f t="shared" si="23"/>
        <v>192.75386390510801</v>
      </c>
    </row>
    <row r="396" spans="1:7" x14ac:dyDescent="0.25">
      <c r="A396" s="24">
        <v>42221</v>
      </c>
      <c r="B396" s="25">
        <v>210.070007</v>
      </c>
      <c r="C396" s="11">
        <f t="shared" si="20"/>
        <v>203.98312656249999</v>
      </c>
      <c r="D396" s="11">
        <f t="shared" si="21"/>
        <v>7.8070074175021329</v>
      </c>
      <c r="E396" s="25">
        <v>210.070007</v>
      </c>
      <c r="F396" s="11">
        <f t="shared" si="22"/>
        <v>225.68402183500427</v>
      </c>
      <c r="G396" s="11">
        <f t="shared" si="23"/>
        <v>194.45599216499573</v>
      </c>
    </row>
    <row r="397" spans="1:7" x14ac:dyDescent="0.25">
      <c r="A397" s="24">
        <v>42220</v>
      </c>
      <c r="B397" s="25">
        <v>209.38000500000001</v>
      </c>
      <c r="C397" s="11">
        <f t="shared" si="20"/>
        <v>204.65812674999998</v>
      </c>
      <c r="D397" s="11">
        <f t="shared" si="21"/>
        <v>7.8391626141881297</v>
      </c>
      <c r="E397" s="25">
        <v>209.38000500000001</v>
      </c>
      <c r="F397" s="11">
        <f t="shared" si="22"/>
        <v>225.05833022837626</v>
      </c>
      <c r="G397" s="11">
        <f t="shared" si="23"/>
        <v>193.70167977162376</v>
      </c>
    </row>
    <row r="398" spans="1:7" x14ac:dyDescent="0.25">
      <c r="A398" s="24">
        <v>42219</v>
      </c>
      <c r="B398" s="25">
        <v>209.78999300000001</v>
      </c>
      <c r="C398" s="11">
        <f t="shared" si="20"/>
        <v>205.590626625</v>
      </c>
      <c r="D398" s="11">
        <f t="shared" si="21"/>
        <v>7.4214493143309763</v>
      </c>
      <c r="E398" s="25">
        <v>209.78999300000001</v>
      </c>
      <c r="F398" s="11">
        <f t="shared" si="22"/>
        <v>224.63289162866195</v>
      </c>
      <c r="G398" s="11">
        <f t="shared" si="23"/>
        <v>194.94709437133807</v>
      </c>
    </row>
    <row r="399" spans="1:7" x14ac:dyDescent="0.25">
      <c r="A399" s="24">
        <v>42216</v>
      </c>
      <c r="B399" s="25">
        <v>210.5</v>
      </c>
      <c r="C399" s="11">
        <f t="shared" si="20"/>
        <v>206.99812593749999</v>
      </c>
      <c r="D399" s="11">
        <f t="shared" si="21"/>
        <v>5.6359633570287819</v>
      </c>
      <c r="E399" s="25">
        <v>210.5</v>
      </c>
      <c r="F399" s="11">
        <f t="shared" si="22"/>
        <v>221.77192671405757</v>
      </c>
      <c r="G399" s="11">
        <f t="shared" si="23"/>
        <v>199.22807328594243</v>
      </c>
    </row>
    <row r="400" spans="1:7" x14ac:dyDescent="0.25">
      <c r="A400" s="24">
        <v>42215</v>
      </c>
      <c r="B400" s="25">
        <v>210.820007</v>
      </c>
      <c r="C400" s="11">
        <f t="shared" si="20"/>
        <v>208.31062593750002</v>
      </c>
      <c r="D400" s="11">
        <f t="shared" si="21"/>
        <v>3.214316464937939</v>
      </c>
      <c r="E400" s="25">
        <v>210.820007</v>
      </c>
      <c r="F400" s="11">
        <f t="shared" si="22"/>
        <v>217.24863992987588</v>
      </c>
      <c r="G400" s="11">
        <f t="shared" si="23"/>
        <v>204.39137407012413</v>
      </c>
    </row>
    <row r="401" spans="1:7" x14ac:dyDescent="0.25">
      <c r="A401" s="24">
        <v>42214</v>
      </c>
      <c r="B401" s="25">
        <v>210.770004</v>
      </c>
      <c r="C401" s="11">
        <f t="shared" si="20"/>
        <v>209.12250125</v>
      </c>
      <c r="D401" s="11">
        <f t="shared" si="21"/>
        <v>1.6509533787148796</v>
      </c>
      <c r="E401" s="25">
        <v>210.770004</v>
      </c>
      <c r="F401" s="11">
        <f t="shared" si="22"/>
        <v>214.07191075742975</v>
      </c>
      <c r="G401" s="11">
        <f t="shared" si="23"/>
        <v>207.46809724257025</v>
      </c>
    </row>
    <row r="402" spans="1:7" x14ac:dyDescent="0.25">
      <c r="A402" s="24">
        <v>42213</v>
      </c>
      <c r="B402" s="25">
        <v>209.33000200000001</v>
      </c>
      <c r="C402" s="11">
        <f t="shared" si="20"/>
        <v>209.54750143749996</v>
      </c>
      <c r="D402" s="11">
        <f t="shared" si="21"/>
        <v>0.97162097601063968</v>
      </c>
      <c r="E402" s="25">
        <v>209.33000200000001</v>
      </c>
      <c r="F402" s="11">
        <f t="shared" si="22"/>
        <v>211.27324395202129</v>
      </c>
      <c r="G402" s="11">
        <f t="shared" si="23"/>
        <v>207.38676004797873</v>
      </c>
    </row>
    <row r="403" spans="1:7" x14ac:dyDescent="0.25">
      <c r="A403" s="24">
        <v>42212</v>
      </c>
      <c r="B403" s="25">
        <v>206.78999300000001</v>
      </c>
      <c r="C403" s="11">
        <f t="shared" si="20"/>
        <v>209.61062612499998</v>
      </c>
      <c r="D403" s="11">
        <f t="shared" si="21"/>
        <v>0.9178786269736624</v>
      </c>
      <c r="E403" s="25">
        <v>206.78999300000001</v>
      </c>
      <c r="F403" s="11">
        <f t="shared" si="22"/>
        <v>208.62575025394733</v>
      </c>
      <c r="G403" s="11">
        <f t="shared" si="23"/>
        <v>204.95423574605269</v>
      </c>
    </row>
    <row r="404" spans="1:7" x14ac:dyDescent="0.25">
      <c r="A404" s="24">
        <v>42209</v>
      </c>
      <c r="B404" s="25">
        <v>208</v>
      </c>
      <c r="C404" s="11">
        <f t="shared" ref="C404:C467" si="24">AVERAGE(B388:B403)</f>
        <v>209.4112509375</v>
      </c>
      <c r="D404" s="11">
        <f t="shared" ref="D404:D467" si="25">_xlfn.STDEV.S(B388:B403)</f>
        <v>1.1495230107270575</v>
      </c>
      <c r="E404" s="25">
        <v>208</v>
      </c>
      <c r="F404" s="11">
        <f t="shared" ref="F404:F467" si="26">B404+2*D404</f>
        <v>210.2990460214541</v>
      </c>
      <c r="G404" s="11">
        <f t="shared" ref="G404:G467" si="27">B404-2*D404</f>
        <v>205.7009539785459</v>
      </c>
    </row>
    <row r="405" spans="1:7" x14ac:dyDescent="0.25">
      <c r="A405" s="24">
        <v>42208</v>
      </c>
      <c r="B405" s="25">
        <v>210.179993</v>
      </c>
      <c r="C405" s="11">
        <f t="shared" si="24"/>
        <v>209.24937618749999</v>
      </c>
      <c r="D405" s="11">
        <f t="shared" si="25"/>
        <v>1.1548154719576185</v>
      </c>
      <c r="E405" s="25">
        <v>210.179993</v>
      </c>
      <c r="F405" s="11">
        <f t="shared" si="26"/>
        <v>212.48962394391523</v>
      </c>
      <c r="G405" s="11">
        <f t="shared" si="27"/>
        <v>207.87036205608476</v>
      </c>
    </row>
    <row r="406" spans="1:7" x14ac:dyDescent="0.25">
      <c r="A406" s="24">
        <v>42207</v>
      </c>
      <c r="B406" s="25">
        <v>211.36999499999999</v>
      </c>
      <c r="C406" s="11">
        <f t="shared" si="24"/>
        <v>209.29687587500001</v>
      </c>
      <c r="D406" s="11">
        <f t="shared" si="25"/>
        <v>1.1777044886245378</v>
      </c>
      <c r="E406" s="25">
        <v>211.36999499999999</v>
      </c>
      <c r="F406" s="11">
        <f t="shared" si="26"/>
        <v>213.72540397724907</v>
      </c>
      <c r="G406" s="11">
        <f t="shared" si="27"/>
        <v>209.0145860227509</v>
      </c>
    </row>
    <row r="407" spans="1:7" x14ac:dyDescent="0.25">
      <c r="A407" s="24">
        <v>42206</v>
      </c>
      <c r="B407" s="25">
        <v>211.75</v>
      </c>
      <c r="C407" s="11">
        <f t="shared" si="24"/>
        <v>209.46625031249999</v>
      </c>
      <c r="D407" s="11">
        <f t="shared" si="25"/>
        <v>1.2711682778167852</v>
      </c>
      <c r="E407" s="25">
        <v>211.75</v>
      </c>
      <c r="F407" s="11">
        <f t="shared" si="26"/>
        <v>214.29233655563357</v>
      </c>
      <c r="G407" s="11">
        <f t="shared" si="27"/>
        <v>209.20766344436643</v>
      </c>
    </row>
    <row r="408" spans="1:7" x14ac:dyDescent="0.25">
      <c r="A408" s="24">
        <v>42205</v>
      </c>
      <c r="B408" s="25">
        <v>212.58999600000001</v>
      </c>
      <c r="C408" s="11">
        <f t="shared" si="24"/>
        <v>209.64312543750003</v>
      </c>
      <c r="D408" s="11">
        <f t="shared" si="25"/>
        <v>1.382138342006324</v>
      </c>
      <c r="E408" s="25">
        <v>212.58999600000001</v>
      </c>
      <c r="F408" s="11">
        <f t="shared" si="26"/>
        <v>215.35427268401267</v>
      </c>
      <c r="G408" s="11">
        <f t="shared" si="27"/>
        <v>209.82571931598736</v>
      </c>
    </row>
    <row r="409" spans="1:7" x14ac:dyDescent="0.25">
      <c r="A409" s="24">
        <v>42202</v>
      </c>
      <c r="B409" s="25">
        <v>212.479996</v>
      </c>
      <c r="C409" s="11">
        <f t="shared" si="24"/>
        <v>209.88812531250002</v>
      </c>
      <c r="D409" s="11">
        <f t="shared" si="25"/>
        <v>1.5369074148903352</v>
      </c>
      <c r="E409" s="25">
        <v>212.479996</v>
      </c>
      <c r="F409" s="11">
        <f t="shared" si="26"/>
        <v>215.55381082978067</v>
      </c>
      <c r="G409" s="11">
        <f t="shared" si="27"/>
        <v>209.40618117021933</v>
      </c>
    </row>
    <row r="410" spans="1:7" x14ac:dyDescent="0.25">
      <c r="A410" s="24">
        <v>42201</v>
      </c>
      <c r="B410" s="25">
        <v>212.300003</v>
      </c>
      <c r="C410" s="11">
        <f t="shared" si="24"/>
        <v>210.00749962500001</v>
      </c>
      <c r="D410" s="11">
        <f t="shared" si="25"/>
        <v>1.6624498675226209</v>
      </c>
      <c r="E410" s="25">
        <v>212.300003</v>
      </c>
      <c r="F410" s="11">
        <f t="shared" si="26"/>
        <v>215.62490273504525</v>
      </c>
      <c r="G410" s="11">
        <f t="shared" si="27"/>
        <v>208.97510326495475</v>
      </c>
    </row>
    <row r="411" spans="1:7" x14ac:dyDescent="0.25">
      <c r="A411" s="24">
        <v>42200</v>
      </c>
      <c r="B411" s="25">
        <v>210.61000100000001</v>
      </c>
      <c r="C411" s="11">
        <f t="shared" si="24"/>
        <v>210.27937500000002</v>
      </c>
      <c r="D411" s="11">
        <f t="shared" si="25"/>
        <v>1.6592305162412266</v>
      </c>
      <c r="E411" s="25">
        <v>210.61000100000001</v>
      </c>
      <c r="F411" s="11">
        <f t="shared" si="26"/>
        <v>213.92846203248246</v>
      </c>
      <c r="G411" s="11">
        <f t="shared" si="27"/>
        <v>207.29153996751756</v>
      </c>
    </row>
    <row r="412" spans="1:7" x14ac:dyDescent="0.25">
      <c r="A412" s="24">
        <v>42199</v>
      </c>
      <c r="B412" s="25">
        <v>210.679993</v>
      </c>
      <c r="C412" s="11">
        <f t="shared" si="24"/>
        <v>210.42062468750001</v>
      </c>
      <c r="D412" s="11">
        <f t="shared" si="25"/>
        <v>1.5782546016957122</v>
      </c>
      <c r="E412" s="25">
        <v>210.679993</v>
      </c>
      <c r="F412" s="11">
        <f t="shared" si="26"/>
        <v>213.83650220339143</v>
      </c>
      <c r="G412" s="11">
        <f t="shared" si="27"/>
        <v>207.52348379660856</v>
      </c>
    </row>
    <row r="413" spans="1:7" x14ac:dyDescent="0.25">
      <c r="A413" s="24">
        <v>42198</v>
      </c>
      <c r="B413" s="25">
        <v>209.770004</v>
      </c>
      <c r="C413" s="11">
        <f t="shared" si="24"/>
        <v>210.4587488125</v>
      </c>
      <c r="D413" s="11">
        <f t="shared" si="25"/>
        <v>1.5765869844452893</v>
      </c>
      <c r="E413" s="25">
        <v>209.770004</v>
      </c>
      <c r="F413" s="11">
        <f t="shared" si="26"/>
        <v>212.92317796889057</v>
      </c>
      <c r="G413" s="11">
        <f t="shared" si="27"/>
        <v>206.61683003110943</v>
      </c>
    </row>
    <row r="414" spans="1:7" x14ac:dyDescent="0.25">
      <c r="A414" s="24">
        <v>42195</v>
      </c>
      <c r="B414" s="25">
        <v>207.479996</v>
      </c>
      <c r="C414" s="11">
        <f t="shared" si="24"/>
        <v>210.48312375000003</v>
      </c>
      <c r="D414" s="11">
        <f t="shared" si="25"/>
        <v>1.5617420357904388</v>
      </c>
      <c r="E414" s="25">
        <v>207.479996</v>
      </c>
      <c r="F414" s="11">
        <f t="shared" si="26"/>
        <v>210.60348007158089</v>
      </c>
      <c r="G414" s="11">
        <f t="shared" si="27"/>
        <v>204.35651192841911</v>
      </c>
    </row>
    <row r="415" spans="1:7" x14ac:dyDescent="0.25">
      <c r="A415" s="24">
        <v>42194</v>
      </c>
      <c r="B415" s="25">
        <v>204.89999399999999</v>
      </c>
      <c r="C415" s="11">
        <f t="shared" si="24"/>
        <v>210.33874893750001</v>
      </c>
      <c r="D415" s="11">
        <f t="shared" si="25"/>
        <v>1.7280126052356009</v>
      </c>
      <c r="E415" s="25">
        <v>204.89999399999999</v>
      </c>
      <c r="F415" s="11">
        <f t="shared" si="26"/>
        <v>208.3560192104712</v>
      </c>
      <c r="G415" s="11">
        <f t="shared" si="27"/>
        <v>201.44396878952878</v>
      </c>
    </row>
    <row r="416" spans="1:7" x14ac:dyDescent="0.25">
      <c r="A416" s="24">
        <v>42193</v>
      </c>
      <c r="B416" s="25">
        <v>204.529999</v>
      </c>
      <c r="C416" s="11">
        <f t="shared" si="24"/>
        <v>209.98874856249998</v>
      </c>
      <c r="D416" s="11">
        <f t="shared" si="25"/>
        <v>2.1967318547153636</v>
      </c>
      <c r="E416" s="25">
        <v>204.529999</v>
      </c>
      <c r="F416" s="11">
        <f t="shared" si="26"/>
        <v>208.92346270943074</v>
      </c>
      <c r="G416" s="11">
        <f t="shared" si="27"/>
        <v>200.13653529056927</v>
      </c>
    </row>
    <row r="417" spans="1:7" x14ac:dyDescent="0.25">
      <c r="A417" s="24">
        <v>42192</v>
      </c>
      <c r="B417" s="25">
        <v>208.020004</v>
      </c>
      <c r="C417" s="11">
        <f t="shared" si="24"/>
        <v>209.59562306249998</v>
      </c>
      <c r="D417" s="11">
        <f t="shared" si="25"/>
        <v>2.5692885692216176</v>
      </c>
      <c r="E417" s="25">
        <v>208.020004</v>
      </c>
      <c r="F417" s="11">
        <f t="shared" si="26"/>
        <v>213.15858113844322</v>
      </c>
      <c r="G417" s="11">
        <f t="shared" si="27"/>
        <v>202.88142686155678</v>
      </c>
    </row>
    <row r="418" spans="1:7" x14ac:dyDescent="0.25">
      <c r="A418" s="24">
        <v>42191</v>
      </c>
      <c r="B418" s="25">
        <v>206.720001</v>
      </c>
      <c r="C418" s="11">
        <f t="shared" si="24"/>
        <v>209.42374806249998</v>
      </c>
      <c r="D418" s="11">
        <f t="shared" si="25"/>
        <v>2.577458759744347</v>
      </c>
      <c r="E418" s="25">
        <v>206.720001</v>
      </c>
      <c r="F418" s="11">
        <f t="shared" si="26"/>
        <v>211.87491851948869</v>
      </c>
      <c r="G418" s="11">
        <f t="shared" si="27"/>
        <v>201.5650834805113</v>
      </c>
    </row>
    <row r="419" spans="1:7" x14ac:dyDescent="0.25">
      <c r="A419" s="24">
        <v>42187</v>
      </c>
      <c r="B419" s="25">
        <v>207.30999800000001</v>
      </c>
      <c r="C419" s="11">
        <f t="shared" si="24"/>
        <v>209.26062300000001</v>
      </c>
      <c r="D419" s="11">
        <f t="shared" si="25"/>
        <v>2.6648965977467882</v>
      </c>
      <c r="E419" s="25">
        <v>207.30999800000001</v>
      </c>
      <c r="F419" s="11">
        <f t="shared" si="26"/>
        <v>212.63979119549359</v>
      </c>
      <c r="G419" s="11">
        <f t="shared" si="27"/>
        <v>201.98020480450643</v>
      </c>
    </row>
    <row r="420" spans="1:7" x14ac:dyDescent="0.25">
      <c r="A420" s="24">
        <v>42186</v>
      </c>
      <c r="B420" s="25">
        <v>207.5</v>
      </c>
      <c r="C420" s="11">
        <f t="shared" si="24"/>
        <v>209.2931233125</v>
      </c>
      <c r="D420" s="11">
        <f t="shared" si="25"/>
        <v>2.6357684915910138</v>
      </c>
      <c r="E420" s="25">
        <v>207.5</v>
      </c>
      <c r="F420" s="11">
        <f t="shared" si="26"/>
        <v>212.77153698318202</v>
      </c>
      <c r="G420" s="11">
        <f t="shared" si="27"/>
        <v>202.22846301681798</v>
      </c>
    </row>
    <row r="421" spans="1:7" x14ac:dyDescent="0.25">
      <c r="A421" s="24">
        <v>42185</v>
      </c>
      <c r="B421" s="25">
        <v>205.85000600000001</v>
      </c>
      <c r="C421" s="11">
        <f t="shared" si="24"/>
        <v>209.2618733125</v>
      </c>
      <c r="D421" s="11">
        <f t="shared" si="25"/>
        <v>2.6550157743594109</v>
      </c>
      <c r="E421" s="25">
        <v>205.85000600000001</v>
      </c>
      <c r="F421" s="11">
        <f t="shared" si="26"/>
        <v>211.16003754871883</v>
      </c>
      <c r="G421" s="11">
        <f t="shared" si="27"/>
        <v>200.53997445128118</v>
      </c>
    </row>
    <row r="422" spans="1:7" x14ac:dyDescent="0.25">
      <c r="A422" s="24">
        <v>42184</v>
      </c>
      <c r="B422" s="25">
        <v>205.41999799999999</v>
      </c>
      <c r="C422" s="11">
        <f t="shared" si="24"/>
        <v>208.99124912500002</v>
      </c>
      <c r="D422" s="11">
        <f t="shared" si="25"/>
        <v>2.7732379031886154</v>
      </c>
      <c r="E422" s="25">
        <v>205.41999799999999</v>
      </c>
      <c r="F422" s="11">
        <f t="shared" si="26"/>
        <v>210.96647380637722</v>
      </c>
      <c r="G422" s="11">
        <f t="shared" si="27"/>
        <v>199.87352219362276</v>
      </c>
    </row>
    <row r="423" spans="1:7" x14ac:dyDescent="0.25">
      <c r="A423" s="24">
        <v>42181</v>
      </c>
      <c r="B423" s="25">
        <v>209.820007</v>
      </c>
      <c r="C423" s="11">
        <f t="shared" si="24"/>
        <v>208.61937431250001</v>
      </c>
      <c r="D423" s="11">
        <f t="shared" si="25"/>
        <v>2.8313186051315813</v>
      </c>
      <c r="E423" s="25">
        <v>209.820007</v>
      </c>
      <c r="F423" s="11">
        <f t="shared" si="26"/>
        <v>215.48264421026317</v>
      </c>
      <c r="G423" s="11">
        <f t="shared" si="27"/>
        <v>204.15736978973683</v>
      </c>
    </row>
    <row r="424" spans="1:7" x14ac:dyDescent="0.25">
      <c r="A424" s="24">
        <v>42180</v>
      </c>
      <c r="B424" s="25">
        <v>209.86000100000001</v>
      </c>
      <c r="C424" s="11">
        <f t="shared" si="24"/>
        <v>208.49874975000003</v>
      </c>
      <c r="D424" s="11">
        <f t="shared" si="25"/>
        <v>2.7282885080854777</v>
      </c>
      <c r="E424" s="25">
        <v>209.86000100000001</v>
      </c>
      <c r="F424" s="11">
        <f t="shared" si="26"/>
        <v>215.31657801617098</v>
      </c>
      <c r="G424" s="11">
        <f t="shared" si="27"/>
        <v>204.40342398382904</v>
      </c>
    </row>
    <row r="425" spans="1:7" x14ac:dyDescent="0.25">
      <c r="A425" s="24">
        <v>42179</v>
      </c>
      <c r="B425" s="25">
        <v>210.5</v>
      </c>
      <c r="C425" s="11">
        <f t="shared" si="24"/>
        <v>208.32812506249999</v>
      </c>
      <c r="D425" s="11">
        <f t="shared" si="25"/>
        <v>2.5338018508952782</v>
      </c>
      <c r="E425" s="25">
        <v>210.5</v>
      </c>
      <c r="F425" s="11">
        <f t="shared" si="26"/>
        <v>215.56760370179055</v>
      </c>
      <c r="G425" s="11">
        <f t="shared" si="27"/>
        <v>205.43239629820945</v>
      </c>
    </row>
    <row r="426" spans="1:7" x14ac:dyDescent="0.25">
      <c r="A426" s="24">
        <v>42178</v>
      </c>
      <c r="B426" s="25">
        <v>212.03999300000001</v>
      </c>
      <c r="C426" s="11">
        <f t="shared" si="24"/>
        <v>208.20437531249999</v>
      </c>
      <c r="D426" s="11">
        <f t="shared" si="25"/>
        <v>2.3598907001029743</v>
      </c>
      <c r="E426" s="25">
        <v>212.03999300000001</v>
      </c>
      <c r="F426" s="11">
        <f t="shared" si="26"/>
        <v>216.75977440020597</v>
      </c>
      <c r="G426" s="11">
        <f t="shared" si="27"/>
        <v>207.32021159979405</v>
      </c>
    </row>
    <row r="427" spans="1:7" x14ac:dyDescent="0.25">
      <c r="A427" s="24">
        <v>42177</v>
      </c>
      <c r="B427" s="25">
        <v>211.88999899999999</v>
      </c>
      <c r="C427" s="11">
        <f t="shared" si="24"/>
        <v>208.18812468749996</v>
      </c>
      <c r="D427" s="11">
        <f t="shared" si="25"/>
        <v>2.330519731898554</v>
      </c>
      <c r="E427" s="25">
        <v>211.88999899999999</v>
      </c>
      <c r="F427" s="11">
        <f t="shared" si="26"/>
        <v>216.55103846379708</v>
      </c>
      <c r="G427" s="11">
        <f t="shared" si="27"/>
        <v>207.22895953620289</v>
      </c>
    </row>
    <row r="428" spans="1:7" x14ac:dyDescent="0.25">
      <c r="A428" s="24">
        <v>42174</v>
      </c>
      <c r="B428" s="25">
        <v>210.80999800000001</v>
      </c>
      <c r="C428" s="11">
        <f t="shared" si="24"/>
        <v>208.26812456249996</v>
      </c>
      <c r="D428" s="11">
        <f t="shared" si="25"/>
        <v>2.4386584041780841</v>
      </c>
      <c r="E428" s="25">
        <v>210.80999800000001</v>
      </c>
      <c r="F428" s="11">
        <f t="shared" si="26"/>
        <v>215.68731480835618</v>
      </c>
      <c r="G428" s="11">
        <f t="shared" si="27"/>
        <v>205.93268119164384</v>
      </c>
    </row>
    <row r="429" spans="1:7" x14ac:dyDescent="0.25">
      <c r="A429" s="24">
        <v>42173</v>
      </c>
      <c r="B429" s="25">
        <v>212.779999</v>
      </c>
      <c r="C429" s="11">
        <f t="shared" si="24"/>
        <v>208.27624987499996</v>
      </c>
      <c r="D429" s="11">
        <f t="shared" si="25"/>
        <v>2.4474309941274321</v>
      </c>
      <c r="E429" s="25">
        <v>212.779999</v>
      </c>
      <c r="F429" s="11">
        <f t="shared" si="26"/>
        <v>217.67486098825486</v>
      </c>
      <c r="G429" s="11">
        <f t="shared" si="27"/>
        <v>207.88513701174514</v>
      </c>
    </row>
    <row r="430" spans="1:7" x14ac:dyDescent="0.25">
      <c r="A430" s="24">
        <v>42172</v>
      </c>
      <c r="B430" s="25">
        <v>210.58999600000001</v>
      </c>
      <c r="C430" s="11">
        <f t="shared" si="24"/>
        <v>208.46437456249998</v>
      </c>
      <c r="D430" s="11">
        <f t="shared" si="25"/>
        <v>2.6750075076712845</v>
      </c>
      <c r="E430" s="25">
        <v>210.58999600000001</v>
      </c>
      <c r="F430" s="11">
        <f t="shared" si="26"/>
        <v>215.94001101534258</v>
      </c>
      <c r="G430" s="11">
        <f t="shared" si="27"/>
        <v>205.23998098465745</v>
      </c>
    </row>
    <row r="431" spans="1:7" x14ac:dyDescent="0.25">
      <c r="A431" s="24">
        <v>42171</v>
      </c>
      <c r="B431" s="25">
        <v>210.25</v>
      </c>
      <c r="C431" s="11">
        <f t="shared" si="24"/>
        <v>208.65874956250002</v>
      </c>
      <c r="D431" s="11">
        <f t="shared" si="25"/>
        <v>2.7114539344874995</v>
      </c>
      <c r="E431" s="25">
        <v>210.25</v>
      </c>
      <c r="F431" s="11">
        <f t="shared" si="26"/>
        <v>215.67290786897499</v>
      </c>
      <c r="G431" s="11">
        <f t="shared" si="27"/>
        <v>204.82709213102501</v>
      </c>
    </row>
    <row r="432" spans="1:7" x14ac:dyDescent="0.25">
      <c r="A432" s="24">
        <v>42170</v>
      </c>
      <c r="B432" s="25">
        <v>209.11000100000001</v>
      </c>
      <c r="C432" s="11">
        <f t="shared" si="24"/>
        <v>208.9931249375</v>
      </c>
      <c r="D432" s="11">
        <f t="shared" si="25"/>
        <v>2.5415829830564651</v>
      </c>
      <c r="E432" s="25">
        <v>209.11000100000001</v>
      </c>
      <c r="F432" s="11">
        <f t="shared" si="26"/>
        <v>214.19316696611295</v>
      </c>
      <c r="G432" s="11">
        <f t="shared" si="27"/>
        <v>204.02683503388707</v>
      </c>
    </row>
    <row r="433" spans="1:7" x14ac:dyDescent="0.25">
      <c r="A433" s="24">
        <v>42167</v>
      </c>
      <c r="B433" s="25">
        <v>210.009995</v>
      </c>
      <c r="C433" s="11">
        <f t="shared" si="24"/>
        <v>209.27937506250001</v>
      </c>
      <c r="D433" s="11">
        <f t="shared" si="25"/>
        <v>2.246149321712354</v>
      </c>
      <c r="E433" s="25">
        <v>210.009995</v>
      </c>
      <c r="F433" s="11">
        <f t="shared" si="26"/>
        <v>214.50229364342471</v>
      </c>
      <c r="G433" s="11">
        <f t="shared" si="27"/>
        <v>205.5176963565753</v>
      </c>
    </row>
    <row r="434" spans="1:7" x14ac:dyDescent="0.25">
      <c r="A434" s="24">
        <v>42166</v>
      </c>
      <c r="B434" s="25">
        <v>211.63000500000001</v>
      </c>
      <c r="C434" s="11">
        <f t="shared" si="24"/>
        <v>209.4037495</v>
      </c>
      <c r="D434" s="11">
        <f t="shared" si="25"/>
        <v>2.2267777563134898</v>
      </c>
      <c r="E434" s="25">
        <v>211.63000500000001</v>
      </c>
      <c r="F434" s="11">
        <f t="shared" si="26"/>
        <v>216.083560512627</v>
      </c>
      <c r="G434" s="11">
        <f t="shared" si="27"/>
        <v>207.17644948737302</v>
      </c>
    </row>
    <row r="435" spans="1:7" x14ac:dyDescent="0.25">
      <c r="A435" s="24">
        <v>42165</v>
      </c>
      <c r="B435" s="25">
        <v>210.949997</v>
      </c>
      <c r="C435" s="11">
        <f t="shared" si="24"/>
        <v>209.71062474999999</v>
      </c>
      <c r="D435" s="11">
        <f t="shared" si="25"/>
        <v>2.1698699880440619</v>
      </c>
      <c r="E435" s="25">
        <v>210.949997</v>
      </c>
      <c r="F435" s="11">
        <f t="shared" si="26"/>
        <v>215.28973697608811</v>
      </c>
      <c r="G435" s="11">
        <f t="shared" si="27"/>
        <v>206.61025702391188</v>
      </c>
    </row>
    <row r="436" spans="1:7" x14ac:dyDescent="0.25">
      <c r="A436" s="24">
        <v>42164</v>
      </c>
      <c r="B436" s="25">
        <v>208.449997</v>
      </c>
      <c r="C436" s="11">
        <f t="shared" si="24"/>
        <v>209.93812468750002</v>
      </c>
      <c r="D436" s="11">
        <f t="shared" si="25"/>
        <v>2.0907729306242944</v>
      </c>
      <c r="E436" s="25">
        <v>208.449997</v>
      </c>
      <c r="F436" s="11">
        <f t="shared" si="26"/>
        <v>212.63154286124859</v>
      </c>
      <c r="G436" s="11">
        <f t="shared" si="27"/>
        <v>204.2684511387514</v>
      </c>
    </row>
    <row r="437" spans="1:7" x14ac:dyDescent="0.25">
      <c r="A437" s="24">
        <v>42163</v>
      </c>
      <c r="B437" s="25">
        <v>208.479996</v>
      </c>
      <c r="C437" s="11">
        <f t="shared" si="24"/>
        <v>209.99749950000003</v>
      </c>
      <c r="D437" s="11">
        <f t="shared" si="25"/>
        <v>2.0295095933127305</v>
      </c>
      <c r="E437" s="25">
        <v>208.479996</v>
      </c>
      <c r="F437" s="11">
        <f t="shared" si="26"/>
        <v>212.53901518662545</v>
      </c>
      <c r="G437" s="11">
        <f t="shared" si="27"/>
        <v>204.42097681337455</v>
      </c>
    </row>
    <row r="438" spans="1:7" x14ac:dyDescent="0.25">
      <c r="A438" s="24">
        <v>42160</v>
      </c>
      <c r="B438" s="25">
        <v>209.770004</v>
      </c>
      <c r="C438" s="11">
        <f t="shared" si="24"/>
        <v>210.161873875</v>
      </c>
      <c r="D438" s="11">
        <f t="shared" si="25"/>
        <v>1.7597812253741443</v>
      </c>
      <c r="E438" s="25">
        <v>209.770004</v>
      </c>
      <c r="F438" s="11">
        <f t="shared" si="26"/>
        <v>213.28956645074828</v>
      </c>
      <c r="G438" s="11">
        <f t="shared" si="27"/>
        <v>206.25044154925172</v>
      </c>
    </row>
    <row r="439" spans="1:7" x14ac:dyDescent="0.25">
      <c r="A439" s="24">
        <v>42159</v>
      </c>
      <c r="B439" s="25">
        <v>210.13000500000001</v>
      </c>
      <c r="C439" s="11">
        <f t="shared" si="24"/>
        <v>210.43374925000003</v>
      </c>
      <c r="D439" s="11">
        <f t="shared" si="25"/>
        <v>1.2366073235594506</v>
      </c>
      <c r="E439" s="25">
        <v>210.13000500000001</v>
      </c>
      <c r="F439" s="11">
        <f t="shared" si="26"/>
        <v>212.60321964711892</v>
      </c>
      <c r="G439" s="11">
        <f t="shared" si="27"/>
        <v>207.6567903528811</v>
      </c>
    </row>
    <row r="440" spans="1:7" x14ac:dyDescent="0.25">
      <c r="A440" s="24">
        <v>42158</v>
      </c>
      <c r="B440" s="25">
        <v>211.91999799999999</v>
      </c>
      <c r="C440" s="11">
        <f t="shared" si="24"/>
        <v>210.45312412500002</v>
      </c>
      <c r="D440" s="11">
        <f t="shared" si="25"/>
        <v>1.2287538385883956</v>
      </c>
      <c r="E440" s="25">
        <v>211.91999799999999</v>
      </c>
      <c r="F440" s="11">
        <f t="shared" si="26"/>
        <v>214.37750567717677</v>
      </c>
      <c r="G440" s="11">
        <f t="shared" si="27"/>
        <v>209.46249032282321</v>
      </c>
    </row>
    <row r="441" spans="1:7" x14ac:dyDescent="0.25">
      <c r="A441" s="24">
        <v>42157</v>
      </c>
      <c r="B441" s="25">
        <v>211.36000100000001</v>
      </c>
      <c r="C441" s="11">
        <f t="shared" si="24"/>
        <v>210.58187393750001</v>
      </c>
      <c r="D441" s="11">
        <f t="shared" si="25"/>
        <v>1.2697044179370496</v>
      </c>
      <c r="E441" s="25">
        <v>211.36000100000001</v>
      </c>
      <c r="F441" s="11">
        <f t="shared" si="26"/>
        <v>213.89940983587411</v>
      </c>
      <c r="G441" s="11">
        <f t="shared" si="27"/>
        <v>208.82059216412591</v>
      </c>
    </row>
    <row r="442" spans="1:7" x14ac:dyDescent="0.25">
      <c r="A442" s="24">
        <v>42156</v>
      </c>
      <c r="B442" s="25">
        <v>211.570007</v>
      </c>
      <c r="C442" s="11">
        <f t="shared" si="24"/>
        <v>210.63562400000001</v>
      </c>
      <c r="D442" s="11">
        <f t="shared" si="25"/>
        <v>1.284128573785507</v>
      </c>
      <c r="E442" s="25">
        <v>211.570007</v>
      </c>
      <c r="F442" s="11">
        <f t="shared" si="26"/>
        <v>214.13826414757102</v>
      </c>
      <c r="G442" s="11">
        <f t="shared" si="27"/>
        <v>209.00174985242899</v>
      </c>
    </row>
    <row r="443" spans="1:7" x14ac:dyDescent="0.25">
      <c r="A443" s="24">
        <v>42153</v>
      </c>
      <c r="B443" s="25">
        <v>211.13999899999999</v>
      </c>
      <c r="C443" s="11">
        <f t="shared" si="24"/>
        <v>210.60624987499997</v>
      </c>
      <c r="D443" s="11">
        <f t="shared" si="25"/>
        <v>1.2549052231198374</v>
      </c>
      <c r="E443" s="25">
        <v>211.13999899999999</v>
      </c>
      <c r="F443" s="11">
        <f t="shared" si="26"/>
        <v>213.64980944623966</v>
      </c>
      <c r="G443" s="11">
        <f t="shared" si="27"/>
        <v>208.63018855376032</v>
      </c>
    </row>
    <row r="444" spans="1:7" x14ac:dyDescent="0.25">
      <c r="A444" s="24">
        <v>42152</v>
      </c>
      <c r="B444" s="25">
        <v>212.46000699999999</v>
      </c>
      <c r="C444" s="11">
        <f t="shared" si="24"/>
        <v>210.55937487499997</v>
      </c>
      <c r="D444" s="11">
        <f t="shared" si="25"/>
        <v>1.2171969670162057</v>
      </c>
      <c r="E444" s="25">
        <v>212.46000699999999</v>
      </c>
      <c r="F444" s="11">
        <f t="shared" si="26"/>
        <v>214.8944009340324</v>
      </c>
      <c r="G444" s="11">
        <f t="shared" si="27"/>
        <v>210.02561306596758</v>
      </c>
    </row>
    <row r="445" spans="1:7" x14ac:dyDescent="0.25">
      <c r="A445" s="24">
        <v>42151</v>
      </c>
      <c r="B445" s="25">
        <v>212.699997</v>
      </c>
      <c r="C445" s="11">
        <f t="shared" si="24"/>
        <v>210.66250043749997</v>
      </c>
      <c r="D445" s="11">
        <f t="shared" si="25"/>
        <v>1.306470034488453</v>
      </c>
      <c r="E445" s="25">
        <v>212.699997</v>
      </c>
      <c r="F445" s="11">
        <f t="shared" si="26"/>
        <v>215.31293706897691</v>
      </c>
      <c r="G445" s="11">
        <f t="shared" si="27"/>
        <v>210.08705693102308</v>
      </c>
    </row>
    <row r="446" spans="1:7" x14ac:dyDescent="0.25">
      <c r="A446" s="24">
        <v>42150</v>
      </c>
      <c r="B446" s="25">
        <v>210.699997</v>
      </c>
      <c r="C446" s="11">
        <f t="shared" si="24"/>
        <v>210.65750031249999</v>
      </c>
      <c r="D446" s="11">
        <f t="shared" si="25"/>
        <v>1.2979509832874625</v>
      </c>
      <c r="E446" s="25">
        <v>210.699997</v>
      </c>
      <c r="F446" s="11">
        <f t="shared" si="26"/>
        <v>213.29589896657492</v>
      </c>
      <c r="G446" s="11">
        <f t="shared" si="27"/>
        <v>208.10409503342507</v>
      </c>
    </row>
    <row r="447" spans="1:7" x14ac:dyDescent="0.25">
      <c r="A447" s="24">
        <v>42146</v>
      </c>
      <c r="B447" s="25">
        <v>212.990005</v>
      </c>
      <c r="C447" s="11">
        <f t="shared" si="24"/>
        <v>210.66437537500002</v>
      </c>
      <c r="D447" s="11">
        <f t="shared" si="25"/>
        <v>1.2978609118531841</v>
      </c>
      <c r="E447" s="25">
        <v>212.990005</v>
      </c>
      <c r="F447" s="11">
        <f t="shared" si="26"/>
        <v>215.58572682370635</v>
      </c>
      <c r="G447" s="11">
        <f t="shared" si="27"/>
        <v>210.39428317629364</v>
      </c>
    </row>
    <row r="448" spans="1:7" x14ac:dyDescent="0.25">
      <c r="A448" s="24">
        <v>42145</v>
      </c>
      <c r="B448" s="25">
        <v>213.5</v>
      </c>
      <c r="C448" s="11">
        <f t="shared" si="24"/>
        <v>210.83562568750003</v>
      </c>
      <c r="D448" s="11">
        <f t="shared" si="25"/>
        <v>1.4150209347453802</v>
      </c>
      <c r="E448" s="25">
        <v>213.5</v>
      </c>
      <c r="F448" s="11">
        <f t="shared" si="26"/>
        <v>216.33004186949077</v>
      </c>
      <c r="G448" s="11">
        <f t="shared" si="27"/>
        <v>210.66995813050923</v>
      </c>
    </row>
    <row r="449" spans="1:7" x14ac:dyDescent="0.25">
      <c r="A449" s="24">
        <v>42144</v>
      </c>
      <c r="B449" s="25">
        <v>212.88000500000001</v>
      </c>
      <c r="C449" s="11">
        <f t="shared" si="24"/>
        <v>211.11000062500003</v>
      </c>
      <c r="D449" s="11">
        <f t="shared" si="25"/>
        <v>1.4821351243002037</v>
      </c>
      <c r="E449" s="25">
        <v>212.88000500000001</v>
      </c>
      <c r="F449" s="11">
        <f t="shared" si="26"/>
        <v>215.84427524860041</v>
      </c>
      <c r="G449" s="11">
        <f t="shared" si="27"/>
        <v>209.91573475139961</v>
      </c>
    </row>
    <row r="450" spans="1:7" x14ac:dyDescent="0.25">
      <c r="A450" s="24">
        <v>42143</v>
      </c>
      <c r="B450" s="25">
        <v>213.029999</v>
      </c>
      <c r="C450" s="11">
        <f t="shared" si="24"/>
        <v>211.28937625000003</v>
      </c>
      <c r="D450" s="11">
        <f t="shared" si="25"/>
        <v>1.5134719725462817</v>
      </c>
      <c r="E450" s="25">
        <v>213.029999</v>
      </c>
      <c r="F450" s="11">
        <f t="shared" si="26"/>
        <v>216.05694294509257</v>
      </c>
      <c r="G450" s="11">
        <f t="shared" si="27"/>
        <v>210.00305505490743</v>
      </c>
    </row>
    <row r="451" spans="1:7" x14ac:dyDescent="0.25">
      <c r="A451" s="24">
        <v>42142</v>
      </c>
      <c r="B451" s="25">
        <v>213.10000600000001</v>
      </c>
      <c r="C451" s="11">
        <f t="shared" si="24"/>
        <v>211.37687587500002</v>
      </c>
      <c r="D451" s="11">
        <f t="shared" si="25"/>
        <v>1.5737471596529469</v>
      </c>
      <c r="E451" s="25">
        <v>213.10000600000001</v>
      </c>
      <c r="F451" s="11">
        <f t="shared" si="26"/>
        <v>216.24750031930591</v>
      </c>
      <c r="G451" s="11">
        <f t="shared" si="27"/>
        <v>209.9525116806941</v>
      </c>
    </row>
    <row r="452" spans="1:7" x14ac:dyDescent="0.25">
      <c r="A452" s="24">
        <v>42139</v>
      </c>
      <c r="B452" s="25">
        <v>212.44000199999999</v>
      </c>
      <c r="C452" s="11">
        <f t="shared" si="24"/>
        <v>211.51125143750002</v>
      </c>
      <c r="D452" s="11">
        <f t="shared" si="25"/>
        <v>1.6257971382830838</v>
      </c>
      <c r="E452" s="25">
        <v>212.44000199999999</v>
      </c>
      <c r="F452" s="11">
        <f t="shared" si="26"/>
        <v>215.69159627656617</v>
      </c>
      <c r="G452" s="11">
        <f t="shared" si="27"/>
        <v>209.18840772343381</v>
      </c>
    </row>
    <row r="453" spans="1:7" x14ac:dyDescent="0.25">
      <c r="A453" s="24">
        <v>42138</v>
      </c>
      <c r="B453" s="25">
        <v>212.21000699999999</v>
      </c>
      <c r="C453" s="11">
        <f t="shared" si="24"/>
        <v>211.76062674999997</v>
      </c>
      <c r="D453" s="11">
        <f t="shared" si="25"/>
        <v>1.4176161952428212</v>
      </c>
      <c r="E453" s="25">
        <v>212.21000699999999</v>
      </c>
      <c r="F453" s="11">
        <f t="shared" si="26"/>
        <v>215.04523939048562</v>
      </c>
      <c r="G453" s="11">
        <f t="shared" si="27"/>
        <v>209.37477460951436</v>
      </c>
    </row>
    <row r="454" spans="1:7" x14ac:dyDescent="0.25">
      <c r="A454" s="24">
        <v>42137</v>
      </c>
      <c r="B454" s="25">
        <v>210.020004</v>
      </c>
      <c r="C454" s="11">
        <f t="shared" si="24"/>
        <v>211.99375243749998</v>
      </c>
      <c r="D454" s="11">
        <f t="shared" si="25"/>
        <v>1.1169714489847962</v>
      </c>
      <c r="E454" s="25">
        <v>210.020004</v>
      </c>
      <c r="F454" s="11">
        <f t="shared" si="26"/>
        <v>212.2539468979696</v>
      </c>
      <c r="G454" s="11">
        <f t="shared" si="27"/>
        <v>207.7860611020304</v>
      </c>
    </row>
    <row r="455" spans="1:7" x14ac:dyDescent="0.25">
      <c r="A455" s="24">
        <v>42136</v>
      </c>
      <c r="B455" s="25">
        <v>209.979996</v>
      </c>
      <c r="C455" s="11">
        <f t="shared" si="24"/>
        <v>212.00937743749998</v>
      </c>
      <c r="D455" s="11">
        <f t="shared" si="25"/>
        <v>1.0850836465132667</v>
      </c>
      <c r="E455" s="25">
        <v>209.979996</v>
      </c>
      <c r="F455" s="11">
        <f t="shared" si="26"/>
        <v>212.15016329302654</v>
      </c>
      <c r="G455" s="11">
        <f t="shared" si="27"/>
        <v>207.80982870697346</v>
      </c>
    </row>
    <row r="456" spans="1:7" x14ac:dyDescent="0.25">
      <c r="A456" s="24">
        <v>42135</v>
      </c>
      <c r="B456" s="25">
        <v>210.61000100000001</v>
      </c>
      <c r="C456" s="11">
        <f t="shared" si="24"/>
        <v>212.00000187499998</v>
      </c>
      <c r="D456" s="11">
        <f t="shared" si="25"/>
        <v>1.1029064523714232</v>
      </c>
      <c r="E456" s="25">
        <v>210.61000100000001</v>
      </c>
      <c r="F456" s="11">
        <f t="shared" si="26"/>
        <v>212.81581390474287</v>
      </c>
      <c r="G456" s="11">
        <f t="shared" si="27"/>
        <v>208.40418809525715</v>
      </c>
    </row>
    <row r="457" spans="1:7" x14ac:dyDescent="0.25">
      <c r="A457" s="24">
        <v>42132</v>
      </c>
      <c r="B457" s="25">
        <v>211.61999499999999</v>
      </c>
      <c r="C457" s="11">
        <f t="shared" si="24"/>
        <v>211.91812706249999</v>
      </c>
      <c r="D457" s="11">
        <f t="shared" si="25"/>
        <v>1.1565605818971159</v>
      </c>
      <c r="E457" s="25">
        <v>211.61999499999999</v>
      </c>
      <c r="F457" s="11">
        <f t="shared" si="26"/>
        <v>213.93311616379421</v>
      </c>
      <c r="G457" s="11">
        <f t="shared" si="27"/>
        <v>209.30687383620577</v>
      </c>
    </row>
    <row r="458" spans="1:7" x14ac:dyDescent="0.25">
      <c r="A458" s="24">
        <v>42131</v>
      </c>
      <c r="B458" s="25">
        <v>208.86999499999999</v>
      </c>
      <c r="C458" s="11">
        <f t="shared" si="24"/>
        <v>211.93437668749999</v>
      </c>
      <c r="D458" s="11">
        <f t="shared" si="25"/>
        <v>1.1500040264862683</v>
      </c>
      <c r="E458" s="25">
        <v>208.86999499999999</v>
      </c>
      <c r="F458" s="11">
        <f t="shared" si="26"/>
        <v>211.17000305297253</v>
      </c>
      <c r="G458" s="11">
        <f t="shared" si="27"/>
        <v>206.56998694702745</v>
      </c>
    </row>
    <row r="459" spans="1:7" x14ac:dyDescent="0.25">
      <c r="A459" s="24">
        <v>42130</v>
      </c>
      <c r="B459" s="25">
        <v>208.03999300000001</v>
      </c>
      <c r="C459" s="11">
        <f t="shared" si="24"/>
        <v>211.7656259375</v>
      </c>
      <c r="D459" s="11">
        <f t="shared" si="25"/>
        <v>1.3817785573076222</v>
      </c>
      <c r="E459" s="25">
        <v>208.03999300000001</v>
      </c>
      <c r="F459" s="11">
        <f t="shared" si="26"/>
        <v>210.80355011461526</v>
      </c>
      <c r="G459" s="11">
        <f t="shared" si="27"/>
        <v>205.27643588538476</v>
      </c>
    </row>
    <row r="460" spans="1:7" x14ac:dyDescent="0.25">
      <c r="A460" s="24">
        <v>42129</v>
      </c>
      <c r="B460" s="25">
        <v>208.89999399999999</v>
      </c>
      <c r="C460" s="11">
        <f t="shared" si="24"/>
        <v>211.5718755625</v>
      </c>
      <c r="D460" s="11">
        <f t="shared" si="25"/>
        <v>1.6638907038741841</v>
      </c>
      <c r="E460" s="25">
        <v>208.89999399999999</v>
      </c>
      <c r="F460" s="11">
        <f t="shared" si="26"/>
        <v>212.22777540774837</v>
      </c>
      <c r="G460" s="11">
        <f t="shared" si="27"/>
        <v>205.57221259225162</v>
      </c>
    </row>
    <row r="461" spans="1:7" x14ac:dyDescent="0.25">
      <c r="A461" s="24">
        <v>42128</v>
      </c>
      <c r="B461" s="25">
        <v>211.320007</v>
      </c>
      <c r="C461" s="11">
        <f t="shared" si="24"/>
        <v>211.34937474999998</v>
      </c>
      <c r="D461" s="11">
        <f t="shared" si="25"/>
        <v>1.7717421175277368</v>
      </c>
      <c r="E461" s="25">
        <v>211.320007</v>
      </c>
      <c r="F461" s="11">
        <f t="shared" si="26"/>
        <v>214.86349123505548</v>
      </c>
      <c r="G461" s="11">
        <f t="shared" si="27"/>
        <v>207.77652276494453</v>
      </c>
    </row>
    <row r="462" spans="1:7" x14ac:dyDescent="0.25">
      <c r="A462" s="24">
        <v>42125</v>
      </c>
      <c r="B462" s="25">
        <v>210.720001</v>
      </c>
      <c r="C462" s="11">
        <f t="shared" si="24"/>
        <v>211.26312537499999</v>
      </c>
      <c r="D462" s="11">
        <f t="shared" si="25"/>
        <v>1.7348143165358032</v>
      </c>
      <c r="E462" s="25">
        <v>210.720001</v>
      </c>
      <c r="F462" s="11">
        <f t="shared" si="26"/>
        <v>214.1896296330716</v>
      </c>
      <c r="G462" s="11">
        <f t="shared" si="27"/>
        <v>207.25037236692839</v>
      </c>
    </row>
    <row r="463" spans="1:7" x14ac:dyDescent="0.25">
      <c r="A463" s="24">
        <v>42124</v>
      </c>
      <c r="B463" s="25">
        <v>208.46000699999999</v>
      </c>
      <c r="C463" s="11">
        <f t="shared" si="24"/>
        <v>211.26437562499999</v>
      </c>
      <c r="D463" s="11">
        <f t="shared" si="25"/>
        <v>1.7343885801217631</v>
      </c>
      <c r="E463" s="25">
        <v>208.46000699999999</v>
      </c>
      <c r="F463" s="11">
        <f t="shared" si="26"/>
        <v>211.92878416024351</v>
      </c>
      <c r="G463" s="11">
        <f t="shared" si="27"/>
        <v>204.99122983975647</v>
      </c>
    </row>
    <row r="464" spans="1:7" x14ac:dyDescent="0.25">
      <c r="A464" s="24">
        <v>42123</v>
      </c>
      <c r="B464" s="25">
        <v>210.570007</v>
      </c>
      <c r="C464" s="11">
        <f t="shared" si="24"/>
        <v>210.98125074999999</v>
      </c>
      <c r="D464" s="11">
        <f t="shared" si="25"/>
        <v>1.80232604764645</v>
      </c>
      <c r="E464" s="25">
        <v>210.570007</v>
      </c>
      <c r="F464" s="11">
        <f t="shared" si="26"/>
        <v>214.1746590952929</v>
      </c>
      <c r="G464" s="11">
        <f t="shared" si="27"/>
        <v>206.96535490470711</v>
      </c>
    </row>
    <row r="465" spans="1:7" x14ac:dyDescent="0.25">
      <c r="A465" s="24">
        <v>42122</v>
      </c>
      <c r="B465" s="25">
        <v>211.44000199999999</v>
      </c>
      <c r="C465" s="11">
        <f t="shared" si="24"/>
        <v>210.79812618749997</v>
      </c>
      <c r="D465" s="11">
        <f t="shared" si="25"/>
        <v>1.6736020570744712</v>
      </c>
      <c r="E465" s="25">
        <v>211.44000199999999</v>
      </c>
      <c r="F465" s="11">
        <f t="shared" si="26"/>
        <v>214.78720611414894</v>
      </c>
      <c r="G465" s="11">
        <f t="shared" si="27"/>
        <v>208.09279788585104</v>
      </c>
    </row>
    <row r="466" spans="1:7" x14ac:dyDescent="0.25">
      <c r="A466" s="24">
        <v>42121</v>
      </c>
      <c r="B466" s="25">
        <v>210.770004</v>
      </c>
      <c r="C466" s="11">
        <f t="shared" si="24"/>
        <v>210.70812599999999</v>
      </c>
      <c r="D466" s="11">
        <f t="shared" si="25"/>
        <v>1.5908560025008345</v>
      </c>
      <c r="E466" s="25">
        <v>210.770004</v>
      </c>
      <c r="F466" s="11">
        <f t="shared" si="26"/>
        <v>213.95171600500166</v>
      </c>
      <c r="G466" s="11">
        <f t="shared" si="27"/>
        <v>207.58829199499834</v>
      </c>
    </row>
    <row r="467" spans="1:7" x14ac:dyDescent="0.25">
      <c r="A467" s="24">
        <v>42118</v>
      </c>
      <c r="B467" s="25">
        <v>211.64999399999999</v>
      </c>
      <c r="C467" s="11">
        <f t="shared" si="24"/>
        <v>210.56687631249997</v>
      </c>
      <c r="D467" s="11">
        <f t="shared" si="25"/>
        <v>1.4664208895958768</v>
      </c>
      <c r="E467" s="25">
        <v>211.64999399999999</v>
      </c>
      <c r="F467" s="11">
        <f t="shared" si="26"/>
        <v>214.58283577919175</v>
      </c>
      <c r="G467" s="11">
        <f t="shared" si="27"/>
        <v>208.71715222080823</v>
      </c>
    </row>
    <row r="468" spans="1:7" x14ac:dyDescent="0.25">
      <c r="A468" s="24">
        <v>42117</v>
      </c>
      <c r="B468" s="25">
        <v>211.16000399999999</v>
      </c>
      <c r="C468" s="11">
        <f t="shared" ref="C468:C531" si="28">AVERAGE(B452:B467)</f>
        <v>210.47625056249998</v>
      </c>
      <c r="D468" s="11">
        <f t="shared" ref="D468:D531" si="29">_xlfn.STDEV.S(B452:B467)</f>
        <v>1.3386770302035735</v>
      </c>
      <c r="E468" s="25">
        <v>211.16000399999999</v>
      </c>
      <c r="F468" s="11">
        <f t="shared" ref="F468:F531" si="30">B468+2*D468</f>
        <v>213.83735806040713</v>
      </c>
      <c r="G468" s="11">
        <f t="shared" ref="G468:G531" si="31">B468-2*D468</f>
        <v>208.48264993959285</v>
      </c>
    </row>
    <row r="469" spans="1:7" x14ac:dyDescent="0.25">
      <c r="A469" s="24">
        <v>42116</v>
      </c>
      <c r="B469" s="25">
        <v>210.63000500000001</v>
      </c>
      <c r="C469" s="11">
        <f t="shared" si="28"/>
        <v>210.39625068749996</v>
      </c>
      <c r="D469" s="11">
        <f t="shared" si="29"/>
        <v>1.2487231409972182</v>
      </c>
      <c r="E469" s="25">
        <v>210.63000500000001</v>
      </c>
      <c r="F469" s="11">
        <f t="shared" si="30"/>
        <v>213.12745128199444</v>
      </c>
      <c r="G469" s="11">
        <f t="shared" si="31"/>
        <v>208.13255871800558</v>
      </c>
    </row>
    <row r="470" spans="1:7" x14ac:dyDescent="0.25">
      <c r="A470" s="24">
        <v>42115</v>
      </c>
      <c r="B470" s="25">
        <v>209.60000600000001</v>
      </c>
      <c r="C470" s="11">
        <f t="shared" si="28"/>
        <v>210.29750056249998</v>
      </c>
      <c r="D470" s="11">
        <f t="shared" si="29"/>
        <v>1.1546585632531638</v>
      </c>
      <c r="E470" s="25">
        <v>209.60000600000001</v>
      </c>
      <c r="F470" s="11">
        <f t="shared" si="30"/>
        <v>211.90932312650634</v>
      </c>
      <c r="G470" s="11">
        <f t="shared" si="31"/>
        <v>207.29068887349368</v>
      </c>
    </row>
    <row r="471" spans="1:7" x14ac:dyDescent="0.25">
      <c r="A471" s="24">
        <v>42114</v>
      </c>
      <c r="B471" s="25">
        <v>209.85000600000001</v>
      </c>
      <c r="C471" s="11">
        <f t="shared" si="28"/>
        <v>210.27125068749999</v>
      </c>
      <c r="D471" s="11">
        <f t="shared" si="29"/>
        <v>1.1661050665334693</v>
      </c>
      <c r="E471" s="25">
        <v>209.85000600000001</v>
      </c>
      <c r="F471" s="11">
        <f t="shared" si="30"/>
        <v>212.18221613306696</v>
      </c>
      <c r="G471" s="11">
        <f t="shared" si="31"/>
        <v>207.51779586693306</v>
      </c>
    </row>
    <row r="472" spans="1:7" x14ac:dyDescent="0.25">
      <c r="A472" s="24">
        <v>42111</v>
      </c>
      <c r="B472" s="25">
        <v>207.949997</v>
      </c>
      <c r="C472" s="11">
        <f t="shared" si="28"/>
        <v>210.26312631249999</v>
      </c>
      <c r="D472" s="11">
        <f t="shared" si="29"/>
        <v>1.1687194444968503</v>
      </c>
      <c r="E472" s="25">
        <v>207.949997</v>
      </c>
      <c r="F472" s="11">
        <f t="shared" si="30"/>
        <v>210.28743588899368</v>
      </c>
      <c r="G472" s="11">
        <f t="shared" si="31"/>
        <v>205.61255811100631</v>
      </c>
    </row>
    <row r="473" spans="1:7" x14ac:dyDescent="0.25">
      <c r="A473" s="24">
        <v>42110</v>
      </c>
      <c r="B473" s="25">
        <v>210.36999499999999</v>
      </c>
      <c r="C473" s="11">
        <f t="shared" si="28"/>
        <v>210.0968760625</v>
      </c>
      <c r="D473" s="11">
        <f t="shared" si="29"/>
        <v>1.2981164800508183</v>
      </c>
      <c r="E473" s="25">
        <v>210.36999499999999</v>
      </c>
      <c r="F473" s="11">
        <f t="shared" si="30"/>
        <v>212.96622796010163</v>
      </c>
      <c r="G473" s="11">
        <f t="shared" si="31"/>
        <v>207.77376203989834</v>
      </c>
    </row>
    <row r="474" spans="1:7" x14ac:dyDescent="0.25">
      <c r="A474" s="24">
        <v>42109</v>
      </c>
      <c r="B474" s="25">
        <v>210.429993</v>
      </c>
      <c r="C474" s="11">
        <f t="shared" si="28"/>
        <v>210.0187510625</v>
      </c>
      <c r="D474" s="11">
        <f t="shared" si="29"/>
        <v>1.2364907963788199</v>
      </c>
      <c r="E474" s="25">
        <v>210.429993</v>
      </c>
      <c r="F474" s="11">
        <f t="shared" si="30"/>
        <v>212.90297459275763</v>
      </c>
      <c r="G474" s="11">
        <f t="shared" si="31"/>
        <v>207.95701140724236</v>
      </c>
    </row>
    <row r="475" spans="1:7" x14ac:dyDescent="0.25">
      <c r="A475" s="24">
        <v>42108</v>
      </c>
      <c r="B475" s="25">
        <v>209.490005</v>
      </c>
      <c r="C475" s="11">
        <f t="shared" si="28"/>
        <v>210.11625093750004</v>
      </c>
      <c r="D475" s="11">
        <f t="shared" si="29"/>
        <v>1.2008614178433439</v>
      </c>
      <c r="E475" s="25">
        <v>209.490005</v>
      </c>
      <c r="F475" s="11">
        <f t="shared" si="30"/>
        <v>211.89172783568668</v>
      </c>
      <c r="G475" s="11">
        <f t="shared" si="31"/>
        <v>207.08828216431331</v>
      </c>
    </row>
    <row r="476" spans="1:7" x14ac:dyDescent="0.25">
      <c r="A476" s="24">
        <v>42107</v>
      </c>
      <c r="B476" s="25">
        <v>209.08999600000001</v>
      </c>
      <c r="C476" s="11">
        <f t="shared" si="28"/>
        <v>210.20687668750006</v>
      </c>
      <c r="D476" s="11">
        <f t="shared" si="29"/>
        <v>1.0826187602034072</v>
      </c>
      <c r="E476" s="25">
        <v>209.08999600000001</v>
      </c>
      <c r="F476" s="11">
        <f t="shared" si="30"/>
        <v>211.25523352040682</v>
      </c>
      <c r="G476" s="11">
        <f t="shared" si="31"/>
        <v>206.92475847959321</v>
      </c>
    </row>
    <row r="477" spans="1:7" x14ac:dyDescent="0.25">
      <c r="A477" s="24">
        <v>42104</v>
      </c>
      <c r="B477" s="25">
        <v>210.03999300000001</v>
      </c>
      <c r="C477" s="11">
        <f t="shared" si="28"/>
        <v>210.21875181250005</v>
      </c>
      <c r="D477" s="11">
        <f t="shared" si="29"/>
        <v>1.0682750742166363</v>
      </c>
      <c r="E477" s="25">
        <v>210.03999300000001</v>
      </c>
      <c r="F477" s="11">
        <f t="shared" si="30"/>
        <v>212.17654314843327</v>
      </c>
      <c r="G477" s="11">
        <f t="shared" si="31"/>
        <v>207.90344285156675</v>
      </c>
    </row>
    <row r="478" spans="1:7" x14ac:dyDescent="0.25">
      <c r="A478" s="24">
        <v>42103</v>
      </c>
      <c r="B478" s="25">
        <v>208.89999399999999</v>
      </c>
      <c r="C478" s="11">
        <f t="shared" si="28"/>
        <v>210.13875093750002</v>
      </c>
      <c r="D478" s="11">
        <f t="shared" si="29"/>
        <v>1.0274552382116016</v>
      </c>
      <c r="E478" s="25">
        <v>208.89999399999999</v>
      </c>
      <c r="F478" s="11">
        <f t="shared" si="30"/>
        <v>210.9549044764232</v>
      </c>
      <c r="G478" s="11">
        <f t="shared" si="31"/>
        <v>206.84508352357679</v>
      </c>
    </row>
    <row r="479" spans="1:7" x14ac:dyDescent="0.25">
      <c r="A479" s="24">
        <v>42102</v>
      </c>
      <c r="B479" s="25">
        <v>207.979996</v>
      </c>
      <c r="C479" s="11">
        <f t="shared" si="28"/>
        <v>210.02500050000003</v>
      </c>
      <c r="D479" s="11">
        <f t="shared" si="29"/>
        <v>1.0590752104382379</v>
      </c>
      <c r="E479" s="25">
        <v>207.979996</v>
      </c>
      <c r="F479" s="11">
        <f t="shared" si="30"/>
        <v>210.09814642087647</v>
      </c>
      <c r="G479" s="11">
        <f t="shared" si="31"/>
        <v>205.86184557912352</v>
      </c>
    </row>
    <row r="480" spans="1:7" x14ac:dyDescent="0.25">
      <c r="A480" s="24">
        <v>42101</v>
      </c>
      <c r="B480" s="25">
        <v>207.279999</v>
      </c>
      <c r="C480" s="11">
        <f t="shared" si="28"/>
        <v>209.9949998125</v>
      </c>
      <c r="D480" s="11">
        <f t="shared" si="29"/>
        <v>1.1118465904503902</v>
      </c>
      <c r="E480" s="25">
        <v>207.279999</v>
      </c>
      <c r="F480" s="11">
        <f t="shared" si="30"/>
        <v>209.50369218090077</v>
      </c>
      <c r="G480" s="11">
        <f t="shared" si="31"/>
        <v>205.05630581909924</v>
      </c>
    </row>
    <row r="481" spans="1:7" x14ac:dyDescent="0.25">
      <c r="A481" s="24">
        <v>42100</v>
      </c>
      <c r="B481" s="25">
        <v>207.83000200000001</v>
      </c>
      <c r="C481" s="11">
        <f t="shared" si="28"/>
        <v>209.7893743125</v>
      </c>
      <c r="D481" s="11">
        <f t="shared" si="29"/>
        <v>1.2885943043134858</v>
      </c>
      <c r="E481" s="25">
        <v>207.83000200000001</v>
      </c>
      <c r="F481" s="11">
        <f t="shared" si="30"/>
        <v>210.40719060862699</v>
      </c>
      <c r="G481" s="11">
        <f t="shared" si="31"/>
        <v>205.25281339137302</v>
      </c>
    </row>
    <row r="482" spans="1:7" x14ac:dyDescent="0.25">
      <c r="A482" s="24">
        <v>42096</v>
      </c>
      <c r="B482" s="25">
        <v>206.44000199999999</v>
      </c>
      <c r="C482" s="11">
        <f t="shared" si="28"/>
        <v>209.56374931249999</v>
      </c>
      <c r="D482" s="11">
        <f t="shared" si="29"/>
        <v>1.2963330606724839</v>
      </c>
      <c r="E482" s="25">
        <v>206.44000199999999</v>
      </c>
      <c r="F482" s="11">
        <f t="shared" si="30"/>
        <v>209.03266812134495</v>
      </c>
      <c r="G482" s="11">
        <f t="shared" si="31"/>
        <v>203.84733587865503</v>
      </c>
    </row>
    <row r="483" spans="1:7" x14ac:dyDescent="0.25">
      <c r="A483" s="24">
        <v>42095</v>
      </c>
      <c r="B483" s="25">
        <v>205.699997</v>
      </c>
      <c r="C483" s="11">
        <f t="shared" si="28"/>
        <v>209.29312418749998</v>
      </c>
      <c r="D483" s="11">
        <f t="shared" si="29"/>
        <v>1.4682899493769928</v>
      </c>
      <c r="E483" s="25">
        <v>205.699997</v>
      </c>
      <c r="F483" s="11">
        <f t="shared" si="30"/>
        <v>208.63657689875399</v>
      </c>
      <c r="G483" s="11">
        <f t="shared" si="31"/>
        <v>202.76341710124601</v>
      </c>
    </row>
    <row r="484" spans="1:7" x14ac:dyDescent="0.25">
      <c r="A484" s="24">
        <v>42094</v>
      </c>
      <c r="B484" s="25">
        <v>206.429993</v>
      </c>
      <c r="C484" s="11">
        <f t="shared" si="28"/>
        <v>208.921249375</v>
      </c>
      <c r="D484" s="11">
        <f t="shared" si="29"/>
        <v>1.5807425319629544</v>
      </c>
      <c r="E484" s="25">
        <v>206.429993</v>
      </c>
      <c r="F484" s="11">
        <f t="shared" si="30"/>
        <v>209.5914780639259</v>
      </c>
      <c r="G484" s="11">
        <f t="shared" si="31"/>
        <v>203.26850793607409</v>
      </c>
    </row>
    <row r="485" spans="1:7" x14ac:dyDescent="0.25">
      <c r="A485" s="24">
        <v>42093</v>
      </c>
      <c r="B485" s="25">
        <v>208.25</v>
      </c>
      <c r="C485" s="11">
        <f t="shared" si="28"/>
        <v>208.6256236875</v>
      </c>
      <c r="D485" s="11">
        <f t="shared" si="29"/>
        <v>1.5764353795110357</v>
      </c>
      <c r="E485" s="25">
        <v>208.25</v>
      </c>
      <c r="F485" s="11">
        <f t="shared" si="30"/>
        <v>211.40287075902208</v>
      </c>
      <c r="G485" s="11">
        <f t="shared" si="31"/>
        <v>205.09712924097792</v>
      </c>
    </row>
    <row r="486" spans="1:7" x14ac:dyDescent="0.25">
      <c r="A486" s="24">
        <v>42090</v>
      </c>
      <c r="B486" s="25">
        <v>205.740005</v>
      </c>
      <c r="C486" s="11">
        <f t="shared" si="28"/>
        <v>208.476873375</v>
      </c>
      <c r="D486" s="11">
        <f t="shared" si="29"/>
        <v>1.4842899493881874</v>
      </c>
      <c r="E486" s="25">
        <v>205.740005</v>
      </c>
      <c r="F486" s="11">
        <f t="shared" si="30"/>
        <v>208.70858489877637</v>
      </c>
      <c r="G486" s="11">
        <f t="shared" si="31"/>
        <v>202.77142510122363</v>
      </c>
    </row>
    <row r="487" spans="1:7" x14ac:dyDescent="0.25">
      <c r="A487" s="24">
        <v>42089</v>
      </c>
      <c r="B487" s="25">
        <v>205.270004</v>
      </c>
      <c r="C487" s="11">
        <f t="shared" si="28"/>
        <v>208.23562331250002</v>
      </c>
      <c r="D487" s="11">
        <f t="shared" si="29"/>
        <v>1.5988442895637149</v>
      </c>
      <c r="E487" s="25">
        <v>205.270004</v>
      </c>
      <c r="F487" s="11">
        <f t="shared" si="30"/>
        <v>208.46769257912743</v>
      </c>
      <c r="G487" s="11">
        <f t="shared" si="31"/>
        <v>202.07231542087257</v>
      </c>
    </row>
    <row r="488" spans="1:7" x14ac:dyDescent="0.25">
      <c r="A488" s="24">
        <v>42088</v>
      </c>
      <c r="B488" s="25">
        <v>205.759995</v>
      </c>
      <c r="C488" s="11">
        <f t="shared" si="28"/>
        <v>207.94937318750002</v>
      </c>
      <c r="D488" s="11">
        <f t="shared" si="29"/>
        <v>1.6974919977038765</v>
      </c>
      <c r="E488" s="25">
        <v>205.759995</v>
      </c>
      <c r="F488" s="11">
        <f t="shared" si="30"/>
        <v>209.15497899540776</v>
      </c>
      <c r="G488" s="11">
        <f t="shared" si="31"/>
        <v>202.36501100459225</v>
      </c>
    </row>
    <row r="489" spans="1:7" x14ac:dyDescent="0.25">
      <c r="A489" s="24">
        <v>42087</v>
      </c>
      <c r="B489" s="25">
        <v>208.820007</v>
      </c>
      <c r="C489" s="11">
        <f t="shared" si="28"/>
        <v>207.81249806250003</v>
      </c>
      <c r="D489" s="11">
        <f t="shared" si="29"/>
        <v>1.783550875739909</v>
      </c>
      <c r="E489" s="25">
        <v>208.820007</v>
      </c>
      <c r="F489" s="11">
        <f t="shared" si="30"/>
        <v>212.38710875147981</v>
      </c>
      <c r="G489" s="11">
        <f t="shared" si="31"/>
        <v>205.25290524852019</v>
      </c>
    </row>
    <row r="490" spans="1:7" x14ac:dyDescent="0.25">
      <c r="A490" s="24">
        <v>42086</v>
      </c>
      <c r="B490" s="25">
        <v>210</v>
      </c>
      <c r="C490" s="11">
        <f t="shared" si="28"/>
        <v>207.71562381250001</v>
      </c>
      <c r="D490" s="11">
        <f t="shared" si="29"/>
        <v>1.6741154011218484</v>
      </c>
      <c r="E490" s="25">
        <v>210</v>
      </c>
      <c r="F490" s="11">
        <f t="shared" si="30"/>
        <v>213.34823080224371</v>
      </c>
      <c r="G490" s="11">
        <f t="shared" si="31"/>
        <v>206.65176919775629</v>
      </c>
    </row>
    <row r="491" spans="1:7" x14ac:dyDescent="0.25">
      <c r="A491" s="24">
        <v>42083</v>
      </c>
      <c r="B491" s="25">
        <v>210.41000399999999</v>
      </c>
      <c r="C491" s="11">
        <f t="shared" si="28"/>
        <v>207.68874925</v>
      </c>
      <c r="D491" s="11">
        <f t="shared" si="29"/>
        <v>1.6305204537266642</v>
      </c>
      <c r="E491" s="25">
        <v>210.41000399999999</v>
      </c>
      <c r="F491" s="11">
        <f t="shared" si="30"/>
        <v>213.67104490745331</v>
      </c>
      <c r="G491" s="11">
        <f t="shared" si="31"/>
        <v>207.14896309254667</v>
      </c>
    </row>
    <row r="492" spans="1:7" x14ac:dyDescent="0.25">
      <c r="A492" s="24">
        <v>42082</v>
      </c>
      <c r="B492" s="25">
        <v>209.5</v>
      </c>
      <c r="C492" s="11">
        <f t="shared" si="28"/>
        <v>207.74624918749998</v>
      </c>
      <c r="D492" s="11">
        <f t="shared" si="29"/>
        <v>1.7124399649390043</v>
      </c>
      <c r="E492" s="25">
        <v>209.5</v>
      </c>
      <c r="F492" s="11">
        <f t="shared" si="30"/>
        <v>212.92487992987802</v>
      </c>
      <c r="G492" s="11">
        <f t="shared" si="31"/>
        <v>206.07512007012198</v>
      </c>
    </row>
    <row r="493" spans="1:7" x14ac:dyDescent="0.25">
      <c r="A493" s="24">
        <v>42081</v>
      </c>
      <c r="B493" s="25">
        <v>210.46000699999999</v>
      </c>
      <c r="C493" s="11">
        <f t="shared" si="28"/>
        <v>207.77187443749997</v>
      </c>
      <c r="D493" s="11">
        <f t="shared" si="29"/>
        <v>1.7367832231656306</v>
      </c>
      <c r="E493" s="25">
        <v>210.46000699999999</v>
      </c>
      <c r="F493" s="11">
        <f t="shared" si="30"/>
        <v>213.93357344633125</v>
      </c>
      <c r="G493" s="11">
        <f t="shared" si="31"/>
        <v>206.98644055366873</v>
      </c>
    </row>
    <row r="494" spans="1:7" x14ac:dyDescent="0.25">
      <c r="A494" s="24">
        <v>42080</v>
      </c>
      <c r="B494" s="25">
        <v>207.96000699999999</v>
      </c>
      <c r="C494" s="11">
        <f t="shared" si="28"/>
        <v>207.79812531249996</v>
      </c>
      <c r="D494" s="11">
        <f t="shared" si="29"/>
        <v>1.7760801143538418</v>
      </c>
      <c r="E494" s="25">
        <v>207.96000699999999</v>
      </c>
      <c r="F494" s="11">
        <f t="shared" si="30"/>
        <v>211.51216722870768</v>
      </c>
      <c r="G494" s="11">
        <f t="shared" si="31"/>
        <v>204.4078467712923</v>
      </c>
    </row>
    <row r="495" spans="1:7" x14ac:dyDescent="0.25">
      <c r="A495" s="24">
        <v>42079</v>
      </c>
      <c r="B495" s="25">
        <v>208.58000200000001</v>
      </c>
      <c r="C495" s="11">
        <f t="shared" si="28"/>
        <v>207.73937612499998</v>
      </c>
      <c r="D495" s="11">
        <f t="shared" si="29"/>
        <v>1.7525938147555598</v>
      </c>
      <c r="E495" s="25">
        <v>208.58000200000001</v>
      </c>
      <c r="F495" s="11">
        <f t="shared" si="30"/>
        <v>212.08518962951112</v>
      </c>
      <c r="G495" s="11">
        <f t="shared" si="31"/>
        <v>205.07481437048889</v>
      </c>
    </row>
    <row r="496" spans="1:7" x14ac:dyDescent="0.25">
      <c r="A496" s="24">
        <v>42076</v>
      </c>
      <c r="B496" s="25">
        <v>205.83000200000001</v>
      </c>
      <c r="C496" s="11">
        <f t="shared" si="28"/>
        <v>207.77687649999999</v>
      </c>
      <c r="D496" s="11">
        <f t="shared" si="29"/>
        <v>1.7644645964194339</v>
      </c>
      <c r="E496" s="25">
        <v>205.83000200000001</v>
      </c>
      <c r="F496" s="11">
        <f t="shared" si="30"/>
        <v>209.35893119283887</v>
      </c>
      <c r="G496" s="11">
        <f t="shared" si="31"/>
        <v>202.30107280716115</v>
      </c>
    </row>
    <row r="497" spans="1:7" x14ac:dyDescent="0.25">
      <c r="A497" s="24">
        <v>42075</v>
      </c>
      <c r="B497" s="25">
        <v>207.10000600000001</v>
      </c>
      <c r="C497" s="11">
        <f t="shared" si="28"/>
        <v>207.6862516875</v>
      </c>
      <c r="D497" s="11">
        <f t="shared" si="29"/>
        <v>1.827786585696068</v>
      </c>
      <c r="E497" s="25">
        <v>207.10000600000001</v>
      </c>
      <c r="F497" s="11">
        <f t="shared" si="30"/>
        <v>210.75557917139216</v>
      </c>
      <c r="G497" s="11">
        <f t="shared" si="31"/>
        <v>203.44443282860786</v>
      </c>
    </row>
    <row r="498" spans="1:7" x14ac:dyDescent="0.25">
      <c r="A498" s="24">
        <v>42074</v>
      </c>
      <c r="B498" s="25">
        <v>204.5</v>
      </c>
      <c r="C498" s="11">
        <f t="shared" si="28"/>
        <v>207.64062693750003</v>
      </c>
      <c r="D498" s="11">
        <f t="shared" si="29"/>
        <v>1.8330624832326334</v>
      </c>
      <c r="E498" s="25">
        <v>204.5</v>
      </c>
      <c r="F498" s="11">
        <f t="shared" si="30"/>
        <v>208.16612496646528</v>
      </c>
      <c r="G498" s="11">
        <f t="shared" si="31"/>
        <v>200.83387503353472</v>
      </c>
    </row>
    <row r="499" spans="1:7" x14ac:dyDescent="0.25">
      <c r="A499" s="24">
        <v>42073</v>
      </c>
      <c r="B499" s="25">
        <v>204.979996</v>
      </c>
      <c r="C499" s="11">
        <f t="shared" si="28"/>
        <v>207.51937681250004</v>
      </c>
      <c r="D499" s="11">
        <f t="shared" si="29"/>
        <v>1.9763363891559267</v>
      </c>
      <c r="E499" s="25">
        <v>204.979996</v>
      </c>
      <c r="F499" s="11">
        <f t="shared" si="30"/>
        <v>208.93266877831186</v>
      </c>
      <c r="G499" s="11">
        <f t="shared" si="31"/>
        <v>201.02732322168814</v>
      </c>
    </row>
    <row r="500" spans="1:7" x14ac:dyDescent="0.25">
      <c r="A500" s="24">
        <v>42072</v>
      </c>
      <c r="B500" s="25">
        <v>208.36000100000001</v>
      </c>
      <c r="C500" s="11">
        <f t="shared" si="28"/>
        <v>207.47437675000003</v>
      </c>
      <c r="D500" s="11">
        <f t="shared" si="29"/>
        <v>2.0280449496216604</v>
      </c>
      <c r="E500" s="25">
        <v>208.36000100000001</v>
      </c>
      <c r="F500" s="11">
        <f t="shared" si="30"/>
        <v>212.41609089924333</v>
      </c>
      <c r="G500" s="11">
        <f t="shared" si="31"/>
        <v>204.30391110075669</v>
      </c>
    </row>
    <row r="501" spans="1:7" x14ac:dyDescent="0.25">
      <c r="A501" s="24">
        <v>42069</v>
      </c>
      <c r="B501" s="25">
        <v>207.5</v>
      </c>
      <c r="C501" s="11">
        <f t="shared" si="28"/>
        <v>207.59500225000002</v>
      </c>
      <c r="D501" s="11">
        <f t="shared" si="29"/>
        <v>2.0191628542576563</v>
      </c>
      <c r="E501" s="25">
        <v>207.5</v>
      </c>
      <c r="F501" s="11">
        <f t="shared" si="30"/>
        <v>211.53832570851532</v>
      </c>
      <c r="G501" s="11">
        <f t="shared" si="31"/>
        <v>203.46167429148468</v>
      </c>
    </row>
    <row r="502" spans="1:7" x14ac:dyDescent="0.25">
      <c r="A502" s="24">
        <v>42068</v>
      </c>
      <c r="B502" s="25">
        <v>210.46000699999999</v>
      </c>
      <c r="C502" s="11">
        <f t="shared" si="28"/>
        <v>207.54812725000002</v>
      </c>
      <c r="D502" s="11">
        <f t="shared" si="29"/>
        <v>2.0116349338321613</v>
      </c>
      <c r="E502" s="25">
        <v>210.46000699999999</v>
      </c>
      <c r="F502" s="11">
        <f t="shared" si="30"/>
        <v>214.4832768676643</v>
      </c>
      <c r="G502" s="11">
        <f t="shared" si="31"/>
        <v>206.43673713233568</v>
      </c>
    </row>
    <row r="503" spans="1:7" x14ac:dyDescent="0.25">
      <c r="A503" s="24">
        <v>42067</v>
      </c>
      <c r="B503" s="25">
        <v>210.229996</v>
      </c>
      <c r="C503" s="11">
        <f t="shared" si="28"/>
        <v>207.84312737499999</v>
      </c>
      <c r="D503" s="11">
        <f t="shared" si="29"/>
        <v>2.0739248304076914</v>
      </c>
      <c r="E503" s="25">
        <v>210.229996</v>
      </c>
      <c r="F503" s="11">
        <f t="shared" si="30"/>
        <v>214.37784566081538</v>
      </c>
      <c r="G503" s="11">
        <f t="shared" si="31"/>
        <v>206.08214633918462</v>
      </c>
    </row>
    <row r="504" spans="1:7" x14ac:dyDescent="0.25">
      <c r="A504" s="24">
        <v>42066</v>
      </c>
      <c r="B504" s="25">
        <v>211.11999499999999</v>
      </c>
      <c r="C504" s="11">
        <f t="shared" si="28"/>
        <v>208.153126875</v>
      </c>
      <c r="D504" s="11">
        <f t="shared" si="29"/>
        <v>2.0339787924616708</v>
      </c>
      <c r="E504" s="25">
        <v>211.11999499999999</v>
      </c>
      <c r="F504" s="11">
        <f t="shared" si="30"/>
        <v>215.18795258492332</v>
      </c>
      <c r="G504" s="11">
        <f t="shared" si="31"/>
        <v>207.05203741507665</v>
      </c>
    </row>
    <row r="505" spans="1:7" x14ac:dyDescent="0.25">
      <c r="A505" s="24">
        <v>42065</v>
      </c>
      <c r="B505" s="25">
        <v>211.990005</v>
      </c>
      <c r="C505" s="11">
        <f t="shared" si="28"/>
        <v>208.48812687500001</v>
      </c>
      <c r="D505" s="11">
        <f t="shared" si="29"/>
        <v>2.0548426091026615</v>
      </c>
      <c r="E505" s="25">
        <v>211.990005</v>
      </c>
      <c r="F505" s="11">
        <f t="shared" si="30"/>
        <v>216.09969021820532</v>
      </c>
      <c r="G505" s="11">
        <f t="shared" si="31"/>
        <v>207.88031978179467</v>
      </c>
    </row>
    <row r="506" spans="1:7" x14ac:dyDescent="0.25">
      <c r="A506" s="24">
        <v>42062</v>
      </c>
      <c r="B506" s="25">
        <v>210.66000399999999</v>
      </c>
      <c r="C506" s="11">
        <f t="shared" si="28"/>
        <v>208.68625175</v>
      </c>
      <c r="D506" s="11">
        <f t="shared" si="29"/>
        <v>2.2339892979487126</v>
      </c>
      <c r="E506" s="25">
        <v>210.66000399999999</v>
      </c>
      <c r="F506" s="11">
        <f t="shared" si="30"/>
        <v>215.12798259589741</v>
      </c>
      <c r="G506" s="11">
        <f t="shared" si="31"/>
        <v>206.19202540410257</v>
      </c>
    </row>
    <row r="507" spans="1:7" x14ac:dyDescent="0.25">
      <c r="A507" s="24">
        <v>42061</v>
      </c>
      <c r="B507" s="25">
        <v>211.38000500000001</v>
      </c>
      <c r="C507" s="11">
        <f t="shared" si="28"/>
        <v>208.72750200000002</v>
      </c>
      <c r="D507" s="11">
        <f t="shared" si="29"/>
        <v>2.2657325658638778</v>
      </c>
      <c r="E507" s="25">
        <v>211.38000500000001</v>
      </c>
      <c r="F507" s="11">
        <f t="shared" si="30"/>
        <v>215.91147013172775</v>
      </c>
      <c r="G507" s="11">
        <f t="shared" si="31"/>
        <v>206.84853986827227</v>
      </c>
    </row>
    <row r="508" spans="1:7" x14ac:dyDescent="0.25">
      <c r="A508" s="24">
        <v>42060</v>
      </c>
      <c r="B508" s="25">
        <v>211.63000500000001</v>
      </c>
      <c r="C508" s="11">
        <f t="shared" si="28"/>
        <v>208.78812706250002</v>
      </c>
      <c r="D508" s="11">
        <f t="shared" si="29"/>
        <v>2.325930834655189</v>
      </c>
      <c r="E508" s="25">
        <v>211.63000500000001</v>
      </c>
      <c r="F508" s="11">
        <f t="shared" si="30"/>
        <v>216.28186666931038</v>
      </c>
      <c r="G508" s="11">
        <f t="shared" si="31"/>
        <v>206.97814333068965</v>
      </c>
    </row>
    <row r="509" spans="1:7" x14ac:dyDescent="0.25">
      <c r="A509" s="24">
        <v>42059</v>
      </c>
      <c r="B509" s="25">
        <v>211.80999800000001</v>
      </c>
      <c r="C509" s="11">
        <f t="shared" si="28"/>
        <v>208.92125237499999</v>
      </c>
      <c r="D509" s="11">
        <f t="shared" si="29"/>
        <v>2.4281030080462624</v>
      </c>
      <c r="E509" s="25">
        <v>211.80999800000001</v>
      </c>
      <c r="F509" s="11">
        <f t="shared" si="30"/>
        <v>216.66620401609254</v>
      </c>
      <c r="G509" s="11">
        <f t="shared" si="31"/>
        <v>206.95379198390748</v>
      </c>
    </row>
    <row r="510" spans="1:7" x14ac:dyDescent="0.25">
      <c r="A510" s="24">
        <v>42058</v>
      </c>
      <c r="B510" s="25">
        <v>211.21000699999999</v>
      </c>
      <c r="C510" s="11">
        <f t="shared" si="28"/>
        <v>209.0056268125</v>
      </c>
      <c r="D510" s="11">
        <f t="shared" si="29"/>
        <v>2.5073019233695861</v>
      </c>
      <c r="E510" s="25">
        <v>211.21000699999999</v>
      </c>
      <c r="F510" s="11">
        <f t="shared" si="30"/>
        <v>216.22461084673915</v>
      </c>
      <c r="G510" s="11">
        <f t="shared" si="31"/>
        <v>206.19540315326083</v>
      </c>
    </row>
    <row r="511" spans="1:7" x14ac:dyDescent="0.25">
      <c r="A511" s="24">
        <v>42055</v>
      </c>
      <c r="B511" s="25">
        <v>211.240005</v>
      </c>
      <c r="C511" s="11">
        <f t="shared" si="28"/>
        <v>209.2087518125</v>
      </c>
      <c r="D511" s="11">
        <f t="shared" si="29"/>
        <v>2.5482576922640336</v>
      </c>
      <c r="E511" s="25">
        <v>211.240005</v>
      </c>
      <c r="F511" s="11">
        <f t="shared" si="30"/>
        <v>216.33652038452806</v>
      </c>
      <c r="G511" s="11">
        <f t="shared" si="31"/>
        <v>206.14348961547194</v>
      </c>
    </row>
    <row r="512" spans="1:7" x14ac:dyDescent="0.25">
      <c r="A512" s="24">
        <v>42054</v>
      </c>
      <c r="B512" s="25">
        <v>209.979996</v>
      </c>
      <c r="C512" s="11">
        <f t="shared" si="28"/>
        <v>209.37500200000002</v>
      </c>
      <c r="D512" s="11">
        <f t="shared" si="29"/>
        <v>2.590916133728915</v>
      </c>
      <c r="E512" s="25">
        <v>209.979996</v>
      </c>
      <c r="F512" s="11">
        <f t="shared" si="30"/>
        <v>215.16182826745782</v>
      </c>
      <c r="G512" s="11">
        <f t="shared" si="31"/>
        <v>204.79816373254218</v>
      </c>
    </row>
    <row r="513" spans="1:7" x14ac:dyDescent="0.25">
      <c r="A513" s="24">
        <v>42053</v>
      </c>
      <c r="B513" s="25">
        <v>210.13000500000001</v>
      </c>
      <c r="C513" s="11">
        <f t="shared" si="28"/>
        <v>209.63437662500002</v>
      </c>
      <c r="D513" s="11">
        <f t="shared" si="29"/>
        <v>2.4140600073014711</v>
      </c>
      <c r="E513" s="25">
        <v>210.13000500000001</v>
      </c>
      <c r="F513" s="11">
        <f t="shared" si="30"/>
        <v>214.95812501460296</v>
      </c>
      <c r="G513" s="11">
        <f t="shared" si="31"/>
        <v>205.30188498539707</v>
      </c>
    </row>
    <row r="514" spans="1:7" x14ac:dyDescent="0.25">
      <c r="A514" s="24">
        <v>42052</v>
      </c>
      <c r="B514" s="25">
        <v>210.11000100000001</v>
      </c>
      <c r="C514" s="11">
        <f t="shared" si="28"/>
        <v>209.82375156250004</v>
      </c>
      <c r="D514" s="11">
        <f t="shared" si="29"/>
        <v>2.3189666223381757</v>
      </c>
      <c r="E514" s="25">
        <v>210.11000100000001</v>
      </c>
      <c r="F514" s="11">
        <f t="shared" si="30"/>
        <v>214.74793424467637</v>
      </c>
      <c r="G514" s="11">
        <f t="shared" si="31"/>
        <v>205.47206775532365</v>
      </c>
    </row>
    <row r="515" spans="1:7" x14ac:dyDescent="0.25">
      <c r="A515" s="24">
        <v>42048</v>
      </c>
      <c r="B515" s="25">
        <v>209.779999</v>
      </c>
      <c r="C515" s="11">
        <f t="shared" si="28"/>
        <v>210.17437662500004</v>
      </c>
      <c r="D515" s="11">
        <f t="shared" si="29"/>
        <v>1.8336974309261189</v>
      </c>
      <c r="E515" s="25">
        <v>209.779999</v>
      </c>
      <c r="F515" s="11">
        <f t="shared" si="30"/>
        <v>213.44739386185225</v>
      </c>
      <c r="G515" s="11">
        <f t="shared" si="31"/>
        <v>206.11260413814776</v>
      </c>
    </row>
    <row r="516" spans="1:7" x14ac:dyDescent="0.25">
      <c r="A516" s="24">
        <v>42047</v>
      </c>
      <c r="B516" s="25">
        <v>208.91999799999999</v>
      </c>
      <c r="C516" s="11">
        <f t="shared" si="28"/>
        <v>210.4743768125</v>
      </c>
      <c r="D516" s="11">
        <f t="shared" si="29"/>
        <v>1.2157476672539245</v>
      </c>
      <c r="E516" s="25">
        <v>208.91999799999999</v>
      </c>
      <c r="F516" s="11">
        <f t="shared" si="30"/>
        <v>211.35149333450784</v>
      </c>
      <c r="G516" s="11">
        <f t="shared" si="31"/>
        <v>206.48850266549215</v>
      </c>
    </row>
    <row r="517" spans="1:7" x14ac:dyDescent="0.25">
      <c r="A517" s="24">
        <v>42046</v>
      </c>
      <c r="B517" s="25">
        <v>206.929993</v>
      </c>
      <c r="C517" s="11">
        <f t="shared" si="28"/>
        <v>210.50937662499999</v>
      </c>
      <c r="D517" s="11">
        <f t="shared" si="29"/>
        <v>1.1574841822609288</v>
      </c>
      <c r="E517" s="25">
        <v>206.929993</v>
      </c>
      <c r="F517" s="11">
        <f t="shared" si="30"/>
        <v>209.24496136452186</v>
      </c>
      <c r="G517" s="11">
        <f t="shared" si="31"/>
        <v>204.61502463547814</v>
      </c>
    </row>
    <row r="518" spans="1:7" x14ac:dyDescent="0.25">
      <c r="A518" s="24">
        <v>42045</v>
      </c>
      <c r="B518" s="25">
        <v>206.80999800000001</v>
      </c>
      <c r="C518" s="11">
        <f t="shared" si="28"/>
        <v>210.47375118749997</v>
      </c>
      <c r="D518" s="11">
        <f t="shared" si="29"/>
        <v>1.2604728530154199</v>
      </c>
      <c r="E518" s="25">
        <v>206.80999800000001</v>
      </c>
      <c r="F518" s="11">
        <f t="shared" si="30"/>
        <v>209.33094370603084</v>
      </c>
      <c r="G518" s="11">
        <f t="shared" si="31"/>
        <v>204.28905229396918</v>
      </c>
    </row>
    <row r="519" spans="1:7" x14ac:dyDescent="0.25">
      <c r="A519" s="24">
        <v>42044</v>
      </c>
      <c r="B519" s="25">
        <v>204.63000500000001</v>
      </c>
      <c r="C519" s="11">
        <f t="shared" si="28"/>
        <v>210.245625625</v>
      </c>
      <c r="D519" s="11">
        <f t="shared" si="29"/>
        <v>1.5582493458537319</v>
      </c>
      <c r="E519" s="25">
        <v>204.63000500000001</v>
      </c>
      <c r="F519" s="11">
        <f t="shared" si="30"/>
        <v>207.74650369170749</v>
      </c>
      <c r="G519" s="11">
        <f t="shared" si="31"/>
        <v>201.51350630829253</v>
      </c>
    </row>
    <row r="520" spans="1:7" x14ac:dyDescent="0.25">
      <c r="A520" s="24">
        <v>42041</v>
      </c>
      <c r="B520" s="25">
        <v>205.550003</v>
      </c>
      <c r="C520" s="11">
        <f t="shared" si="28"/>
        <v>209.8956261875</v>
      </c>
      <c r="D520" s="11">
        <f t="shared" si="29"/>
        <v>2.0975711728337347</v>
      </c>
      <c r="E520" s="25">
        <v>205.550003</v>
      </c>
      <c r="F520" s="11">
        <f t="shared" si="30"/>
        <v>209.74514534566748</v>
      </c>
      <c r="G520" s="11">
        <f t="shared" si="31"/>
        <v>201.35486065433253</v>
      </c>
    </row>
    <row r="521" spans="1:7" x14ac:dyDescent="0.25">
      <c r="A521" s="24">
        <v>42040</v>
      </c>
      <c r="B521" s="25">
        <v>206.11999499999999</v>
      </c>
      <c r="C521" s="11">
        <f t="shared" si="28"/>
        <v>209.54750168749999</v>
      </c>
      <c r="D521" s="11">
        <f t="shared" si="29"/>
        <v>2.330141391922492</v>
      </c>
      <c r="E521" s="25">
        <v>206.11999499999999</v>
      </c>
      <c r="F521" s="11">
        <f t="shared" si="30"/>
        <v>210.78027778384498</v>
      </c>
      <c r="G521" s="11">
        <f t="shared" si="31"/>
        <v>201.459712216155</v>
      </c>
    </row>
    <row r="522" spans="1:7" x14ac:dyDescent="0.25">
      <c r="A522" s="24">
        <v>42039</v>
      </c>
      <c r="B522" s="25">
        <v>204.05999800000001</v>
      </c>
      <c r="C522" s="11">
        <f t="shared" si="28"/>
        <v>209.18062606249998</v>
      </c>
      <c r="D522" s="11">
        <f t="shared" si="29"/>
        <v>2.3814813270880366</v>
      </c>
      <c r="E522" s="25">
        <v>204.05999800000001</v>
      </c>
      <c r="F522" s="11">
        <f t="shared" si="30"/>
        <v>208.82296065417609</v>
      </c>
      <c r="G522" s="11">
        <f t="shared" si="31"/>
        <v>199.29703534582393</v>
      </c>
    </row>
    <row r="523" spans="1:7" x14ac:dyDescent="0.25">
      <c r="A523" s="24">
        <v>42038</v>
      </c>
      <c r="B523" s="25">
        <v>204.83999600000001</v>
      </c>
      <c r="C523" s="11">
        <f t="shared" si="28"/>
        <v>208.76812568750003</v>
      </c>
      <c r="D523" s="11">
        <f t="shared" si="29"/>
        <v>2.663100541243026</v>
      </c>
      <c r="E523" s="25">
        <v>204.83999600000001</v>
      </c>
      <c r="F523" s="11">
        <f t="shared" si="30"/>
        <v>210.16619708248606</v>
      </c>
      <c r="G523" s="11">
        <f t="shared" si="31"/>
        <v>199.51379491751396</v>
      </c>
    </row>
    <row r="524" spans="1:7" x14ac:dyDescent="0.25">
      <c r="A524" s="24">
        <v>42037</v>
      </c>
      <c r="B524" s="25">
        <v>201.91999799999999</v>
      </c>
      <c r="C524" s="11">
        <f t="shared" si="28"/>
        <v>208.35937512500004</v>
      </c>
      <c r="D524" s="11">
        <f t="shared" si="29"/>
        <v>2.7363798997066868</v>
      </c>
      <c r="E524" s="25">
        <v>201.91999799999999</v>
      </c>
      <c r="F524" s="11">
        <f t="shared" si="30"/>
        <v>207.39275779941337</v>
      </c>
      <c r="G524" s="11">
        <f t="shared" si="31"/>
        <v>196.44723820058661</v>
      </c>
    </row>
    <row r="525" spans="1:7" x14ac:dyDescent="0.25">
      <c r="A525" s="24">
        <v>42034</v>
      </c>
      <c r="B525" s="25">
        <v>199.449997</v>
      </c>
      <c r="C525" s="11">
        <f t="shared" si="28"/>
        <v>207.75249968750001</v>
      </c>
      <c r="D525" s="11">
        <f t="shared" si="29"/>
        <v>3.0242620870250803</v>
      </c>
      <c r="E525" s="25">
        <v>199.449997</v>
      </c>
      <c r="F525" s="11">
        <f t="shared" si="30"/>
        <v>205.49852117405015</v>
      </c>
      <c r="G525" s="11">
        <f t="shared" si="31"/>
        <v>193.40147282594984</v>
      </c>
    </row>
    <row r="526" spans="1:7" x14ac:dyDescent="0.25">
      <c r="A526" s="24">
        <v>42033</v>
      </c>
      <c r="B526" s="25">
        <v>201.990005</v>
      </c>
      <c r="C526" s="11">
        <f t="shared" si="28"/>
        <v>206.97999962500003</v>
      </c>
      <c r="D526" s="11">
        <f t="shared" si="29"/>
        <v>3.4651846929157446</v>
      </c>
      <c r="E526" s="25">
        <v>201.990005</v>
      </c>
      <c r="F526" s="11">
        <f t="shared" si="30"/>
        <v>208.92037438583148</v>
      </c>
      <c r="G526" s="11">
        <f t="shared" si="31"/>
        <v>195.05963561416851</v>
      </c>
    </row>
    <row r="527" spans="1:7" x14ac:dyDescent="0.25">
      <c r="A527" s="24">
        <v>42032</v>
      </c>
      <c r="B527" s="25">
        <v>200.13999899999999</v>
      </c>
      <c r="C527" s="11">
        <f t="shared" si="28"/>
        <v>206.40374950000003</v>
      </c>
      <c r="D527" s="11">
        <f t="shared" si="29"/>
        <v>3.4814425266952984</v>
      </c>
      <c r="E527" s="25">
        <v>200.13999899999999</v>
      </c>
      <c r="F527" s="11">
        <f t="shared" si="30"/>
        <v>207.1028840533906</v>
      </c>
      <c r="G527" s="11">
        <f t="shared" si="31"/>
        <v>193.17711394660938</v>
      </c>
    </row>
    <row r="528" spans="1:7" x14ac:dyDescent="0.25">
      <c r="A528" s="24">
        <v>42031</v>
      </c>
      <c r="B528" s="25">
        <v>202.740005</v>
      </c>
      <c r="C528" s="11">
        <f t="shared" si="28"/>
        <v>205.70999912500002</v>
      </c>
      <c r="D528" s="11">
        <f t="shared" si="29"/>
        <v>3.5585690077165011</v>
      </c>
      <c r="E528" s="25">
        <v>202.740005</v>
      </c>
      <c r="F528" s="11">
        <f t="shared" si="30"/>
        <v>209.857143015433</v>
      </c>
      <c r="G528" s="11">
        <f t="shared" si="31"/>
        <v>195.622866984567</v>
      </c>
    </row>
    <row r="529" spans="1:7" x14ac:dyDescent="0.25">
      <c r="A529" s="24">
        <v>42030</v>
      </c>
      <c r="B529" s="25">
        <v>205.449997</v>
      </c>
      <c r="C529" s="11">
        <f t="shared" si="28"/>
        <v>205.25749968750003</v>
      </c>
      <c r="D529" s="11">
        <f t="shared" si="29"/>
        <v>3.4376649116827913</v>
      </c>
      <c r="E529" s="25">
        <v>205.449997</v>
      </c>
      <c r="F529" s="11">
        <f t="shared" si="30"/>
        <v>212.32532682336557</v>
      </c>
      <c r="G529" s="11">
        <f t="shared" si="31"/>
        <v>198.57466717663442</v>
      </c>
    </row>
    <row r="530" spans="1:7" x14ac:dyDescent="0.25">
      <c r="A530" s="24">
        <v>42027</v>
      </c>
      <c r="B530" s="25">
        <v>204.970001</v>
      </c>
      <c r="C530" s="11">
        <f t="shared" si="28"/>
        <v>204.96499918750001</v>
      </c>
      <c r="D530" s="11">
        <f t="shared" si="29"/>
        <v>3.1852780432295154</v>
      </c>
      <c r="E530" s="25">
        <v>204.970001</v>
      </c>
      <c r="F530" s="11">
        <f t="shared" si="30"/>
        <v>211.34055708645903</v>
      </c>
      <c r="G530" s="11">
        <f t="shared" si="31"/>
        <v>198.59944491354096</v>
      </c>
    </row>
    <row r="531" spans="1:7" x14ac:dyDescent="0.25">
      <c r="A531" s="24">
        <v>42026</v>
      </c>
      <c r="B531" s="25">
        <v>206.10000600000001</v>
      </c>
      <c r="C531" s="11">
        <f t="shared" si="28"/>
        <v>204.64374918750005</v>
      </c>
      <c r="D531" s="11">
        <f t="shared" si="29"/>
        <v>2.8759659195674372</v>
      </c>
      <c r="E531" s="25">
        <v>206.10000600000001</v>
      </c>
      <c r="F531" s="11">
        <f t="shared" si="30"/>
        <v>211.85193783913488</v>
      </c>
      <c r="G531" s="11">
        <f t="shared" si="31"/>
        <v>200.34807416086514</v>
      </c>
    </row>
    <row r="532" spans="1:7" x14ac:dyDescent="0.25">
      <c r="A532" s="24">
        <v>42025</v>
      </c>
      <c r="B532" s="25">
        <v>203.08000200000001</v>
      </c>
      <c r="C532" s="11">
        <f t="shared" ref="C532:C595" si="32">AVERAGE(B516:B531)</f>
        <v>204.41374962500004</v>
      </c>
      <c r="D532" s="11">
        <f t="shared" ref="D532:D595" si="33">_xlfn.STDEV.S(B516:B531)</f>
        <v>2.5685394623565601</v>
      </c>
      <c r="E532" s="25">
        <v>203.08000200000001</v>
      </c>
      <c r="F532" s="11">
        <f t="shared" ref="F532:F595" si="34">B532+2*D532</f>
        <v>208.21708092471312</v>
      </c>
      <c r="G532" s="11">
        <f t="shared" ref="G532:G595" si="35">B532-2*D532</f>
        <v>197.9429230752869</v>
      </c>
    </row>
    <row r="533" spans="1:7" x14ac:dyDescent="0.25">
      <c r="A533" s="24">
        <v>42024</v>
      </c>
      <c r="B533" s="25">
        <v>202.05999800000001</v>
      </c>
      <c r="C533" s="11">
        <f t="shared" si="32"/>
        <v>204.04874987500003</v>
      </c>
      <c r="D533" s="11">
        <f t="shared" si="33"/>
        <v>2.2847601737782157</v>
      </c>
      <c r="E533" s="25">
        <v>202.05999800000001</v>
      </c>
      <c r="F533" s="11">
        <f t="shared" si="34"/>
        <v>206.62951834755643</v>
      </c>
      <c r="G533" s="11">
        <f t="shared" si="35"/>
        <v>197.49047765244359</v>
      </c>
    </row>
    <row r="534" spans="1:7" x14ac:dyDescent="0.25">
      <c r="A534" s="24">
        <v>42020</v>
      </c>
      <c r="B534" s="25">
        <v>201.63000500000001</v>
      </c>
      <c r="C534" s="11">
        <f t="shared" si="32"/>
        <v>203.74437518750005</v>
      </c>
      <c r="D534" s="11">
        <f t="shared" si="33"/>
        <v>2.1980780186934621</v>
      </c>
      <c r="E534" s="25">
        <v>201.63000500000001</v>
      </c>
      <c r="F534" s="11">
        <f t="shared" si="34"/>
        <v>206.02616103738694</v>
      </c>
      <c r="G534" s="11">
        <f t="shared" si="35"/>
        <v>197.23384896261308</v>
      </c>
    </row>
    <row r="535" spans="1:7" x14ac:dyDescent="0.25">
      <c r="A535" s="24">
        <v>42019</v>
      </c>
      <c r="B535" s="25">
        <v>199.020004</v>
      </c>
      <c r="C535" s="11">
        <f t="shared" si="32"/>
        <v>203.42062562500004</v>
      </c>
      <c r="D535" s="11">
        <f t="shared" si="33"/>
        <v>2.0955301992211242</v>
      </c>
      <c r="E535" s="25">
        <v>199.020004</v>
      </c>
      <c r="F535" s="11">
        <f t="shared" si="34"/>
        <v>203.21106439844226</v>
      </c>
      <c r="G535" s="11">
        <f t="shared" si="35"/>
        <v>194.82894360155774</v>
      </c>
    </row>
    <row r="536" spans="1:7" x14ac:dyDescent="0.25">
      <c r="A536" s="24">
        <v>42018</v>
      </c>
      <c r="B536" s="25">
        <v>200.86000100000001</v>
      </c>
      <c r="C536" s="11">
        <f t="shared" si="32"/>
        <v>203.07000056250001</v>
      </c>
      <c r="D536" s="11">
        <f t="shared" si="33"/>
        <v>2.3353025143109836</v>
      </c>
      <c r="E536" s="25">
        <v>200.86000100000001</v>
      </c>
      <c r="F536" s="11">
        <f t="shared" si="34"/>
        <v>205.53060602862197</v>
      </c>
      <c r="G536" s="11">
        <f t="shared" si="35"/>
        <v>196.18939597137805</v>
      </c>
    </row>
    <row r="537" spans="1:7" x14ac:dyDescent="0.25">
      <c r="A537" s="24">
        <v>42017</v>
      </c>
      <c r="B537" s="25">
        <v>202.08000200000001</v>
      </c>
      <c r="C537" s="11">
        <f t="shared" si="32"/>
        <v>202.77687543750002</v>
      </c>
      <c r="D537" s="11">
        <f t="shared" si="33"/>
        <v>2.2972954541366239</v>
      </c>
      <c r="E537" s="25">
        <v>202.08000200000001</v>
      </c>
      <c r="F537" s="11">
        <f t="shared" si="34"/>
        <v>206.67459290827327</v>
      </c>
      <c r="G537" s="11">
        <f t="shared" si="35"/>
        <v>197.48541109172675</v>
      </c>
    </row>
    <row r="538" spans="1:7" x14ac:dyDescent="0.25">
      <c r="A538" s="24">
        <v>42016</v>
      </c>
      <c r="B538" s="25">
        <v>202.64999399999999</v>
      </c>
      <c r="C538" s="11">
        <f t="shared" si="32"/>
        <v>202.52437587500003</v>
      </c>
      <c r="D538" s="11">
        <f t="shared" si="33"/>
        <v>2.1205751384576761</v>
      </c>
      <c r="E538" s="25">
        <v>202.64999399999999</v>
      </c>
      <c r="F538" s="11">
        <f t="shared" si="34"/>
        <v>206.89114427691536</v>
      </c>
      <c r="G538" s="11">
        <f t="shared" si="35"/>
        <v>198.40884372308463</v>
      </c>
    </row>
    <row r="539" spans="1:7" x14ac:dyDescent="0.25">
      <c r="A539" s="24">
        <v>42013</v>
      </c>
      <c r="B539" s="25">
        <v>204.25</v>
      </c>
      <c r="C539" s="11">
        <f t="shared" si="32"/>
        <v>202.43625062499999</v>
      </c>
      <c r="D539" s="11">
        <f t="shared" si="33"/>
        <v>2.0814413502059872</v>
      </c>
      <c r="E539" s="25">
        <v>204.25</v>
      </c>
      <c r="F539" s="11">
        <f t="shared" si="34"/>
        <v>208.41288270041198</v>
      </c>
      <c r="G539" s="11">
        <f t="shared" si="35"/>
        <v>200.08711729958802</v>
      </c>
    </row>
    <row r="540" spans="1:7" x14ac:dyDescent="0.25">
      <c r="A540" s="24">
        <v>42012</v>
      </c>
      <c r="B540" s="25">
        <v>205.89999399999999</v>
      </c>
      <c r="C540" s="11">
        <f t="shared" si="32"/>
        <v>202.39937587499998</v>
      </c>
      <c r="D540" s="11">
        <f t="shared" si="33"/>
        <v>2.0408480333379031</v>
      </c>
      <c r="E540" s="25">
        <v>205.89999399999999</v>
      </c>
      <c r="F540" s="11">
        <f t="shared" si="34"/>
        <v>209.98169006667581</v>
      </c>
      <c r="G540" s="11">
        <f t="shared" si="35"/>
        <v>201.81829793332417</v>
      </c>
    </row>
    <row r="541" spans="1:7" x14ac:dyDescent="0.25">
      <c r="A541" s="24">
        <v>42011</v>
      </c>
      <c r="B541" s="25">
        <v>202.30999800000001</v>
      </c>
      <c r="C541" s="11">
        <f t="shared" si="32"/>
        <v>202.64812562499998</v>
      </c>
      <c r="D541" s="11">
        <f t="shared" si="33"/>
        <v>2.2137511381924533</v>
      </c>
      <c r="E541" s="25">
        <v>202.30999800000001</v>
      </c>
      <c r="F541" s="11">
        <f t="shared" si="34"/>
        <v>206.73750027638491</v>
      </c>
      <c r="G541" s="11">
        <f t="shared" si="35"/>
        <v>197.88249572361511</v>
      </c>
    </row>
    <row r="542" spans="1:7" x14ac:dyDescent="0.25">
      <c r="A542" s="24">
        <v>42010</v>
      </c>
      <c r="B542" s="25">
        <v>199.820007</v>
      </c>
      <c r="C542" s="11">
        <f t="shared" si="32"/>
        <v>202.82687568749998</v>
      </c>
      <c r="D542" s="11">
        <f t="shared" si="33"/>
        <v>2.0475267968774649</v>
      </c>
      <c r="E542" s="25">
        <v>199.820007</v>
      </c>
      <c r="F542" s="11">
        <f t="shared" si="34"/>
        <v>203.91506059375493</v>
      </c>
      <c r="G542" s="11">
        <f t="shared" si="35"/>
        <v>195.72495340624508</v>
      </c>
    </row>
    <row r="543" spans="1:7" x14ac:dyDescent="0.25">
      <c r="A543" s="24">
        <v>42009</v>
      </c>
      <c r="B543" s="25">
        <v>201.720001</v>
      </c>
      <c r="C543" s="11">
        <f t="shared" si="32"/>
        <v>202.69125081249999</v>
      </c>
      <c r="D543" s="11">
        <f t="shared" si="33"/>
        <v>2.1745818112569038</v>
      </c>
      <c r="E543" s="25">
        <v>201.720001</v>
      </c>
      <c r="F543" s="11">
        <f t="shared" si="34"/>
        <v>206.0691646225138</v>
      </c>
      <c r="G543" s="11">
        <f t="shared" si="35"/>
        <v>197.3708373774862</v>
      </c>
    </row>
    <row r="544" spans="1:7" x14ac:dyDescent="0.25">
      <c r="A544" s="24">
        <v>42006</v>
      </c>
      <c r="B544" s="25">
        <v>205.429993</v>
      </c>
      <c r="C544" s="11">
        <f t="shared" si="32"/>
        <v>202.7900009375</v>
      </c>
      <c r="D544" s="11">
        <f t="shared" si="33"/>
        <v>2.0850340652730637</v>
      </c>
      <c r="E544" s="25">
        <v>205.429993</v>
      </c>
      <c r="F544" s="11">
        <f t="shared" si="34"/>
        <v>209.60006113054612</v>
      </c>
      <c r="G544" s="11">
        <f t="shared" si="35"/>
        <v>201.25992486945387</v>
      </c>
    </row>
    <row r="545" spans="1:7" x14ac:dyDescent="0.25">
      <c r="A545" s="24">
        <v>42004</v>
      </c>
      <c r="B545" s="25">
        <v>205.53999300000001</v>
      </c>
      <c r="C545" s="11">
        <f t="shared" si="32"/>
        <v>202.9581251875</v>
      </c>
      <c r="D545" s="11">
        <f t="shared" si="33"/>
        <v>2.1867069927408238</v>
      </c>
      <c r="E545" s="25">
        <v>205.53999300000001</v>
      </c>
      <c r="F545" s="11">
        <f t="shared" si="34"/>
        <v>209.91340698548166</v>
      </c>
      <c r="G545" s="11">
        <f t="shared" si="35"/>
        <v>201.16657901451836</v>
      </c>
    </row>
    <row r="546" spans="1:7" x14ac:dyDescent="0.25">
      <c r="A546" s="24">
        <v>42003</v>
      </c>
      <c r="B546" s="25">
        <v>207.60000600000001</v>
      </c>
      <c r="C546" s="11">
        <f t="shared" si="32"/>
        <v>202.96374993750001</v>
      </c>
      <c r="D546" s="11">
        <f t="shared" si="33"/>
        <v>2.1936487434989047</v>
      </c>
      <c r="E546" s="25">
        <v>207.60000600000001</v>
      </c>
      <c r="F546" s="11">
        <f t="shared" si="34"/>
        <v>211.9873034869978</v>
      </c>
      <c r="G546" s="11">
        <f t="shared" si="35"/>
        <v>203.21270851300221</v>
      </c>
    </row>
    <row r="547" spans="1:7" x14ac:dyDescent="0.25">
      <c r="A547" s="24">
        <v>42002</v>
      </c>
      <c r="B547" s="25">
        <v>208.720001</v>
      </c>
      <c r="C547" s="11">
        <f t="shared" si="32"/>
        <v>203.12812525000001</v>
      </c>
      <c r="D547" s="11">
        <f t="shared" si="33"/>
        <v>2.4388377177848328</v>
      </c>
      <c r="E547" s="25">
        <v>208.720001</v>
      </c>
      <c r="F547" s="11">
        <f t="shared" si="34"/>
        <v>213.59767643556967</v>
      </c>
      <c r="G547" s="11">
        <f t="shared" si="35"/>
        <v>203.84232556443033</v>
      </c>
    </row>
    <row r="548" spans="1:7" x14ac:dyDescent="0.25">
      <c r="A548" s="24">
        <v>41999</v>
      </c>
      <c r="B548" s="25">
        <v>208.44000199999999</v>
      </c>
      <c r="C548" s="11">
        <f t="shared" si="32"/>
        <v>203.29187493750001</v>
      </c>
      <c r="D548" s="11">
        <f t="shared" si="33"/>
        <v>2.7230732277344876</v>
      </c>
      <c r="E548" s="25">
        <v>208.44000199999999</v>
      </c>
      <c r="F548" s="11">
        <f t="shared" si="34"/>
        <v>213.88614845546897</v>
      </c>
      <c r="G548" s="11">
        <f t="shared" si="35"/>
        <v>202.99385554453102</v>
      </c>
    </row>
    <row r="549" spans="1:7" x14ac:dyDescent="0.25">
      <c r="A549" s="24">
        <v>41997</v>
      </c>
      <c r="B549" s="25">
        <v>207.770004</v>
      </c>
      <c r="C549" s="11">
        <f t="shared" si="32"/>
        <v>203.62687493750002</v>
      </c>
      <c r="D549" s="11">
        <f t="shared" si="33"/>
        <v>3.009868647898827</v>
      </c>
      <c r="E549" s="25">
        <v>207.770004</v>
      </c>
      <c r="F549" s="11">
        <f t="shared" si="34"/>
        <v>213.78974129579765</v>
      </c>
      <c r="G549" s="11">
        <f t="shared" si="35"/>
        <v>201.75026670420235</v>
      </c>
    </row>
    <row r="550" spans="1:7" x14ac:dyDescent="0.25">
      <c r="A550" s="24">
        <v>41996</v>
      </c>
      <c r="B550" s="25">
        <v>207.75</v>
      </c>
      <c r="C550" s="11">
        <f t="shared" si="32"/>
        <v>203.98375031249998</v>
      </c>
      <c r="D550" s="11">
        <f t="shared" si="33"/>
        <v>3.1470864168076185</v>
      </c>
      <c r="E550" s="25">
        <v>207.75</v>
      </c>
      <c r="F550" s="11">
        <f t="shared" si="34"/>
        <v>214.04417283361525</v>
      </c>
      <c r="G550" s="11">
        <f t="shared" si="35"/>
        <v>201.45582716638475</v>
      </c>
    </row>
    <row r="551" spans="1:7" x14ac:dyDescent="0.25">
      <c r="A551" s="24">
        <v>41995</v>
      </c>
      <c r="B551" s="25">
        <v>207.470001</v>
      </c>
      <c r="C551" s="11">
        <f t="shared" si="32"/>
        <v>204.36624999999998</v>
      </c>
      <c r="D551" s="11">
        <f t="shared" si="33"/>
        <v>3.213159579606983</v>
      </c>
      <c r="E551" s="25">
        <v>207.470001</v>
      </c>
      <c r="F551" s="11">
        <f t="shared" si="34"/>
        <v>213.89632015921396</v>
      </c>
      <c r="G551" s="11">
        <f t="shared" si="35"/>
        <v>201.04368184078604</v>
      </c>
    </row>
    <row r="552" spans="1:7" x14ac:dyDescent="0.25">
      <c r="A552" s="24">
        <v>41992</v>
      </c>
      <c r="B552" s="25">
        <v>206.520004</v>
      </c>
      <c r="C552" s="11">
        <f t="shared" si="32"/>
        <v>204.89437481250002</v>
      </c>
      <c r="D552" s="11">
        <f t="shared" si="33"/>
        <v>2.9603399371979364</v>
      </c>
      <c r="E552" s="25">
        <v>206.520004</v>
      </c>
      <c r="F552" s="11">
        <f t="shared" si="34"/>
        <v>212.44068387439586</v>
      </c>
      <c r="G552" s="11">
        <f t="shared" si="35"/>
        <v>200.59932412560414</v>
      </c>
    </row>
    <row r="553" spans="1:7" x14ac:dyDescent="0.25">
      <c r="A553" s="24">
        <v>41991</v>
      </c>
      <c r="B553" s="25">
        <v>206.779999</v>
      </c>
      <c r="C553" s="11">
        <f t="shared" si="32"/>
        <v>205.24812500000002</v>
      </c>
      <c r="D553" s="11">
        <f t="shared" si="33"/>
        <v>2.7787102431440127</v>
      </c>
      <c r="E553" s="25">
        <v>206.779999</v>
      </c>
      <c r="F553" s="11">
        <f t="shared" si="34"/>
        <v>212.33741948628804</v>
      </c>
      <c r="G553" s="11">
        <f t="shared" si="35"/>
        <v>201.22257851371197</v>
      </c>
    </row>
    <row r="554" spans="1:7" x14ac:dyDescent="0.25">
      <c r="A554" s="24">
        <v>41990</v>
      </c>
      <c r="B554" s="25">
        <v>201.78999300000001</v>
      </c>
      <c r="C554" s="11">
        <f t="shared" si="32"/>
        <v>205.5418748125</v>
      </c>
      <c r="D554" s="11">
        <f t="shared" si="33"/>
        <v>2.6676765246377276</v>
      </c>
      <c r="E554" s="25">
        <v>201.78999300000001</v>
      </c>
      <c r="F554" s="11">
        <f t="shared" si="34"/>
        <v>207.12534604927546</v>
      </c>
      <c r="G554" s="11">
        <f t="shared" si="35"/>
        <v>196.45463995072456</v>
      </c>
    </row>
    <row r="555" spans="1:7" x14ac:dyDescent="0.25">
      <c r="A555" s="24">
        <v>41989</v>
      </c>
      <c r="B555" s="25">
        <v>197.91000399999999</v>
      </c>
      <c r="C555" s="11">
        <f t="shared" si="32"/>
        <v>205.48812475</v>
      </c>
      <c r="D555" s="11">
        <f t="shared" si="33"/>
        <v>2.7375766411835953</v>
      </c>
      <c r="E555" s="25">
        <v>197.91000399999999</v>
      </c>
      <c r="F555" s="11">
        <f t="shared" si="34"/>
        <v>203.38515728236717</v>
      </c>
      <c r="G555" s="11">
        <f t="shared" si="35"/>
        <v>192.4348507176328</v>
      </c>
    </row>
    <row r="556" spans="1:7" x14ac:dyDescent="0.25">
      <c r="A556" s="24">
        <v>41988</v>
      </c>
      <c r="B556" s="25">
        <v>199.509995</v>
      </c>
      <c r="C556" s="11">
        <f t="shared" si="32"/>
        <v>205.09187499999999</v>
      </c>
      <c r="D556" s="11">
        <f t="shared" si="33"/>
        <v>3.324631582299288</v>
      </c>
      <c r="E556" s="25">
        <v>199.509995</v>
      </c>
      <c r="F556" s="11">
        <f t="shared" si="34"/>
        <v>206.15925816459858</v>
      </c>
      <c r="G556" s="11">
        <f t="shared" si="35"/>
        <v>192.86073183540142</v>
      </c>
    </row>
    <row r="557" spans="1:7" x14ac:dyDescent="0.25">
      <c r="A557" s="24">
        <v>41985</v>
      </c>
      <c r="B557" s="25">
        <v>200.88999899999999</v>
      </c>
      <c r="C557" s="11">
        <f t="shared" si="32"/>
        <v>204.69250006249996</v>
      </c>
      <c r="D557" s="11">
        <f t="shared" si="33"/>
        <v>3.5939759778024576</v>
      </c>
      <c r="E557" s="25">
        <v>200.88999899999999</v>
      </c>
      <c r="F557" s="11">
        <f t="shared" si="34"/>
        <v>208.0779509556049</v>
      </c>
      <c r="G557" s="11">
        <f t="shared" si="35"/>
        <v>193.70204704439507</v>
      </c>
    </row>
    <row r="558" spans="1:7" x14ac:dyDescent="0.25">
      <c r="A558" s="24">
        <v>41984</v>
      </c>
      <c r="B558" s="25">
        <v>204.19000199999999</v>
      </c>
      <c r="C558" s="11">
        <f t="shared" si="32"/>
        <v>204.60375012499998</v>
      </c>
      <c r="D558" s="11">
        <f t="shared" si="33"/>
        <v>3.6733873864623812</v>
      </c>
      <c r="E558" s="25">
        <v>204.19000199999999</v>
      </c>
      <c r="F558" s="11">
        <f t="shared" si="34"/>
        <v>211.53677677292475</v>
      </c>
      <c r="G558" s="11">
        <f t="shared" si="35"/>
        <v>196.84322722707523</v>
      </c>
    </row>
    <row r="559" spans="1:7" x14ac:dyDescent="0.25">
      <c r="A559" s="24">
        <v>41983</v>
      </c>
      <c r="B559" s="25">
        <v>203.16000399999999</v>
      </c>
      <c r="C559" s="11">
        <f t="shared" si="32"/>
        <v>204.87687481249995</v>
      </c>
      <c r="D559" s="11">
        <f t="shared" si="33"/>
        <v>3.4496382329312794</v>
      </c>
      <c r="E559" s="25">
        <v>203.16000399999999</v>
      </c>
      <c r="F559" s="11">
        <f t="shared" si="34"/>
        <v>210.05928046586254</v>
      </c>
      <c r="G559" s="11">
        <f t="shared" si="35"/>
        <v>196.26072753413743</v>
      </c>
    </row>
    <row r="560" spans="1:7" x14ac:dyDescent="0.25">
      <c r="A560" s="24">
        <v>41982</v>
      </c>
      <c r="B560" s="25">
        <v>206.470001</v>
      </c>
      <c r="C560" s="11">
        <f t="shared" si="32"/>
        <v>204.96687499999993</v>
      </c>
      <c r="D560" s="11">
        <f t="shared" si="33"/>
        <v>3.3798644119775396</v>
      </c>
      <c r="E560" s="25">
        <v>206.470001</v>
      </c>
      <c r="F560" s="11">
        <f t="shared" si="34"/>
        <v>213.22972982395507</v>
      </c>
      <c r="G560" s="11">
        <f t="shared" si="35"/>
        <v>199.71027217604492</v>
      </c>
    </row>
    <row r="561" spans="1:7" x14ac:dyDescent="0.25">
      <c r="A561" s="24">
        <v>41981</v>
      </c>
      <c r="B561" s="25">
        <v>206.61000100000001</v>
      </c>
      <c r="C561" s="11">
        <f t="shared" si="32"/>
        <v>205.03187549999996</v>
      </c>
      <c r="D561" s="11">
        <f t="shared" si="33"/>
        <v>3.3993093425991914</v>
      </c>
      <c r="E561" s="25">
        <v>206.61000100000001</v>
      </c>
      <c r="F561" s="11">
        <f t="shared" si="34"/>
        <v>213.4086196851984</v>
      </c>
      <c r="G561" s="11">
        <f t="shared" si="35"/>
        <v>199.81138231480162</v>
      </c>
    </row>
    <row r="562" spans="1:7" x14ac:dyDescent="0.25">
      <c r="A562" s="24">
        <v>41978</v>
      </c>
      <c r="B562" s="25">
        <v>208</v>
      </c>
      <c r="C562" s="11">
        <f t="shared" si="32"/>
        <v>205.09875099999999</v>
      </c>
      <c r="D562" s="11">
        <f t="shared" si="33"/>
        <v>3.4204317415610199</v>
      </c>
      <c r="E562" s="25">
        <v>208</v>
      </c>
      <c r="F562" s="11">
        <f t="shared" si="34"/>
        <v>214.84086348312204</v>
      </c>
      <c r="G562" s="11">
        <f t="shared" si="35"/>
        <v>201.15913651687796</v>
      </c>
    </row>
    <row r="563" spans="1:7" x14ac:dyDescent="0.25">
      <c r="A563" s="24">
        <v>41977</v>
      </c>
      <c r="B563" s="25">
        <v>207.66000399999999</v>
      </c>
      <c r="C563" s="11">
        <f t="shared" si="32"/>
        <v>205.12375062499999</v>
      </c>
      <c r="D563" s="11">
        <f t="shared" si="33"/>
        <v>3.4413298685745111</v>
      </c>
      <c r="E563" s="25">
        <v>207.66000399999999</v>
      </c>
      <c r="F563" s="11">
        <f t="shared" si="34"/>
        <v>214.54266373714901</v>
      </c>
      <c r="G563" s="11">
        <f t="shared" si="35"/>
        <v>200.77734426285096</v>
      </c>
    </row>
    <row r="564" spans="1:7" x14ac:dyDescent="0.25">
      <c r="A564" s="24">
        <v>41976</v>
      </c>
      <c r="B564" s="25">
        <v>207.88999899999999</v>
      </c>
      <c r="C564" s="11">
        <f t="shared" si="32"/>
        <v>205.0575008125</v>
      </c>
      <c r="D564" s="11">
        <f t="shared" si="33"/>
        <v>3.3770856151930428</v>
      </c>
      <c r="E564" s="25">
        <v>207.88999899999999</v>
      </c>
      <c r="F564" s="11">
        <f t="shared" si="34"/>
        <v>214.64417023038607</v>
      </c>
      <c r="G564" s="11">
        <f t="shared" si="35"/>
        <v>201.13582776961391</v>
      </c>
    </row>
    <row r="565" spans="1:7" x14ac:dyDescent="0.25">
      <c r="A565" s="24">
        <v>41975</v>
      </c>
      <c r="B565" s="25">
        <v>207.08999600000001</v>
      </c>
      <c r="C565" s="11">
        <f t="shared" si="32"/>
        <v>205.02312562500001</v>
      </c>
      <c r="D565" s="11">
        <f t="shared" si="33"/>
        <v>3.3429870278705129</v>
      </c>
      <c r="E565" s="25">
        <v>207.08999600000001</v>
      </c>
      <c r="F565" s="11">
        <f t="shared" si="34"/>
        <v>213.77597005574103</v>
      </c>
      <c r="G565" s="11">
        <f t="shared" si="35"/>
        <v>200.404021944259</v>
      </c>
    </row>
    <row r="566" spans="1:7" x14ac:dyDescent="0.25">
      <c r="A566" s="24">
        <v>41974</v>
      </c>
      <c r="B566" s="25">
        <v>205.759995</v>
      </c>
      <c r="C566" s="11">
        <f t="shared" si="32"/>
        <v>204.98062512500002</v>
      </c>
      <c r="D566" s="11">
        <f t="shared" si="33"/>
        <v>3.3098957253229186</v>
      </c>
      <c r="E566" s="25">
        <v>205.759995</v>
      </c>
      <c r="F566" s="11">
        <f t="shared" si="34"/>
        <v>212.37978645064584</v>
      </c>
      <c r="G566" s="11">
        <f t="shared" si="35"/>
        <v>199.14020354935417</v>
      </c>
    </row>
    <row r="567" spans="1:7" x14ac:dyDescent="0.25">
      <c r="A567" s="24">
        <v>41971</v>
      </c>
      <c r="B567" s="25">
        <v>207.199997</v>
      </c>
      <c r="C567" s="11">
        <f t="shared" si="32"/>
        <v>204.85624981250001</v>
      </c>
      <c r="D567" s="11">
        <f t="shared" si="33"/>
        <v>3.2354455478618775</v>
      </c>
      <c r="E567" s="25">
        <v>207.199997</v>
      </c>
      <c r="F567" s="11">
        <f t="shared" si="34"/>
        <v>213.67088809572374</v>
      </c>
      <c r="G567" s="11">
        <f t="shared" si="35"/>
        <v>200.72910590427625</v>
      </c>
    </row>
    <row r="568" spans="1:7" x14ac:dyDescent="0.25">
      <c r="A568" s="24">
        <v>41969</v>
      </c>
      <c r="B568" s="25">
        <v>207.63999899999999</v>
      </c>
      <c r="C568" s="11">
        <f t="shared" si="32"/>
        <v>204.83937456249998</v>
      </c>
      <c r="D568" s="11">
        <f t="shared" si="33"/>
        <v>3.2215784704752428</v>
      </c>
      <c r="E568" s="25">
        <v>207.63999899999999</v>
      </c>
      <c r="F568" s="11">
        <f t="shared" si="34"/>
        <v>214.08315594095046</v>
      </c>
      <c r="G568" s="11">
        <f t="shared" si="35"/>
        <v>201.19684205904952</v>
      </c>
    </row>
    <row r="569" spans="1:7" x14ac:dyDescent="0.25">
      <c r="A569" s="24">
        <v>41968</v>
      </c>
      <c r="B569" s="25">
        <v>207.11000100000001</v>
      </c>
      <c r="C569" s="11">
        <f t="shared" si="32"/>
        <v>204.90937425000001</v>
      </c>
      <c r="D569" s="11">
        <f t="shared" si="33"/>
        <v>3.2722988887037108</v>
      </c>
      <c r="E569" s="25">
        <v>207.11000100000001</v>
      </c>
      <c r="F569" s="11">
        <f t="shared" si="34"/>
        <v>213.65459877740744</v>
      </c>
      <c r="G569" s="11">
        <f t="shared" si="35"/>
        <v>200.56540322259258</v>
      </c>
    </row>
    <row r="570" spans="1:7" x14ac:dyDescent="0.25">
      <c r="A570" s="24">
        <v>41967</v>
      </c>
      <c r="B570" s="25">
        <v>207.259995</v>
      </c>
      <c r="C570" s="11">
        <f t="shared" si="32"/>
        <v>204.92999937500002</v>
      </c>
      <c r="D570" s="11">
        <f t="shared" si="33"/>
        <v>3.2858871461669317</v>
      </c>
      <c r="E570" s="25">
        <v>207.259995</v>
      </c>
      <c r="F570" s="11">
        <f t="shared" si="34"/>
        <v>213.83176929233386</v>
      </c>
      <c r="G570" s="11">
        <f t="shared" si="35"/>
        <v>200.68822070766615</v>
      </c>
    </row>
    <row r="571" spans="1:7" x14ac:dyDescent="0.25">
      <c r="A571" s="24">
        <v>41964</v>
      </c>
      <c r="B571" s="25">
        <v>206.679993</v>
      </c>
      <c r="C571" s="11">
        <f t="shared" si="32"/>
        <v>205.2718745</v>
      </c>
      <c r="D571" s="11">
        <f t="shared" si="33"/>
        <v>3.2213350960965892</v>
      </c>
      <c r="E571" s="25">
        <v>206.679993</v>
      </c>
      <c r="F571" s="11">
        <f t="shared" si="34"/>
        <v>213.12266319219319</v>
      </c>
      <c r="G571" s="11">
        <f t="shared" si="35"/>
        <v>200.23732280780681</v>
      </c>
    </row>
    <row r="572" spans="1:7" x14ac:dyDescent="0.25">
      <c r="A572" s="24">
        <v>41963</v>
      </c>
      <c r="B572" s="25">
        <v>205.58000200000001</v>
      </c>
      <c r="C572" s="11">
        <f t="shared" si="32"/>
        <v>205.81999881250002</v>
      </c>
      <c r="D572" s="11">
        <f t="shared" si="33"/>
        <v>2.5642882479701652</v>
      </c>
      <c r="E572" s="25">
        <v>205.58000200000001</v>
      </c>
      <c r="F572" s="11">
        <f t="shared" si="34"/>
        <v>210.70857849594034</v>
      </c>
      <c r="G572" s="11">
        <f t="shared" si="35"/>
        <v>200.45142550405967</v>
      </c>
    </row>
    <row r="573" spans="1:7" x14ac:dyDescent="0.25">
      <c r="A573" s="24">
        <v>41962</v>
      </c>
      <c r="B573" s="25">
        <v>205.220001</v>
      </c>
      <c r="C573" s="11">
        <f t="shared" si="32"/>
        <v>206.19937425000003</v>
      </c>
      <c r="D573" s="11">
        <f t="shared" si="33"/>
        <v>1.9420307597145343</v>
      </c>
      <c r="E573" s="25">
        <v>205.220001</v>
      </c>
      <c r="F573" s="11">
        <f t="shared" si="34"/>
        <v>209.10406251942908</v>
      </c>
      <c r="G573" s="11">
        <f t="shared" si="35"/>
        <v>201.33593948057091</v>
      </c>
    </row>
    <row r="574" spans="1:7" x14ac:dyDescent="0.25">
      <c r="A574" s="24">
        <v>41961</v>
      </c>
      <c r="B574" s="25">
        <v>205.550003</v>
      </c>
      <c r="C574" s="11">
        <f t="shared" si="32"/>
        <v>206.46999937500004</v>
      </c>
      <c r="D574" s="11">
        <f t="shared" si="33"/>
        <v>1.3704050778307317</v>
      </c>
      <c r="E574" s="25">
        <v>205.550003</v>
      </c>
      <c r="F574" s="11">
        <f t="shared" si="34"/>
        <v>208.29081315566145</v>
      </c>
      <c r="G574" s="11">
        <f t="shared" si="35"/>
        <v>202.80919284433855</v>
      </c>
    </row>
    <row r="575" spans="1:7" x14ac:dyDescent="0.25">
      <c r="A575" s="24">
        <v>41960</v>
      </c>
      <c r="B575" s="25">
        <v>204.36999499999999</v>
      </c>
      <c r="C575" s="11">
        <f t="shared" si="32"/>
        <v>206.55499943750002</v>
      </c>
      <c r="D575" s="11">
        <f t="shared" si="33"/>
        <v>1.2570482963453169</v>
      </c>
      <c r="E575" s="25">
        <v>204.36999499999999</v>
      </c>
      <c r="F575" s="11">
        <f t="shared" si="34"/>
        <v>206.88409159269062</v>
      </c>
      <c r="G575" s="11">
        <f t="shared" si="35"/>
        <v>201.85589840730935</v>
      </c>
    </row>
    <row r="576" spans="1:7" x14ac:dyDescent="0.25">
      <c r="A576" s="24">
        <v>41957</v>
      </c>
      <c r="B576" s="25">
        <v>204.240005</v>
      </c>
      <c r="C576" s="11">
        <f t="shared" si="32"/>
        <v>206.630623875</v>
      </c>
      <c r="D576" s="11">
        <f t="shared" si="33"/>
        <v>1.0601667093013791</v>
      </c>
      <c r="E576" s="25">
        <v>204.240005</v>
      </c>
      <c r="F576" s="11">
        <f t="shared" si="34"/>
        <v>206.36033841860277</v>
      </c>
      <c r="G576" s="11">
        <f t="shared" si="35"/>
        <v>202.11967158139723</v>
      </c>
    </row>
    <row r="577" spans="1:7" x14ac:dyDescent="0.25">
      <c r="A577" s="24">
        <v>41956</v>
      </c>
      <c r="B577" s="25">
        <v>204.19000199999999</v>
      </c>
      <c r="C577" s="11">
        <f t="shared" si="32"/>
        <v>206.49124912500002</v>
      </c>
      <c r="D577" s="11">
        <f t="shared" si="33"/>
        <v>1.2175865618836781</v>
      </c>
      <c r="E577" s="25">
        <v>204.19000199999999</v>
      </c>
      <c r="F577" s="11">
        <f t="shared" si="34"/>
        <v>206.62517512376735</v>
      </c>
      <c r="G577" s="11">
        <f t="shared" si="35"/>
        <v>201.75482887623264</v>
      </c>
    </row>
    <row r="578" spans="1:7" x14ac:dyDescent="0.25">
      <c r="A578" s="24">
        <v>41955</v>
      </c>
      <c r="B578" s="25">
        <v>203.96000699999999</v>
      </c>
      <c r="C578" s="11">
        <f t="shared" si="32"/>
        <v>206.33999918750001</v>
      </c>
      <c r="D578" s="11">
        <f t="shared" si="33"/>
        <v>1.3454458284697666</v>
      </c>
      <c r="E578" s="25">
        <v>203.96000699999999</v>
      </c>
      <c r="F578" s="11">
        <f t="shared" si="34"/>
        <v>206.65089865693952</v>
      </c>
      <c r="G578" s="11">
        <f t="shared" si="35"/>
        <v>201.26911534306046</v>
      </c>
    </row>
    <row r="579" spans="1:7" x14ac:dyDescent="0.25">
      <c r="A579" s="24">
        <v>41954</v>
      </c>
      <c r="B579" s="25">
        <v>204.179993</v>
      </c>
      <c r="C579" s="11">
        <f t="shared" si="32"/>
        <v>206.08749962499999</v>
      </c>
      <c r="D579" s="11">
        <f t="shared" si="33"/>
        <v>1.3914508210319614</v>
      </c>
      <c r="E579" s="25">
        <v>204.179993</v>
      </c>
      <c r="F579" s="11">
        <f t="shared" si="34"/>
        <v>206.96289464206393</v>
      </c>
      <c r="G579" s="11">
        <f t="shared" si="35"/>
        <v>201.39709135793606</v>
      </c>
    </row>
    <row r="580" spans="1:7" x14ac:dyDescent="0.25">
      <c r="A580" s="24">
        <v>41953</v>
      </c>
      <c r="B580" s="25">
        <v>203.979996</v>
      </c>
      <c r="C580" s="11">
        <f t="shared" si="32"/>
        <v>205.86999893750001</v>
      </c>
      <c r="D580" s="11">
        <f t="shared" si="33"/>
        <v>1.4012122737181312</v>
      </c>
      <c r="E580" s="25">
        <v>203.979996</v>
      </c>
      <c r="F580" s="11">
        <f t="shared" si="34"/>
        <v>206.78242054743626</v>
      </c>
      <c r="G580" s="11">
        <f t="shared" si="35"/>
        <v>201.17757145256374</v>
      </c>
    </row>
    <row r="581" spans="1:7" x14ac:dyDescent="0.25">
      <c r="A581" s="24">
        <v>41950</v>
      </c>
      <c r="B581" s="25">
        <v>203.33999600000001</v>
      </c>
      <c r="C581" s="11">
        <f t="shared" si="32"/>
        <v>205.62562375000002</v>
      </c>
      <c r="D581" s="11">
        <f t="shared" si="33"/>
        <v>1.3659463306997857</v>
      </c>
      <c r="E581" s="25">
        <v>203.33999600000001</v>
      </c>
      <c r="F581" s="11">
        <f t="shared" si="34"/>
        <v>206.07188866139958</v>
      </c>
      <c r="G581" s="11">
        <f t="shared" si="35"/>
        <v>200.60810333860044</v>
      </c>
    </row>
    <row r="582" spans="1:7" x14ac:dyDescent="0.25">
      <c r="A582" s="24">
        <v>41949</v>
      </c>
      <c r="B582" s="25">
        <v>203.14999399999999</v>
      </c>
      <c r="C582" s="11">
        <f t="shared" si="32"/>
        <v>205.39124875000002</v>
      </c>
      <c r="D582" s="11">
        <f t="shared" si="33"/>
        <v>1.4186364944383041</v>
      </c>
      <c r="E582" s="25">
        <v>203.14999399999999</v>
      </c>
      <c r="F582" s="11">
        <f t="shared" si="34"/>
        <v>205.9872669888766</v>
      </c>
      <c r="G582" s="11">
        <f t="shared" si="35"/>
        <v>200.31272101112339</v>
      </c>
    </row>
    <row r="583" spans="1:7" x14ac:dyDescent="0.25">
      <c r="A583" s="24">
        <v>41948</v>
      </c>
      <c r="B583" s="25">
        <v>202.33999600000001</v>
      </c>
      <c r="C583" s="11">
        <f t="shared" si="32"/>
        <v>205.22812368750002</v>
      </c>
      <c r="D583" s="11">
        <f t="shared" si="33"/>
        <v>1.5198560245747288</v>
      </c>
      <c r="E583" s="25">
        <v>202.33999600000001</v>
      </c>
      <c r="F583" s="11">
        <f t="shared" si="34"/>
        <v>205.37970804914949</v>
      </c>
      <c r="G583" s="11">
        <f t="shared" si="35"/>
        <v>199.30028395085054</v>
      </c>
    </row>
    <row r="584" spans="1:7" x14ac:dyDescent="0.25">
      <c r="A584" s="24">
        <v>41947</v>
      </c>
      <c r="B584" s="25">
        <v>201.070007</v>
      </c>
      <c r="C584" s="11">
        <f t="shared" si="32"/>
        <v>204.92437362500002</v>
      </c>
      <c r="D584" s="11">
        <f t="shared" si="33"/>
        <v>1.583797264020782</v>
      </c>
      <c r="E584" s="25">
        <v>201.070007</v>
      </c>
      <c r="F584" s="11">
        <f t="shared" si="34"/>
        <v>204.23760152804158</v>
      </c>
      <c r="G584" s="11">
        <f t="shared" si="35"/>
        <v>197.90241247195843</v>
      </c>
    </row>
    <row r="585" spans="1:7" x14ac:dyDescent="0.25">
      <c r="A585" s="24">
        <v>41946</v>
      </c>
      <c r="B585" s="25">
        <v>201.770004</v>
      </c>
      <c r="C585" s="11">
        <f t="shared" si="32"/>
        <v>204.513749125</v>
      </c>
      <c r="D585" s="11">
        <f t="shared" si="33"/>
        <v>1.6814661821430676</v>
      </c>
      <c r="E585" s="25">
        <v>201.770004</v>
      </c>
      <c r="F585" s="11">
        <f t="shared" si="34"/>
        <v>205.13293636428614</v>
      </c>
      <c r="G585" s="11">
        <f t="shared" si="35"/>
        <v>198.40707163571386</v>
      </c>
    </row>
    <row r="586" spans="1:7" x14ac:dyDescent="0.25">
      <c r="A586" s="24">
        <v>41943</v>
      </c>
      <c r="B586" s="25">
        <v>201.66000399999999</v>
      </c>
      <c r="C586" s="11">
        <f t="shared" si="32"/>
        <v>204.1799993125</v>
      </c>
      <c r="D586" s="11">
        <f t="shared" si="33"/>
        <v>1.661632096070635</v>
      </c>
      <c r="E586" s="25">
        <v>201.66000399999999</v>
      </c>
      <c r="F586" s="11">
        <f t="shared" si="34"/>
        <v>204.98326819214125</v>
      </c>
      <c r="G586" s="11">
        <f t="shared" si="35"/>
        <v>198.33673980785872</v>
      </c>
    </row>
    <row r="587" spans="1:7" x14ac:dyDescent="0.25">
      <c r="A587" s="24">
        <v>41942</v>
      </c>
      <c r="B587" s="25">
        <v>199.38000500000001</v>
      </c>
      <c r="C587" s="11">
        <f t="shared" si="32"/>
        <v>203.82999987499997</v>
      </c>
      <c r="D587" s="11">
        <f t="shared" si="33"/>
        <v>1.5560490048062907</v>
      </c>
      <c r="E587" s="25">
        <v>199.38000500000001</v>
      </c>
      <c r="F587" s="11">
        <f t="shared" si="34"/>
        <v>202.49210300961261</v>
      </c>
      <c r="G587" s="11">
        <f t="shared" si="35"/>
        <v>196.26790699038742</v>
      </c>
    </row>
    <row r="588" spans="1:7" x14ac:dyDescent="0.25">
      <c r="A588" s="24">
        <v>41941</v>
      </c>
      <c r="B588" s="25">
        <v>198.11000100000001</v>
      </c>
      <c r="C588" s="11">
        <f t="shared" si="32"/>
        <v>203.37375062499999</v>
      </c>
      <c r="D588" s="11">
        <f t="shared" si="33"/>
        <v>1.7256632948009611</v>
      </c>
      <c r="E588" s="25">
        <v>198.11000100000001</v>
      </c>
      <c r="F588" s="11">
        <f t="shared" si="34"/>
        <v>201.56132758960194</v>
      </c>
      <c r="G588" s="11">
        <f t="shared" si="35"/>
        <v>194.65867441039808</v>
      </c>
    </row>
    <row r="589" spans="1:7" x14ac:dyDescent="0.25">
      <c r="A589" s="24">
        <v>41940</v>
      </c>
      <c r="B589" s="25">
        <v>198.41000399999999</v>
      </c>
      <c r="C589" s="11">
        <f t="shared" si="32"/>
        <v>202.90687556249998</v>
      </c>
      <c r="D589" s="11">
        <f t="shared" si="33"/>
        <v>2.0659245695587511</v>
      </c>
      <c r="E589" s="25">
        <v>198.41000399999999</v>
      </c>
      <c r="F589" s="11">
        <f t="shared" si="34"/>
        <v>202.54185313911748</v>
      </c>
      <c r="G589" s="11">
        <f t="shared" si="35"/>
        <v>194.27815486088249</v>
      </c>
    </row>
    <row r="590" spans="1:7" x14ac:dyDescent="0.25">
      <c r="A590" s="24">
        <v>41939</v>
      </c>
      <c r="B590" s="25">
        <v>196.16000399999999</v>
      </c>
      <c r="C590" s="11">
        <f t="shared" si="32"/>
        <v>202.48125074999999</v>
      </c>
      <c r="D590" s="11">
        <f t="shared" si="33"/>
        <v>2.2508289698147341</v>
      </c>
      <c r="E590" s="25">
        <v>196.16000399999999</v>
      </c>
      <c r="F590" s="11">
        <f t="shared" si="34"/>
        <v>200.66166193962945</v>
      </c>
      <c r="G590" s="11">
        <f t="shared" si="35"/>
        <v>191.65834606037052</v>
      </c>
    </row>
    <row r="591" spans="1:7" x14ac:dyDescent="0.25">
      <c r="A591" s="24">
        <v>41936</v>
      </c>
      <c r="B591" s="25">
        <v>196.429993</v>
      </c>
      <c r="C591" s="11">
        <f t="shared" si="32"/>
        <v>201.89437581249996</v>
      </c>
      <c r="D591" s="11">
        <f t="shared" si="33"/>
        <v>2.5951702679736246</v>
      </c>
      <c r="E591" s="25">
        <v>196.429993</v>
      </c>
      <c r="F591" s="11">
        <f t="shared" si="34"/>
        <v>201.62033353594725</v>
      </c>
      <c r="G591" s="11">
        <f t="shared" si="35"/>
        <v>191.23965246405274</v>
      </c>
    </row>
    <row r="592" spans="1:7" x14ac:dyDescent="0.25">
      <c r="A592" s="24">
        <v>41935</v>
      </c>
      <c r="B592" s="25">
        <v>194.929993</v>
      </c>
      <c r="C592" s="11">
        <f t="shared" si="32"/>
        <v>201.39812568749997</v>
      </c>
      <c r="D592" s="11">
        <f t="shared" si="33"/>
        <v>2.8380062599372056</v>
      </c>
      <c r="E592" s="25">
        <v>194.929993</v>
      </c>
      <c r="F592" s="11">
        <f t="shared" si="34"/>
        <v>200.6060055198744</v>
      </c>
      <c r="G592" s="11">
        <f t="shared" si="35"/>
        <v>189.25398048012559</v>
      </c>
    </row>
    <row r="593" spans="1:7" x14ac:dyDescent="0.25">
      <c r="A593" s="24">
        <v>41934</v>
      </c>
      <c r="B593" s="25">
        <v>192.69000199999999</v>
      </c>
      <c r="C593" s="11">
        <f t="shared" si="32"/>
        <v>200.8162499375</v>
      </c>
      <c r="D593" s="11">
        <f t="shared" si="33"/>
        <v>3.1533832116519238</v>
      </c>
      <c r="E593" s="25">
        <v>192.69000199999999</v>
      </c>
      <c r="F593" s="11">
        <f t="shared" si="34"/>
        <v>198.99676842330385</v>
      </c>
      <c r="G593" s="11">
        <f t="shared" si="35"/>
        <v>186.38323557669614</v>
      </c>
    </row>
    <row r="594" spans="1:7" x14ac:dyDescent="0.25">
      <c r="A594" s="24">
        <v>41933</v>
      </c>
      <c r="B594" s="25">
        <v>194.070007</v>
      </c>
      <c r="C594" s="11">
        <f t="shared" si="32"/>
        <v>200.0974999375</v>
      </c>
      <c r="D594" s="11">
        <f t="shared" si="33"/>
        <v>3.6105905588552791</v>
      </c>
      <c r="E594" s="25">
        <v>194.070007</v>
      </c>
      <c r="F594" s="11">
        <f t="shared" si="34"/>
        <v>201.29118811771056</v>
      </c>
      <c r="G594" s="11">
        <f t="shared" si="35"/>
        <v>186.84882588228945</v>
      </c>
    </row>
    <row r="595" spans="1:7" x14ac:dyDescent="0.25">
      <c r="A595" s="24">
        <v>41932</v>
      </c>
      <c r="B595" s="25">
        <v>190.300003</v>
      </c>
      <c r="C595" s="11">
        <f t="shared" si="32"/>
        <v>199.47937493749998</v>
      </c>
      <c r="D595" s="11">
        <f t="shared" si="33"/>
        <v>3.7491680571310142</v>
      </c>
      <c r="E595" s="25">
        <v>190.300003</v>
      </c>
      <c r="F595" s="11">
        <f t="shared" si="34"/>
        <v>197.79833911426203</v>
      </c>
      <c r="G595" s="11">
        <f t="shared" si="35"/>
        <v>182.80166688573797</v>
      </c>
    </row>
    <row r="596" spans="1:7" x14ac:dyDescent="0.25">
      <c r="A596" s="24">
        <v>41929</v>
      </c>
      <c r="B596" s="25">
        <v>188.470001</v>
      </c>
      <c r="C596" s="11">
        <f t="shared" ref="C596:C659" si="36">AVERAGE(B580:B595)</f>
        <v>198.61187556250002</v>
      </c>
      <c r="D596" s="11">
        <f t="shared" ref="D596:D659" si="37">_xlfn.STDEV.S(B580:B595)</f>
        <v>4.1710757457889134</v>
      </c>
      <c r="E596" s="25">
        <v>188.470001</v>
      </c>
      <c r="F596" s="11">
        <f t="shared" ref="F596:F659" si="38">B596+2*D596</f>
        <v>196.81215249157782</v>
      </c>
      <c r="G596" s="11">
        <f t="shared" ref="G596:G659" si="39">B596-2*D596</f>
        <v>180.12784950842217</v>
      </c>
    </row>
    <row r="597" spans="1:7" x14ac:dyDescent="0.25">
      <c r="A597" s="24">
        <v>41928</v>
      </c>
      <c r="B597" s="25">
        <v>186.270004</v>
      </c>
      <c r="C597" s="11">
        <f t="shared" si="36"/>
        <v>197.642500875</v>
      </c>
      <c r="D597" s="11">
        <f t="shared" si="37"/>
        <v>4.6186145051689547</v>
      </c>
      <c r="E597" s="25">
        <v>186.270004</v>
      </c>
      <c r="F597" s="11">
        <f t="shared" si="38"/>
        <v>195.5072330103379</v>
      </c>
      <c r="G597" s="11">
        <f t="shared" si="39"/>
        <v>177.0327749896621</v>
      </c>
    </row>
    <row r="598" spans="1:7" x14ac:dyDescent="0.25">
      <c r="A598" s="24">
        <v>41927</v>
      </c>
      <c r="B598" s="25">
        <v>186.429993</v>
      </c>
      <c r="C598" s="11">
        <f t="shared" si="36"/>
        <v>196.57562637499998</v>
      </c>
      <c r="D598" s="11">
        <f t="shared" si="37"/>
        <v>5.1551572527120051</v>
      </c>
      <c r="E598" s="25">
        <v>186.429993</v>
      </c>
      <c r="F598" s="11">
        <f t="shared" si="38"/>
        <v>196.740307505424</v>
      </c>
      <c r="G598" s="11">
        <f t="shared" si="39"/>
        <v>176.11967849457599</v>
      </c>
    </row>
    <row r="599" spans="1:7" x14ac:dyDescent="0.25">
      <c r="A599" s="24">
        <v>41926</v>
      </c>
      <c r="B599" s="25">
        <v>187.699997</v>
      </c>
      <c r="C599" s="11">
        <f t="shared" si="36"/>
        <v>195.5306263125</v>
      </c>
      <c r="D599" s="11">
        <f t="shared" si="37"/>
        <v>5.4214011677431611</v>
      </c>
      <c r="E599" s="25">
        <v>187.699997</v>
      </c>
      <c r="F599" s="11">
        <f t="shared" si="38"/>
        <v>198.54279933548631</v>
      </c>
      <c r="G599" s="11">
        <f t="shared" si="39"/>
        <v>176.85719466451368</v>
      </c>
    </row>
    <row r="600" spans="1:7" x14ac:dyDescent="0.25">
      <c r="A600" s="24">
        <v>41925</v>
      </c>
      <c r="B600" s="25">
        <v>187.41000399999999</v>
      </c>
      <c r="C600" s="11">
        <f t="shared" si="36"/>
        <v>194.61562637500001</v>
      </c>
      <c r="D600" s="11">
        <f t="shared" si="37"/>
        <v>5.4309575646954675</v>
      </c>
      <c r="E600" s="25">
        <v>187.41000399999999</v>
      </c>
      <c r="F600" s="11">
        <f t="shared" si="38"/>
        <v>198.27191912939091</v>
      </c>
      <c r="G600" s="11">
        <f t="shared" si="39"/>
        <v>176.54808887060906</v>
      </c>
    </row>
    <row r="601" spans="1:7" x14ac:dyDescent="0.25">
      <c r="A601" s="24">
        <v>41922</v>
      </c>
      <c r="B601" s="25">
        <v>190.53999300000001</v>
      </c>
      <c r="C601" s="11">
        <f t="shared" si="36"/>
        <v>193.76187618750001</v>
      </c>
      <c r="D601" s="11">
        <f t="shared" si="37"/>
        <v>5.4223564095269419</v>
      </c>
      <c r="E601" s="25">
        <v>190.53999300000001</v>
      </c>
      <c r="F601" s="11">
        <f t="shared" si="38"/>
        <v>201.38470581905389</v>
      </c>
      <c r="G601" s="11">
        <f t="shared" si="39"/>
        <v>179.69528018094613</v>
      </c>
    </row>
    <row r="602" spans="1:7" x14ac:dyDescent="0.25">
      <c r="A602" s="24">
        <v>41921</v>
      </c>
      <c r="B602" s="25">
        <v>192.740005</v>
      </c>
      <c r="C602" s="11">
        <f t="shared" si="36"/>
        <v>193.0600005</v>
      </c>
      <c r="D602" s="11">
        <f t="shared" si="37"/>
        <v>5.0292317769905308</v>
      </c>
      <c r="E602" s="25">
        <v>192.740005</v>
      </c>
      <c r="F602" s="11">
        <f t="shared" si="38"/>
        <v>202.79846855398105</v>
      </c>
      <c r="G602" s="11">
        <f t="shared" si="39"/>
        <v>182.68154144601894</v>
      </c>
    </row>
    <row r="603" spans="1:7" x14ac:dyDescent="0.25">
      <c r="A603" s="24">
        <v>41920</v>
      </c>
      <c r="B603" s="25">
        <v>196.63999899999999</v>
      </c>
      <c r="C603" s="11">
        <f t="shared" si="36"/>
        <v>192.50250056250002</v>
      </c>
      <c r="D603" s="11">
        <f t="shared" si="37"/>
        <v>4.4763602925842791</v>
      </c>
      <c r="E603" s="25">
        <v>196.63999899999999</v>
      </c>
      <c r="F603" s="11">
        <f t="shared" si="38"/>
        <v>205.59271958516854</v>
      </c>
      <c r="G603" s="11">
        <f t="shared" si="39"/>
        <v>187.68727841483144</v>
      </c>
    </row>
    <row r="604" spans="1:7" x14ac:dyDescent="0.25">
      <c r="A604" s="24">
        <v>41919</v>
      </c>
      <c r="B604" s="25">
        <v>193.259995</v>
      </c>
      <c r="C604" s="11">
        <f t="shared" si="36"/>
        <v>192.33125018749999</v>
      </c>
      <c r="D604" s="11">
        <f t="shared" si="37"/>
        <v>4.2419855493456389</v>
      </c>
      <c r="E604" s="25">
        <v>193.259995</v>
      </c>
      <c r="F604" s="11">
        <f t="shared" si="38"/>
        <v>201.74396609869129</v>
      </c>
      <c r="G604" s="11">
        <f t="shared" si="39"/>
        <v>184.77602390130872</v>
      </c>
    </row>
    <row r="605" spans="1:7" x14ac:dyDescent="0.25">
      <c r="A605" s="24">
        <v>41918</v>
      </c>
      <c r="B605" s="25">
        <v>196.28999300000001</v>
      </c>
      <c r="C605" s="11">
        <f t="shared" si="36"/>
        <v>192.02812481249998</v>
      </c>
      <c r="D605" s="11">
        <f t="shared" si="37"/>
        <v>3.9658127968856709</v>
      </c>
      <c r="E605" s="25">
        <v>196.28999300000001</v>
      </c>
      <c r="F605" s="11">
        <f t="shared" si="38"/>
        <v>204.22161859377135</v>
      </c>
      <c r="G605" s="11">
        <f t="shared" si="39"/>
        <v>188.35836740622867</v>
      </c>
    </row>
    <row r="606" spans="1:7" x14ac:dyDescent="0.25">
      <c r="A606" s="24">
        <v>41915</v>
      </c>
      <c r="B606" s="25">
        <v>196.520004</v>
      </c>
      <c r="C606" s="11">
        <f t="shared" si="36"/>
        <v>191.89562412499998</v>
      </c>
      <c r="D606" s="11">
        <f t="shared" si="37"/>
        <v>3.768901720376939</v>
      </c>
      <c r="E606" s="25">
        <v>196.520004</v>
      </c>
      <c r="F606" s="11">
        <f t="shared" si="38"/>
        <v>204.05780744075389</v>
      </c>
      <c r="G606" s="11">
        <f t="shared" si="39"/>
        <v>188.98220055924611</v>
      </c>
    </row>
    <row r="607" spans="1:7" x14ac:dyDescent="0.25">
      <c r="A607" s="24">
        <v>41914</v>
      </c>
      <c r="B607" s="25">
        <v>194.38000500000001</v>
      </c>
      <c r="C607" s="11">
        <f t="shared" si="36"/>
        <v>191.91812412499999</v>
      </c>
      <c r="D607" s="11">
        <f t="shared" si="37"/>
        <v>3.7970265224067443</v>
      </c>
      <c r="E607" s="25">
        <v>194.38000500000001</v>
      </c>
      <c r="F607" s="11">
        <f t="shared" si="38"/>
        <v>201.97405804481349</v>
      </c>
      <c r="G607" s="11">
        <f t="shared" si="39"/>
        <v>186.78595195518653</v>
      </c>
    </row>
    <row r="608" spans="1:7" x14ac:dyDescent="0.25">
      <c r="A608" s="24">
        <v>41913</v>
      </c>
      <c r="B608" s="25">
        <v>194.35000600000001</v>
      </c>
      <c r="C608" s="11">
        <f t="shared" si="36"/>
        <v>191.78999987500001</v>
      </c>
      <c r="D608" s="11">
        <f t="shared" si="37"/>
        <v>3.666991498039339</v>
      </c>
      <c r="E608" s="25">
        <v>194.35000600000001</v>
      </c>
      <c r="F608" s="11">
        <f t="shared" si="38"/>
        <v>201.68398899607868</v>
      </c>
      <c r="G608" s="11">
        <f t="shared" si="39"/>
        <v>187.01602300392133</v>
      </c>
    </row>
    <row r="609" spans="1:7" x14ac:dyDescent="0.25">
      <c r="A609" s="24">
        <v>41912</v>
      </c>
      <c r="B609" s="25">
        <v>197.020004</v>
      </c>
      <c r="C609" s="11">
        <f t="shared" si="36"/>
        <v>191.7537506875</v>
      </c>
      <c r="D609" s="11">
        <f t="shared" si="37"/>
        <v>3.6366234355316625</v>
      </c>
      <c r="E609" s="25">
        <v>197.020004</v>
      </c>
      <c r="F609" s="11">
        <f t="shared" si="38"/>
        <v>204.29325087106332</v>
      </c>
      <c r="G609" s="11">
        <f t="shared" si="39"/>
        <v>189.74675712893668</v>
      </c>
    </row>
    <row r="610" spans="1:7" x14ac:dyDescent="0.25">
      <c r="A610" s="24">
        <v>41911</v>
      </c>
      <c r="B610" s="25">
        <v>197.53999300000001</v>
      </c>
      <c r="C610" s="11">
        <f t="shared" si="36"/>
        <v>192.02437581249998</v>
      </c>
      <c r="D610" s="11">
        <f t="shared" si="37"/>
        <v>3.8648889615496995</v>
      </c>
      <c r="E610" s="25">
        <v>197.53999300000001</v>
      </c>
      <c r="F610" s="11">
        <f t="shared" si="38"/>
        <v>205.2697709230994</v>
      </c>
      <c r="G610" s="11">
        <f t="shared" si="39"/>
        <v>189.81021507690062</v>
      </c>
    </row>
    <row r="611" spans="1:7" x14ac:dyDescent="0.25">
      <c r="A611" s="24">
        <v>41908</v>
      </c>
      <c r="B611" s="25">
        <v>197.89999399999999</v>
      </c>
      <c r="C611" s="11">
        <f t="shared" si="36"/>
        <v>192.24124993749999</v>
      </c>
      <c r="D611" s="11">
        <f t="shared" si="37"/>
        <v>4.0787692269677898</v>
      </c>
      <c r="E611" s="25">
        <v>197.89999399999999</v>
      </c>
      <c r="F611" s="11">
        <f t="shared" si="38"/>
        <v>206.05753245393558</v>
      </c>
      <c r="G611" s="11">
        <f t="shared" si="39"/>
        <v>189.74245554606441</v>
      </c>
    </row>
    <row r="612" spans="1:7" x14ac:dyDescent="0.25">
      <c r="A612" s="24">
        <v>41907</v>
      </c>
      <c r="B612" s="25">
        <v>196.33999600000001</v>
      </c>
      <c r="C612" s="11">
        <f t="shared" si="36"/>
        <v>192.71624937499999</v>
      </c>
      <c r="D612" s="11">
        <f t="shared" si="37"/>
        <v>4.2754206759523443</v>
      </c>
      <c r="E612" s="25">
        <v>196.33999600000001</v>
      </c>
      <c r="F612" s="11">
        <f t="shared" si="38"/>
        <v>204.89083735190471</v>
      </c>
      <c r="G612" s="11">
        <f t="shared" si="39"/>
        <v>187.78915464809532</v>
      </c>
    </row>
    <row r="613" spans="1:7" x14ac:dyDescent="0.25">
      <c r="A613" s="24">
        <v>41906</v>
      </c>
      <c r="B613" s="25">
        <v>199.55999800000001</v>
      </c>
      <c r="C613" s="11">
        <f t="shared" si="36"/>
        <v>193.20812406250002</v>
      </c>
      <c r="D613" s="11">
        <f t="shared" si="37"/>
        <v>4.2064885780119043</v>
      </c>
      <c r="E613" s="25">
        <v>199.55999800000001</v>
      </c>
      <c r="F613" s="11">
        <f t="shared" si="38"/>
        <v>207.97297515602381</v>
      </c>
      <c r="G613" s="11">
        <f t="shared" si="39"/>
        <v>191.14702084397621</v>
      </c>
    </row>
    <row r="614" spans="1:7" x14ac:dyDescent="0.25">
      <c r="A614" s="24">
        <v>41905</v>
      </c>
      <c r="B614" s="25">
        <v>198.009995</v>
      </c>
      <c r="C614" s="11">
        <f t="shared" si="36"/>
        <v>194.0387486875</v>
      </c>
      <c r="D614" s="11">
        <f t="shared" si="37"/>
        <v>4.054528238795843</v>
      </c>
      <c r="E614" s="25">
        <v>198.009995</v>
      </c>
      <c r="F614" s="11">
        <f t="shared" si="38"/>
        <v>206.11905147759168</v>
      </c>
      <c r="G614" s="11">
        <f t="shared" si="39"/>
        <v>189.90093852240832</v>
      </c>
    </row>
    <row r="615" spans="1:7" x14ac:dyDescent="0.25">
      <c r="A615" s="24">
        <v>41904</v>
      </c>
      <c r="B615" s="25">
        <v>199.14999399999999</v>
      </c>
      <c r="C615" s="11">
        <f t="shared" si="36"/>
        <v>194.76249881249998</v>
      </c>
      <c r="D615" s="11">
        <f t="shared" si="37"/>
        <v>3.615564454368315</v>
      </c>
      <c r="E615" s="25">
        <v>199.14999399999999</v>
      </c>
      <c r="F615" s="11">
        <f t="shared" si="38"/>
        <v>206.38112290873661</v>
      </c>
      <c r="G615" s="11">
        <f t="shared" si="39"/>
        <v>191.91886509126337</v>
      </c>
    </row>
    <row r="616" spans="1:7" x14ac:dyDescent="0.25">
      <c r="A616" s="24">
        <v>41901</v>
      </c>
      <c r="B616" s="25">
        <v>200.699997</v>
      </c>
      <c r="C616" s="11">
        <f t="shared" si="36"/>
        <v>195.47812362499999</v>
      </c>
      <c r="D616" s="11">
        <f t="shared" si="37"/>
        <v>3.2379198576441408</v>
      </c>
      <c r="E616" s="25">
        <v>200.699997</v>
      </c>
      <c r="F616" s="11">
        <f t="shared" si="38"/>
        <v>207.17583671528828</v>
      </c>
      <c r="G616" s="11">
        <f t="shared" si="39"/>
        <v>194.22415728471171</v>
      </c>
    </row>
    <row r="617" spans="1:7" x14ac:dyDescent="0.25">
      <c r="A617" s="24">
        <v>41900</v>
      </c>
      <c r="B617" s="25">
        <v>201.820007</v>
      </c>
      <c r="C617" s="11">
        <f t="shared" si="36"/>
        <v>196.30874818750002</v>
      </c>
      <c r="D617" s="11">
        <f t="shared" si="37"/>
        <v>2.6881999889376318</v>
      </c>
      <c r="E617" s="25">
        <v>201.820007</v>
      </c>
      <c r="F617" s="11">
        <f t="shared" si="38"/>
        <v>207.19640697787526</v>
      </c>
      <c r="G617" s="11">
        <f t="shared" si="39"/>
        <v>196.44360702212475</v>
      </c>
    </row>
    <row r="618" spans="1:7" x14ac:dyDescent="0.25">
      <c r="A618" s="24">
        <v>41899</v>
      </c>
      <c r="B618" s="25">
        <v>200.75</v>
      </c>
      <c r="C618" s="11">
        <f t="shared" si="36"/>
        <v>197.01374906250001</v>
      </c>
      <c r="D618" s="11">
        <f t="shared" si="37"/>
        <v>2.5500235979679724</v>
      </c>
      <c r="E618" s="25">
        <v>200.75</v>
      </c>
      <c r="F618" s="11">
        <f t="shared" si="38"/>
        <v>205.85004719593596</v>
      </c>
      <c r="G618" s="11">
        <f t="shared" si="39"/>
        <v>195.64995280406404</v>
      </c>
    </row>
    <row r="619" spans="1:7" x14ac:dyDescent="0.25">
      <c r="A619" s="24">
        <v>41898</v>
      </c>
      <c r="B619" s="25">
        <v>200.479996</v>
      </c>
      <c r="C619" s="11">
        <f t="shared" si="36"/>
        <v>197.51437374999998</v>
      </c>
      <c r="D619" s="11">
        <f t="shared" si="37"/>
        <v>2.4389066780747863</v>
      </c>
      <c r="E619" s="25">
        <v>200.479996</v>
      </c>
      <c r="F619" s="11">
        <f t="shared" si="38"/>
        <v>205.35780935614957</v>
      </c>
      <c r="G619" s="11">
        <f t="shared" si="39"/>
        <v>195.60218264385043</v>
      </c>
    </row>
    <row r="620" spans="1:7" x14ac:dyDescent="0.25">
      <c r="A620" s="24">
        <v>41897</v>
      </c>
      <c r="B620" s="25">
        <v>198.979996</v>
      </c>
      <c r="C620" s="11">
        <f t="shared" si="36"/>
        <v>197.75437356249998</v>
      </c>
      <c r="D620" s="11">
        <f t="shared" si="37"/>
        <v>2.5342029954422056</v>
      </c>
      <c r="E620" s="25">
        <v>198.979996</v>
      </c>
      <c r="F620" s="11">
        <f t="shared" si="38"/>
        <v>204.0484019908844</v>
      </c>
      <c r="G620" s="11">
        <f t="shared" si="39"/>
        <v>193.9115900091156</v>
      </c>
    </row>
    <row r="621" spans="1:7" x14ac:dyDescent="0.25">
      <c r="A621" s="24">
        <v>41894</v>
      </c>
      <c r="B621" s="25">
        <v>199.13000500000001</v>
      </c>
      <c r="C621" s="11">
        <f t="shared" si="36"/>
        <v>198.11187362499999</v>
      </c>
      <c r="D621" s="11">
        <f t="shared" si="37"/>
        <v>2.2448546101825468</v>
      </c>
      <c r="E621" s="25">
        <v>199.13000500000001</v>
      </c>
      <c r="F621" s="11">
        <f t="shared" si="38"/>
        <v>203.6197142203651</v>
      </c>
      <c r="G621" s="11">
        <f t="shared" si="39"/>
        <v>194.64029577963493</v>
      </c>
    </row>
    <row r="622" spans="1:7" x14ac:dyDescent="0.25">
      <c r="A622" s="24">
        <v>41893</v>
      </c>
      <c r="B622" s="25">
        <v>200.300003</v>
      </c>
      <c r="C622" s="11">
        <f t="shared" si="36"/>
        <v>198.28937437499999</v>
      </c>
      <c r="D622" s="11">
        <f t="shared" si="37"/>
        <v>2.2030860406539969</v>
      </c>
      <c r="E622" s="25">
        <v>200.300003</v>
      </c>
      <c r="F622" s="11">
        <f t="shared" si="38"/>
        <v>204.706175081308</v>
      </c>
      <c r="G622" s="11">
        <f t="shared" si="39"/>
        <v>195.893830918692</v>
      </c>
    </row>
    <row r="623" spans="1:7" x14ac:dyDescent="0.25">
      <c r="A623" s="24">
        <v>41892</v>
      </c>
      <c r="B623" s="25">
        <v>200.070007</v>
      </c>
      <c r="C623" s="11">
        <f t="shared" si="36"/>
        <v>198.52562431249999</v>
      </c>
      <c r="D623" s="11">
        <f t="shared" si="37"/>
        <v>2.2033724598761362</v>
      </c>
      <c r="E623" s="25">
        <v>200.070007</v>
      </c>
      <c r="F623" s="11">
        <f t="shared" si="38"/>
        <v>204.47675191975227</v>
      </c>
      <c r="G623" s="11">
        <f t="shared" si="39"/>
        <v>195.66326208024773</v>
      </c>
    </row>
    <row r="624" spans="1:7" x14ac:dyDescent="0.25">
      <c r="A624" s="24">
        <v>41891</v>
      </c>
      <c r="B624" s="25">
        <v>199.320007</v>
      </c>
      <c r="C624" s="11">
        <f t="shared" si="36"/>
        <v>198.88124943749997</v>
      </c>
      <c r="D624" s="11">
        <f t="shared" si="37"/>
        <v>1.9321525764957215</v>
      </c>
      <c r="E624" s="25">
        <v>199.320007</v>
      </c>
      <c r="F624" s="11">
        <f t="shared" si="38"/>
        <v>203.18431215299145</v>
      </c>
      <c r="G624" s="11">
        <f t="shared" si="39"/>
        <v>195.45570184700856</v>
      </c>
    </row>
    <row r="625" spans="1:7" x14ac:dyDescent="0.25">
      <c r="A625" s="24">
        <v>41890</v>
      </c>
      <c r="B625" s="25">
        <v>200.58999600000001</v>
      </c>
      <c r="C625" s="11">
        <f t="shared" si="36"/>
        <v>199.19187449999995</v>
      </c>
      <c r="D625" s="11">
        <f t="shared" si="37"/>
        <v>1.5080835060963951</v>
      </c>
      <c r="E625" s="25">
        <v>200.58999600000001</v>
      </c>
      <c r="F625" s="11">
        <f t="shared" si="38"/>
        <v>203.60616301219281</v>
      </c>
      <c r="G625" s="11">
        <f t="shared" si="39"/>
        <v>197.57382898780722</v>
      </c>
    </row>
    <row r="626" spans="1:7" x14ac:dyDescent="0.25">
      <c r="A626" s="24">
        <v>41887</v>
      </c>
      <c r="B626" s="25">
        <v>201.11000100000001</v>
      </c>
      <c r="C626" s="11">
        <f t="shared" si="36"/>
        <v>199.41499899999997</v>
      </c>
      <c r="D626" s="11">
        <f t="shared" si="37"/>
        <v>1.4272562839328691</v>
      </c>
      <c r="E626" s="25">
        <v>201.11000100000001</v>
      </c>
      <c r="F626" s="11">
        <f t="shared" si="38"/>
        <v>203.96451356786574</v>
      </c>
      <c r="G626" s="11">
        <f t="shared" si="39"/>
        <v>198.25548843213429</v>
      </c>
    </row>
    <row r="627" spans="1:7" x14ac:dyDescent="0.25">
      <c r="A627" s="24">
        <v>41886</v>
      </c>
      <c r="B627" s="25">
        <v>200.21000699999999</v>
      </c>
      <c r="C627" s="11">
        <f t="shared" si="36"/>
        <v>199.63812449999998</v>
      </c>
      <c r="D627" s="11">
        <f t="shared" si="37"/>
        <v>1.3932391984233958</v>
      </c>
      <c r="E627" s="25">
        <v>200.21000699999999</v>
      </c>
      <c r="F627" s="11">
        <f t="shared" si="38"/>
        <v>202.99648539684679</v>
      </c>
      <c r="G627" s="11">
        <f t="shared" si="39"/>
        <v>197.42352860315319</v>
      </c>
    </row>
    <row r="628" spans="1:7" x14ac:dyDescent="0.25">
      <c r="A628" s="24">
        <v>41885</v>
      </c>
      <c r="B628" s="25">
        <v>200.5</v>
      </c>
      <c r="C628" s="11">
        <f t="shared" si="36"/>
        <v>199.78250031249999</v>
      </c>
      <c r="D628" s="11">
        <f t="shared" si="37"/>
        <v>1.3188169929995943</v>
      </c>
      <c r="E628" s="25">
        <v>200.5</v>
      </c>
      <c r="F628" s="11">
        <f t="shared" si="38"/>
        <v>203.1376339859992</v>
      </c>
      <c r="G628" s="11">
        <f t="shared" si="39"/>
        <v>197.8623660140008</v>
      </c>
    </row>
    <row r="629" spans="1:7" x14ac:dyDescent="0.25">
      <c r="A629" s="24">
        <v>41884</v>
      </c>
      <c r="B629" s="25">
        <v>200.61000100000001</v>
      </c>
      <c r="C629" s="11">
        <f t="shared" si="36"/>
        <v>200.04250056250001</v>
      </c>
      <c r="D629" s="11">
        <f t="shared" si="37"/>
        <v>0.95469163242546373</v>
      </c>
      <c r="E629" s="25">
        <v>200.61000100000001</v>
      </c>
      <c r="F629" s="11">
        <f t="shared" si="38"/>
        <v>202.51938426485094</v>
      </c>
      <c r="G629" s="11">
        <f t="shared" si="39"/>
        <v>198.70061773514908</v>
      </c>
    </row>
    <row r="630" spans="1:7" x14ac:dyDescent="0.25">
      <c r="A630" s="24">
        <v>41880</v>
      </c>
      <c r="B630" s="25">
        <v>200.71000699999999</v>
      </c>
      <c r="C630" s="11">
        <f t="shared" si="36"/>
        <v>200.10812575000003</v>
      </c>
      <c r="D630" s="11">
        <f t="shared" si="37"/>
        <v>0.95540159358394161</v>
      </c>
      <c r="E630" s="25">
        <v>200.71000699999999</v>
      </c>
      <c r="F630" s="11">
        <f t="shared" si="38"/>
        <v>202.62081018716788</v>
      </c>
      <c r="G630" s="11">
        <f t="shared" si="39"/>
        <v>198.7992038128321</v>
      </c>
    </row>
    <row r="631" spans="1:7" x14ac:dyDescent="0.25">
      <c r="A631" s="24">
        <v>41879</v>
      </c>
      <c r="B631" s="25">
        <v>200.13999899999999</v>
      </c>
      <c r="C631" s="11">
        <f t="shared" si="36"/>
        <v>200.27687650000001</v>
      </c>
      <c r="D631" s="11">
        <f t="shared" si="37"/>
        <v>0.78300116731875602</v>
      </c>
      <c r="E631" s="25">
        <v>200.13999899999999</v>
      </c>
      <c r="F631" s="11">
        <f t="shared" si="38"/>
        <v>201.70600133463751</v>
      </c>
      <c r="G631" s="11">
        <f t="shared" si="39"/>
        <v>198.57399666536247</v>
      </c>
    </row>
    <row r="632" spans="1:7" x14ac:dyDescent="0.25">
      <c r="A632" s="24">
        <v>41878</v>
      </c>
      <c r="B632" s="25">
        <v>200.25</v>
      </c>
      <c r="C632" s="11">
        <f t="shared" si="36"/>
        <v>200.33875181250002</v>
      </c>
      <c r="D632" s="11">
        <f t="shared" si="37"/>
        <v>0.72498169323031603</v>
      </c>
      <c r="E632" s="25">
        <v>200.25</v>
      </c>
      <c r="F632" s="11">
        <f t="shared" si="38"/>
        <v>201.69996338646064</v>
      </c>
      <c r="G632" s="11">
        <f t="shared" si="39"/>
        <v>198.80003661353936</v>
      </c>
    </row>
    <row r="633" spans="1:7" x14ac:dyDescent="0.25">
      <c r="A633" s="24">
        <v>41877</v>
      </c>
      <c r="B633" s="25">
        <v>200.33000200000001</v>
      </c>
      <c r="C633" s="11">
        <f t="shared" si="36"/>
        <v>200.31062700000001</v>
      </c>
      <c r="D633" s="11">
        <f t="shared" si="37"/>
        <v>0.71873497898581062</v>
      </c>
      <c r="E633" s="25">
        <v>200.33000200000001</v>
      </c>
      <c r="F633" s="11">
        <f t="shared" si="38"/>
        <v>201.76747195797162</v>
      </c>
      <c r="G633" s="11">
        <f t="shared" si="39"/>
        <v>198.89253204202839</v>
      </c>
    </row>
    <row r="634" spans="1:7" x14ac:dyDescent="0.25">
      <c r="A634" s="24">
        <v>41876</v>
      </c>
      <c r="B634" s="25">
        <v>200.199997</v>
      </c>
      <c r="C634" s="11">
        <f t="shared" si="36"/>
        <v>200.21750168750003</v>
      </c>
      <c r="D634" s="11">
        <f t="shared" si="37"/>
        <v>0.59621527293640275</v>
      </c>
      <c r="E634" s="25">
        <v>200.199997</v>
      </c>
      <c r="F634" s="11">
        <f t="shared" si="38"/>
        <v>201.39242754587281</v>
      </c>
      <c r="G634" s="11">
        <f t="shared" si="39"/>
        <v>199.00756645412719</v>
      </c>
    </row>
    <row r="635" spans="1:7" x14ac:dyDescent="0.25">
      <c r="A635" s="24">
        <v>41873</v>
      </c>
      <c r="B635" s="25">
        <v>199.19000199999999</v>
      </c>
      <c r="C635" s="11">
        <f t="shared" si="36"/>
        <v>200.18312650000004</v>
      </c>
      <c r="D635" s="11">
        <f t="shared" si="37"/>
        <v>0.57907600423767069</v>
      </c>
      <c r="E635" s="25">
        <v>199.19000199999999</v>
      </c>
      <c r="F635" s="11">
        <f t="shared" si="38"/>
        <v>200.34815400847535</v>
      </c>
      <c r="G635" s="11">
        <f t="shared" si="39"/>
        <v>198.03184999152464</v>
      </c>
    </row>
    <row r="636" spans="1:7" x14ac:dyDescent="0.25">
      <c r="A636" s="24">
        <v>41872</v>
      </c>
      <c r="B636" s="25">
        <v>199.5</v>
      </c>
      <c r="C636" s="11">
        <f t="shared" si="36"/>
        <v>200.102501875</v>
      </c>
      <c r="D636" s="11">
        <f t="shared" si="37"/>
        <v>0.62311554681432735</v>
      </c>
      <c r="E636" s="25">
        <v>199.5</v>
      </c>
      <c r="F636" s="11">
        <f t="shared" si="38"/>
        <v>200.74623109362867</v>
      </c>
      <c r="G636" s="11">
        <f t="shared" si="39"/>
        <v>198.25376890637133</v>
      </c>
    </row>
    <row r="637" spans="1:7" x14ac:dyDescent="0.25">
      <c r="A637" s="24">
        <v>41871</v>
      </c>
      <c r="B637" s="25">
        <v>198.91999799999999</v>
      </c>
      <c r="C637" s="11">
        <f t="shared" si="36"/>
        <v>200.135002125</v>
      </c>
      <c r="D637" s="11">
        <f t="shared" si="37"/>
        <v>0.57214121684503561</v>
      </c>
      <c r="E637" s="25">
        <v>198.91999799999999</v>
      </c>
      <c r="F637" s="11">
        <f t="shared" si="38"/>
        <v>200.06428043369007</v>
      </c>
      <c r="G637" s="11">
        <f t="shared" si="39"/>
        <v>197.77571556630991</v>
      </c>
    </row>
    <row r="638" spans="1:7" x14ac:dyDescent="0.25">
      <c r="A638" s="24">
        <v>41870</v>
      </c>
      <c r="B638" s="25">
        <v>198.38999899999999</v>
      </c>
      <c r="C638" s="11">
        <f t="shared" si="36"/>
        <v>200.12187668749999</v>
      </c>
      <c r="D638" s="11">
        <f t="shared" si="37"/>
        <v>0.59853392824743012</v>
      </c>
      <c r="E638" s="25">
        <v>198.38999899999999</v>
      </c>
      <c r="F638" s="11">
        <f t="shared" si="38"/>
        <v>199.58706685649486</v>
      </c>
      <c r="G638" s="11">
        <f t="shared" si="39"/>
        <v>197.19293114350512</v>
      </c>
    </row>
    <row r="639" spans="1:7" x14ac:dyDescent="0.25">
      <c r="A639" s="24">
        <v>41869</v>
      </c>
      <c r="B639" s="25">
        <v>197.36000100000001</v>
      </c>
      <c r="C639" s="11">
        <f t="shared" si="36"/>
        <v>200.00250143749997</v>
      </c>
      <c r="D639" s="11">
        <f t="shared" si="37"/>
        <v>0.73545029676627516</v>
      </c>
      <c r="E639" s="25">
        <v>197.36000100000001</v>
      </c>
      <c r="F639" s="11">
        <f t="shared" si="38"/>
        <v>198.83090159353256</v>
      </c>
      <c r="G639" s="11">
        <f t="shared" si="39"/>
        <v>195.88910040646746</v>
      </c>
    </row>
    <row r="640" spans="1:7" x14ac:dyDescent="0.25">
      <c r="A640" s="24">
        <v>41866</v>
      </c>
      <c r="B640" s="25">
        <v>195.720001</v>
      </c>
      <c r="C640" s="11">
        <f t="shared" si="36"/>
        <v>199.83312606249999</v>
      </c>
      <c r="D640" s="11">
        <f t="shared" si="37"/>
        <v>0.98767573504401307</v>
      </c>
      <c r="E640" s="25">
        <v>195.720001</v>
      </c>
      <c r="F640" s="11">
        <f t="shared" si="38"/>
        <v>197.69535247008801</v>
      </c>
      <c r="G640" s="11">
        <f t="shared" si="39"/>
        <v>193.74464952991198</v>
      </c>
    </row>
    <row r="641" spans="1:7" x14ac:dyDescent="0.25">
      <c r="A641" s="24">
        <v>41865</v>
      </c>
      <c r="B641" s="25">
        <v>195.759995</v>
      </c>
      <c r="C641" s="11">
        <f t="shared" si="36"/>
        <v>199.60812568749998</v>
      </c>
      <c r="D641" s="11">
        <f t="shared" si="37"/>
        <v>1.425413490216868</v>
      </c>
      <c r="E641" s="25">
        <v>195.759995</v>
      </c>
      <c r="F641" s="11">
        <f t="shared" si="38"/>
        <v>198.61082198043374</v>
      </c>
      <c r="G641" s="11">
        <f t="shared" si="39"/>
        <v>192.90916801956627</v>
      </c>
    </row>
    <row r="642" spans="1:7" x14ac:dyDescent="0.25">
      <c r="A642" s="24">
        <v>41864</v>
      </c>
      <c r="B642" s="25">
        <v>194.83999600000001</v>
      </c>
      <c r="C642" s="11">
        <f t="shared" si="36"/>
        <v>199.30625062499999</v>
      </c>
      <c r="D642" s="11">
        <f t="shared" si="37"/>
        <v>1.6904247571768019</v>
      </c>
      <c r="E642" s="25">
        <v>194.83999600000001</v>
      </c>
      <c r="F642" s="11">
        <f t="shared" si="38"/>
        <v>198.22084551435361</v>
      </c>
      <c r="G642" s="11">
        <f t="shared" si="39"/>
        <v>191.45914648564641</v>
      </c>
    </row>
    <row r="643" spans="1:7" x14ac:dyDescent="0.25">
      <c r="A643" s="24">
        <v>41863</v>
      </c>
      <c r="B643" s="25">
        <v>193.529999</v>
      </c>
      <c r="C643" s="11">
        <f t="shared" si="36"/>
        <v>198.9143753125</v>
      </c>
      <c r="D643" s="11">
        <f t="shared" si="37"/>
        <v>1.9510662501379983</v>
      </c>
      <c r="E643" s="25">
        <v>193.529999</v>
      </c>
      <c r="F643" s="11">
        <f t="shared" si="38"/>
        <v>197.432131500276</v>
      </c>
      <c r="G643" s="11">
        <f t="shared" si="39"/>
        <v>189.62786649972401</v>
      </c>
    </row>
    <row r="644" spans="1:7" x14ac:dyDescent="0.25">
      <c r="A644" s="24">
        <v>41862</v>
      </c>
      <c r="B644" s="25">
        <v>193.800003</v>
      </c>
      <c r="C644" s="11">
        <f t="shared" si="36"/>
        <v>198.49687481250001</v>
      </c>
      <c r="D644" s="11">
        <f t="shared" si="37"/>
        <v>2.3327213408573004</v>
      </c>
      <c r="E644" s="25">
        <v>193.800003</v>
      </c>
      <c r="F644" s="11">
        <f t="shared" si="38"/>
        <v>198.46544568171461</v>
      </c>
      <c r="G644" s="11">
        <f t="shared" si="39"/>
        <v>189.13456031828539</v>
      </c>
    </row>
    <row r="645" spans="1:7" x14ac:dyDescent="0.25">
      <c r="A645" s="24">
        <v>41859</v>
      </c>
      <c r="B645" s="25">
        <v>193.240005</v>
      </c>
      <c r="C645" s="11">
        <f t="shared" si="36"/>
        <v>198.078125</v>
      </c>
      <c r="D645" s="11">
        <f t="shared" si="37"/>
        <v>2.5412110581390883</v>
      </c>
      <c r="E645" s="25">
        <v>193.240005</v>
      </c>
      <c r="F645" s="11">
        <f t="shared" si="38"/>
        <v>198.32242711627816</v>
      </c>
      <c r="G645" s="11">
        <f t="shared" si="39"/>
        <v>188.15758288372183</v>
      </c>
    </row>
    <row r="646" spans="1:7" x14ac:dyDescent="0.25">
      <c r="A646" s="24">
        <v>41858</v>
      </c>
      <c r="B646" s="25">
        <v>191.029999</v>
      </c>
      <c r="C646" s="11">
        <f t="shared" si="36"/>
        <v>197.61750025000001</v>
      </c>
      <c r="D646" s="11">
        <f t="shared" si="37"/>
        <v>2.713773647158126</v>
      </c>
      <c r="E646" s="25">
        <v>191.029999</v>
      </c>
      <c r="F646" s="11">
        <f t="shared" si="38"/>
        <v>196.45754629431624</v>
      </c>
      <c r="G646" s="11">
        <f t="shared" si="39"/>
        <v>185.60245170568376</v>
      </c>
    </row>
    <row r="647" spans="1:7" x14ac:dyDescent="0.25">
      <c r="A647" s="24">
        <v>41857</v>
      </c>
      <c r="B647" s="25">
        <v>192.070007</v>
      </c>
      <c r="C647" s="11">
        <f t="shared" si="36"/>
        <v>197.01249974999999</v>
      </c>
      <c r="D647" s="11">
        <f t="shared" si="37"/>
        <v>3.0380221214917751</v>
      </c>
      <c r="E647" s="25">
        <v>192.070007</v>
      </c>
      <c r="F647" s="11">
        <f t="shared" si="38"/>
        <v>198.14605124298356</v>
      </c>
      <c r="G647" s="11">
        <f t="shared" si="39"/>
        <v>185.99396275701645</v>
      </c>
    </row>
    <row r="648" spans="1:7" x14ac:dyDescent="0.25">
      <c r="A648" s="24">
        <v>41856</v>
      </c>
      <c r="B648" s="25">
        <v>192.009995</v>
      </c>
      <c r="C648" s="11">
        <f t="shared" si="36"/>
        <v>196.50812524999998</v>
      </c>
      <c r="D648" s="11">
        <f t="shared" si="37"/>
        <v>3.1519344431121321</v>
      </c>
      <c r="E648" s="25">
        <v>192.009995</v>
      </c>
      <c r="F648" s="11">
        <f t="shared" si="38"/>
        <v>198.31386388622425</v>
      </c>
      <c r="G648" s="11">
        <f t="shared" si="39"/>
        <v>185.70612611377575</v>
      </c>
    </row>
    <row r="649" spans="1:7" x14ac:dyDescent="0.25">
      <c r="A649" s="24">
        <v>41855</v>
      </c>
      <c r="B649" s="25">
        <v>193.88999899999999</v>
      </c>
      <c r="C649" s="11">
        <f t="shared" si="36"/>
        <v>195.99312493749997</v>
      </c>
      <c r="D649" s="11">
        <f t="shared" si="37"/>
        <v>3.1728883261829925</v>
      </c>
      <c r="E649" s="25">
        <v>193.88999899999999</v>
      </c>
      <c r="F649" s="11">
        <f t="shared" si="38"/>
        <v>200.23577565236599</v>
      </c>
      <c r="G649" s="11">
        <f t="shared" si="39"/>
        <v>187.54422234763399</v>
      </c>
    </row>
    <row r="650" spans="1:7" x14ac:dyDescent="0.25">
      <c r="A650" s="24">
        <v>41852</v>
      </c>
      <c r="B650" s="25">
        <v>192.5</v>
      </c>
      <c r="C650" s="11">
        <f t="shared" si="36"/>
        <v>195.59062474999996</v>
      </c>
      <c r="D650" s="11">
        <f t="shared" si="37"/>
        <v>2.9892121436388632</v>
      </c>
      <c r="E650" s="25">
        <v>192.5</v>
      </c>
      <c r="F650" s="11">
        <f t="shared" si="38"/>
        <v>198.47842428727773</v>
      </c>
      <c r="G650" s="11">
        <f t="shared" si="39"/>
        <v>186.52157571272227</v>
      </c>
    </row>
    <row r="651" spans="1:7" x14ac:dyDescent="0.25">
      <c r="A651" s="24">
        <v>41851</v>
      </c>
      <c r="B651" s="25">
        <v>193.08999600000001</v>
      </c>
      <c r="C651" s="11">
        <f t="shared" si="36"/>
        <v>195.10937493749998</v>
      </c>
      <c r="D651" s="11">
        <f t="shared" si="37"/>
        <v>2.812245428940046</v>
      </c>
      <c r="E651" s="25">
        <v>193.08999600000001</v>
      </c>
      <c r="F651" s="11">
        <f t="shared" si="38"/>
        <v>198.7144868578801</v>
      </c>
      <c r="G651" s="11">
        <f t="shared" si="39"/>
        <v>187.46550514211992</v>
      </c>
    </row>
    <row r="652" spans="1:7" x14ac:dyDescent="0.25">
      <c r="A652" s="24">
        <v>41850</v>
      </c>
      <c r="B652" s="25">
        <v>196.979996</v>
      </c>
      <c r="C652" s="11">
        <f t="shared" si="36"/>
        <v>194.72812456249997</v>
      </c>
      <c r="D652" s="11">
        <f t="shared" si="37"/>
        <v>2.6297225428287012</v>
      </c>
      <c r="E652" s="25">
        <v>196.979996</v>
      </c>
      <c r="F652" s="11">
        <f t="shared" si="38"/>
        <v>202.2394410856574</v>
      </c>
      <c r="G652" s="11">
        <f t="shared" si="39"/>
        <v>191.7205509143426</v>
      </c>
    </row>
    <row r="653" spans="1:7" x14ac:dyDescent="0.25">
      <c r="A653" s="24">
        <v>41849</v>
      </c>
      <c r="B653" s="25">
        <v>196.949997</v>
      </c>
      <c r="C653" s="11">
        <f t="shared" si="36"/>
        <v>194.57062431250003</v>
      </c>
      <c r="D653" s="11">
        <f t="shared" si="37"/>
        <v>2.3893491206314361</v>
      </c>
      <c r="E653" s="25">
        <v>196.949997</v>
      </c>
      <c r="F653" s="11">
        <f t="shared" si="38"/>
        <v>201.72869524126287</v>
      </c>
      <c r="G653" s="11">
        <f t="shared" si="39"/>
        <v>192.17129875873712</v>
      </c>
    </row>
    <row r="654" spans="1:7" x14ac:dyDescent="0.25">
      <c r="A654" s="24">
        <v>41848</v>
      </c>
      <c r="B654" s="25">
        <v>197.800003</v>
      </c>
      <c r="C654" s="11">
        <f t="shared" si="36"/>
        <v>194.44749925000002</v>
      </c>
      <c r="D654" s="11">
        <f t="shared" si="37"/>
        <v>2.1929682277708582</v>
      </c>
      <c r="E654" s="25">
        <v>197.800003</v>
      </c>
      <c r="F654" s="11">
        <f t="shared" si="38"/>
        <v>202.18593945554173</v>
      </c>
      <c r="G654" s="11">
        <f t="shared" si="39"/>
        <v>193.41406654445828</v>
      </c>
    </row>
    <row r="655" spans="1:7" x14ac:dyDescent="0.25">
      <c r="A655" s="24">
        <v>41845</v>
      </c>
      <c r="B655" s="25">
        <v>197.720001</v>
      </c>
      <c r="C655" s="11">
        <f t="shared" si="36"/>
        <v>194.41062450000001</v>
      </c>
      <c r="D655" s="11">
        <f t="shared" si="37"/>
        <v>2.1261995183926961</v>
      </c>
      <c r="E655" s="25">
        <v>197.720001</v>
      </c>
      <c r="F655" s="11">
        <f t="shared" si="38"/>
        <v>201.97240003678539</v>
      </c>
      <c r="G655" s="11">
        <f t="shared" si="39"/>
        <v>193.46760196321461</v>
      </c>
    </row>
    <row r="656" spans="1:7" x14ac:dyDescent="0.25">
      <c r="A656" s="24">
        <v>41844</v>
      </c>
      <c r="B656" s="25">
        <v>198.64999399999999</v>
      </c>
      <c r="C656" s="11">
        <f t="shared" si="36"/>
        <v>194.43312450000002</v>
      </c>
      <c r="D656" s="11">
        <f t="shared" si="37"/>
        <v>2.1611095446583279</v>
      </c>
      <c r="E656" s="25">
        <v>198.64999399999999</v>
      </c>
      <c r="F656" s="11">
        <f t="shared" si="38"/>
        <v>202.97221308931665</v>
      </c>
      <c r="G656" s="11">
        <f t="shared" si="39"/>
        <v>194.32777491068333</v>
      </c>
    </row>
    <row r="657" spans="1:7" x14ac:dyDescent="0.25">
      <c r="A657" s="24">
        <v>41843</v>
      </c>
      <c r="B657" s="25">
        <v>198.63999899999999</v>
      </c>
      <c r="C657" s="11">
        <f t="shared" si="36"/>
        <v>194.6162490625</v>
      </c>
      <c r="D657" s="11">
        <f t="shared" si="37"/>
        <v>2.389495072572513</v>
      </c>
      <c r="E657" s="25">
        <v>198.63999899999999</v>
      </c>
      <c r="F657" s="11">
        <f t="shared" si="38"/>
        <v>203.41898914514502</v>
      </c>
      <c r="G657" s="11">
        <f t="shared" si="39"/>
        <v>193.86100885485496</v>
      </c>
    </row>
    <row r="658" spans="1:7" x14ac:dyDescent="0.25">
      <c r="A658" s="24">
        <v>41842</v>
      </c>
      <c r="B658" s="25">
        <v>198.199997</v>
      </c>
      <c r="C658" s="11">
        <f t="shared" si="36"/>
        <v>194.79624931249998</v>
      </c>
      <c r="D658" s="11">
        <f t="shared" si="37"/>
        <v>2.5821090588600524</v>
      </c>
      <c r="E658" s="25">
        <v>198.199997</v>
      </c>
      <c r="F658" s="11">
        <f t="shared" si="38"/>
        <v>203.36421511772011</v>
      </c>
      <c r="G658" s="11">
        <f t="shared" si="39"/>
        <v>193.03577888227989</v>
      </c>
    </row>
    <row r="659" spans="1:7" x14ac:dyDescent="0.25">
      <c r="A659" s="24">
        <v>41841</v>
      </c>
      <c r="B659" s="25">
        <v>197.33999600000001</v>
      </c>
      <c r="C659" s="11">
        <f t="shared" si="36"/>
        <v>195.00624937500001</v>
      </c>
      <c r="D659" s="11">
        <f t="shared" si="37"/>
        <v>2.7189126748904786</v>
      </c>
      <c r="E659" s="25">
        <v>197.33999600000001</v>
      </c>
      <c r="F659" s="11">
        <f t="shared" si="38"/>
        <v>202.77782134978096</v>
      </c>
      <c r="G659" s="11">
        <f t="shared" si="39"/>
        <v>191.90217065021906</v>
      </c>
    </row>
    <row r="660" spans="1:7" x14ac:dyDescent="0.25">
      <c r="A660" s="24">
        <v>41838</v>
      </c>
      <c r="B660" s="25">
        <v>197.71000699999999</v>
      </c>
      <c r="C660" s="11">
        <f t="shared" ref="C660:C723" si="40">AVERAGE(B644:B659)</f>
        <v>195.2443741875</v>
      </c>
      <c r="D660" s="11">
        <f t="shared" ref="D660:D723" si="41">_xlfn.STDEV.S(B644:B659)</f>
        <v>2.7476910952526694</v>
      </c>
      <c r="E660" s="25">
        <v>197.71000699999999</v>
      </c>
      <c r="F660" s="11">
        <f t="shared" ref="F660:F723" si="42">B660+2*D660</f>
        <v>203.20538919050534</v>
      </c>
      <c r="G660" s="11">
        <f t="shared" ref="G660:G723" si="43">B660-2*D660</f>
        <v>192.21462480949464</v>
      </c>
    </row>
    <row r="661" spans="1:7" x14ac:dyDescent="0.25">
      <c r="A661" s="24">
        <v>41837</v>
      </c>
      <c r="B661" s="25">
        <v>195.71000699999999</v>
      </c>
      <c r="C661" s="11">
        <f t="shared" si="40"/>
        <v>195.48874943750002</v>
      </c>
      <c r="D661" s="11">
        <f t="shared" si="41"/>
        <v>2.7842979265607535</v>
      </c>
      <c r="E661" s="25">
        <v>195.71000699999999</v>
      </c>
      <c r="F661" s="11">
        <f t="shared" si="42"/>
        <v>201.2786028531215</v>
      </c>
      <c r="G661" s="11">
        <f t="shared" si="43"/>
        <v>190.14141114687848</v>
      </c>
    </row>
    <row r="662" spans="1:7" x14ac:dyDescent="0.25">
      <c r="A662" s="24">
        <v>41836</v>
      </c>
      <c r="B662" s="25">
        <v>197.96000699999999</v>
      </c>
      <c r="C662" s="11">
        <f t="shared" si="40"/>
        <v>195.64312456250002</v>
      </c>
      <c r="D662" s="11">
        <f t="shared" si="41"/>
        <v>2.7190135546313319</v>
      </c>
      <c r="E662" s="25">
        <v>197.96000699999999</v>
      </c>
      <c r="F662" s="11">
        <f t="shared" si="42"/>
        <v>203.39803410926265</v>
      </c>
      <c r="G662" s="11">
        <f t="shared" si="43"/>
        <v>192.52197989073733</v>
      </c>
    </row>
    <row r="663" spans="1:7" x14ac:dyDescent="0.25">
      <c r="A663" s="24">
        <v>41835</v>
      </c>
      <c r="B663" s="25">
        <v>197.229996</v>
      </c>
      <c r="C663" s="11">
        <f t="shared" si="40"/>
        <v>196.07625006250004</v>
      </c>
      <c r="D663" s="11">
        <f t="shared" si="41"/>
        <v>2.476300658210882</v>
      </c>
      <c r="E663" s="25">
        <v>197.229996</v>
      </c>
      <c r="F663" s="11">
        <f t="shared" si="42"/>
        <v>202.18259731642178</v>
      </c>
      <c r="G663" s="11">
        <f t="shared" si="43"/>
        <v>192.27739468357822</v>
      </c>
    </row>
    <row r="664" spans="1:7" x14ac:dyDescent="0.25">
      <c r="A664" s="24">
        <v>41834</v>
      </c>
      <c r="B664" s="25">
        <v>197.60000600000001</v>
      </c>
      <c r="C664" s="11">
        <f t="shared" si="40"/>
        <v>196.39874937500005</v>
      </c>
      <c r="D664" s="11">
        <f t="shared" si="41"/>
        <v>2.2449651453165975</v>
      </c>
      <c r="E664" s="25">
        <v>197.60000600000001</v>
      </c>
      <c r="F664" s="11">
        <f t="shared" si="42"/>
        <v>202.0899362906332</v>
      </c>
      <c r="G664" s="11">
        <f t="shared" si="43"/>
        <v>193.11007570936681</v>
      </c>
    </row>
    <row r="665" spans="1:7" x14ac:dyDescent="0.25">
      <c r="A665" s="24">
        <v>41831</v>
      </c>
      <c r="B665" s="25">
        <v>196.61000100000001</v>
      </c>
      <c r="C665" s="11">
        <f t="shared" si="40"/>
        <v>196.74812506250004</v>
      </c>
      <c r="D665" s="11">
        <f t="shared" si="41"/>
        <v>1.9291944110442025</v>
      </c>
      <c r="E665" s="25">
        <v>196.61000100000001</v>
      </c>
      <c r="F665" s="11">
        <f t="shared" si="42"/>
        <v>200.46838982208843</v>
      </c>
      <c r="G665" s="11">
        <f t="shared" si="43"/>
        <v>192.7516121779116</v>
      </c>
    </row>
    <row r="666" spans="1:7" x14ac:dyDescent="0.25">
      <c r="A666" s="24">
        <v>41830</v>
      </c>
      <c r="B666" s="25">
        <v>196.33999600000001</v>
      </c>
      <c r="C666" s="11">
        <f t="shared" si="40"/>
        <v>196.91812518750004</v>
      </c>
      <c r="D666" s="11">
        <f t="shared" si="41"/>
        <v>1.7741600664645469</v>
      </c>
      <c r="E666" s="25">
        <v>196.33999600000001</v>
      </c>
      <c r="F666" s="11">
        <f t="shared" si="42"/>
        <v>199.88831613292911</v>
      </c>
      <c r="G666" s="11">
        <f t="shared" si="43"/>
        <v>192.79167586707092</v>
      </c>
    </row>
    <row r="667" spans="1:7" x14ac:dyDescent="0.25">
      <c r="A667" s="24">
        <v>41829</v>
      </c>
      <c r="B667" s="25">
        <v>197.11999499999999</v>
      </c>
      <c r="C667" s="11">
        <f t="shared" si="40"/>
        <v>197.15812493750002</v>
      </c>
      <c r="D667" s="11">
        <f t="shared" si="41"/>
        <v>1.3443081052243631</v>
      </c>
      <c r="E667" s="25">
        <v>197.11999499999999</v>
      </c>
      <c r="F667" s="11">
        <f t="shared" si="42"/>
        <v>199.8086112104487</v>
      </c>
      <c r="G667" s="11">
        <f t="shared" si="43"/>
        <v>194.43137878955127</v>
      </c>
    </row>
    <row r="668" spans="1:7" x14ac:dyDescent="0.25">
      <c r="A668" s="24">
        <v>41828</v>
      </c>
      <c r="B668" s="25">
        <v>196.240005</v>
      </c>
      <c r="C668" s="11">
        <f t="shared" si="40"/>
        <v>197.40999987500001</v>
      </c>
      <c r="D668" s="11">
        <f t="shared" si="41"/>
        <v>0.79767116534478799</v>
      </c>
      <c r="E668" s="25">
        <v>196.240005</v>
      </c>
      <c r="F668" s="11">
        <f t="shared" si="42"/>
        <v>197.83534733068959</v>
      </c>
      <c r="G668" s="11">
        <f t="shared" si="43"/>
        <v>194.64466266931041</v>
      </c>
    </row>
    <row r="669" spans="1:7" x14ac:dyDescent="0.25">
      <c r="A669" s="24">
        <v>41827</v>
      </c>
      <c r="B669" s="25">
        <v>197.509995</v>
      </c>
      <c r="C669" s="11">
        <f t="shared" si="40"/>
        <v>197.36375043749999</v>
      </c>
      <c r="D669" s="11">
        <f t="shared" si="41"/>
        <v>0.84435181560942041</v>
      </c>
      <c r="E669" s="25">
        <v>197.509995</v>
      </c>
      <c r="F669" s="11">
        <f t="shared" si="42"/>
        <v>199.19869863121883</v>
      </c>
      <c r="G669" s="11">
        <f t="shared" si="43"/>
        <v>195.82129136878117</v>
      </c>
    </row>
    <row r="670" spans="1:7" x14ac:dyDescent="0.25">
      <c r="A670" s="24">
        <v>41823</v>
      </c>
      <c r="B670" s="25">
        <v>198.199997</v>
      </c>
      <c r="C670" s="11">
        <f t="shared" si="40"/>
        <v>197.3987503125</v>
      </c>
      <c r="D670" s="11">
        <f t="shared" si="41"/>
        <v>0.83763737312599951</v>
      </c>
      <c r="E670" s="25">
        <v>198.199997</v>
      </c>
      <c r="F670" s="11">
        <f t="shared" si="42"/>
        <v>199.875271746252</v>
      </c>
      <c r="G670" s="11">
        <f t="shared" si="43"/>
        <v>196.524722253748</v>
      </c>
    </row>
    <row r="671" spans="1:7" x14ac:dyDescent="0.25">
      <c r="A671" s="24">
        <v>41822</v>
      </c>
      <c r="B671" s="25">
        <v>197.229996</v>
      </c>
      <c r="C671" s="11">
        <f t="shared" si="40"/>
        <v>197.42374993750002</v>
      </c>
      <c r="D671" s="11">
        <f t="shared" si="41"/>
        <v>0.85617515216856044</v>
      </c>
      <c r="E671" s="25">
        <v>197.229996</v>
      </c>
      <c r="F671" s="11">
        <f t="shared" si="42"/>
        <v>198.94234630433712</v>
      </c>
      <c r="G671" s="11">
        <f t="shared" si="43"/>
        <v>195.51764569566288</v>
      </c>
    </row>
    <row r="672" spans="1:7" x14ac:dyDescent="0.25">
      <c r="A672" s="24">
        <v>41821</v>
      </c>
      <c r="B672" s="25">
        <v>197.029999</v>
      </c>
      <c r="C672" s="11">
        <f t="shared" si="40"/>
        <v>197.39312462500001</v>
      </c>
      <c r="D672" s="11">
        <f t="shared" si="41"/>
        <v>0.85363175932309654</v>
      </c>
      <c r="E672" s="25">
        <v>197.029999</v>
      </c>
      <c r="F672" s="11">
        <f t="shared" si="42"/>
        <v>198.73726251864619</v>
      </c>
      <c r="G672" s="11">
        <f t="shared" si="43"/>
        <v>195.32273548135382</v>
      </c>
    </row>
    <row r="673" spans="1:7" x14ac:dyDescent="0.25">
      <c r="A673" s="24">
        <v>41820</v>
      </c>
      <c r="B673" s="25">
        <v>195.720001</v>
      </c>
      <c r="C673" s="11">
        <f t="shared" si="40"/>
        <v>197.29187493749998</v>
      </c>
      <c r="D673" s="11">
        <f t="shared" si="41"/>
        <v>0.78818032260360649</v>
      </c>
      <c r="E673" s="25">
        <v>195.720001</v>
      </c>
      <c r="F673" s="11">
        <f t="shared" si="42"/>
        <v>197.29636164520721</v>
      </c>
      <c r="G673" s="11">
        <f t="shared" si="43"/>
        <v>194.14364035479278</v>
      </c>
    </row>
    <row r="674" spans="1:7" x14ac:dyDescent="0.25">
      <c r="A674" s="24">
        <v>41817</v>
      </c>
      <c r="B674" s="25">
        <v>195.820007</v>
      </c>
      <c r="C674" s="11">
        <f t="shared" si="40"/>
        <v>197.10937506249999</v>
      </c>
      <c r="D674" s="11">
        <f t="shared" si="41"/>
        <v>0.79325797533937714</v>
      </c>
      <c r="E674" s="25">
        <v>195.820007</v>
      </c>
      <c r="F674" s="11">
        <f t="shared" si="42"/>
        <v>197.40652295067875</v>
      </c>
      <c r="G674" s="11">
        <f t="shared" si="43"/>
        <v>194.23349104932126</v>
      </c>
    </row>
    <row r="675" spans="1:7" x14ac:dyDescent="0.25">
      <c r="A675" s="24">
        <v>41816</v>
      </c>
      <c r="B675" s="25">
        <v>195.44000199999999</v>
      </c>
      <c r="C675" s="11">
        <f t="shared" si="40"/>
        <v>196.9606256875</v>
      </c>
      <c r="D675" s="11">
        <f t="shared" si="41"/>
        <v>0.79824244423297108</v>
      </c>
      <c r="E675" s="25">
        <v>195.44000199999999</v>
      </c>
      <c r="F675" s="11">
        <f t="shared" si="42"/>
        <v>197.03648688846593</v>
      </c>
      <c r="G675" s="11">
        <f t="shared" si="43"/>
        <v>193.84351711153406</v>
      </c>
    </row>
    <row r="676" spans="1:7" x14ac:dyDescent="0.25">
      <c r="A676" s="24">
        <v>41815</v>
      </c>
      <c r="B676" s="25">
        <v>195.58000200000001</v>
      </c>
      <c r="C676" s="11">
        <f t="shared" si="40"/>
        <v>196.84187606249998</v>
      </c>
      <c r="D676" s="11">
        <f t="shared" si="41"/>
        <v>0.87561848566610068</v>
      </c>
      <c r="E676" s="25">
        <v>195.58000200000001</v>
      </c>
      <c r="F676" s="11">
        <f t="shared" si="42"/>
        <v>197.3312389713322</v>
      </c>
      <c r="G676" s="11">
        <f t="shared" si="43"/>
        <v>193.82876502866782</v>
      </c>
    </row>
    <row r="677" spans="1:7" x14ac:dyDescent="0.25">
      <c r="A677" s="24">
        <v>41814</v>
      </c>
      <c r="B677" s="25">
        <v>194.699997</v>
      </c>
      <c r="C677" s="11">
        <f t="shared" si="40"/>
        <v>196.70875074999995</v>
      </c>
      <c r="D677" s="11">
        <f t="shared" si="41"/>
        <v>0.89650183975706332</v>
      </c>
      <c r="E677" s="25">
        <v>194.699997</v>
      </c>
      <c r="F677" s="11">
        <f t="shared" si="42"/>
        <v>196.49300067951413</v>
      </c>
      <c r="G677" s="11">
        <f t="shared" si="43"/>
        <v>192.90699332048587</v>
      </c>
    </row>
    <row r="678" spans="1:7" x14ac:dyDescent="0.25">
      <c r="A678" s="24">
        <v>41813</v>
      </c>
      <c r="B678" s="25">
        <v>195.88000500000001</v>
      </c>
      <c r="C678" s="11">
        <f t="shared" si="40"/>
        <v>196.64562512500001</v>
      </c>
      <c r="D678" s="11">
        <f t="shared" si="41"/>
        <v>1.0009854566970737</v>
      </c>
      <c r="E678" s="25">
        <v>195.88000500000001</v>
      </c>
      <c r="F678" s="11">
        <f t="shared" si="42"/>
        <v>197.88197591339417</v>
      </c>
      <c r="G678" s="11">
        <f t="shared" si="43"/>
        <v>193.87803408660585</v>
      </c>
    </row>
    <row r="679" spans="1:7" x14ac:dyDescent="0.25">
      <c r="A679" s="24">
        <v>41810</v>
      </c>
      <c r="B679" s="25">
        <v>195.94000199999999</v>
      </c>
      <c r="C679" s="11">
        <f t="shared" si="40"/>
        <v>196.515625</v>
      </c>
      <c r="D679" s="11">
        <f t="shared" si="41"/>
        <v>0.95281170613652733</v>
      </c>
      <c r="E679" s="25">
        <v>195.94000199999999</v>
      </c>
      <c r="F679" s="11">
        <f t="shared" si="42"/>
        <v>197.84562541227305</v>
      </c>
      <c r="G679" s="11">
        <f t="shared" si="43"/>
        <v>194.03437858772693</v>
      </c>
    </row>
    <row r="680" spans="1:7" x14ac:dyDescent="0.25">
      <c r="A680" s="24">
        <v>41809</v>
      </c>
      <c r="B680" s="25">
        <v>196.479996</v>
      </c>
      <c r="C680" s="11">
        <f t="shared" si="40"/>
        <v>196.43500037499999</v>
      </c>
      <c r="D680" s="11">
        <f t="shared" si="41"/>
        <v>0.94285958092912803</v>
      </c>
      <c r="E680" s="25">
        <v>196.479996</v>
      </c>
      <c r="F680" s="11">
        <f t="shared" si="42"/>
        <v>198.36571516185825</v>
      </c>
      <c r="G680" s="11">
        <f t="shared" si="43"/>
        <v>194.59427683814175</v>
      </c>
    </row>
    <row r="681" spans="1:7" x14ac:dyDescent="0.25">
      <c r="A681" s="24">
        <v>41808</v>
      </c>
      <c r="B681" s="25">
        <v>196.259995</v>
      </c>
      <c r="C681" s="11">
        <f t="shared" si="40"/>
        <v>196.36499975000001</v>
      </c>
      <c r="D681" s="11">
        <f t="shared" si="41"/>
        <v>0.89073557393983838</v>
      </c>
      <c r="E681" s="25">
        <v>196.259995</v>
      </c>
      <c r="F681" s="11">
        <f t="shared" si="42"/>
        <v>198.04146614787967</v>
      </c>
      <c r="G681" s="11">
        <f t="shared" si="43"/>
        <v>194.47852385212033</v>
      </c>
    </row>
    <row r="682" spans="1:7" x14ac:dyDescent="0.25">
      <c r="A682" s="24">
        <v>41807</v>
      </c>
      <c r="B682" s="25">
        <v>194.83000200000001</v>
      </c>
      <c r="C682" s="11">
        <f t="shared" si="40"/>
        <v>196.343124375</v>
      </c>
      <c r="D682" s="11">
        <f t="shared" si="41"/>
        <v>0.88861284455971956</v>
      </c>
      <c r="E682" s="25">
        <v>194.83000200000001</v>
      </c>
      <c r="F682" s="11">
        <f t="shared" si="42"/>
        <v>196.60722768911944</v>
      </c>
      <c r="G682" s="11">
        <f t="shared" si="43"/>
        <v>193.05277631088057</v>
      </c>
    </row>
    <row r="683" spans="1:7" x14ac:dyDescent="0.25">
      <c r="A683" s="24">
        <v>41806</v>
      </c>
      <c r="B683" s="25">
        <v>194.28999300000001</v>
      </c>
      <c r="C683" s="11">
        <f t="shared" si="40"/>
        <v>196.24874975</v>
      </c>
      <c r="D683" s="11">
        <f t="shared" si="41"/>
        <v>0.96579902085409641</v>
      </c>
      <c r="E683" s="25">
        <v>194.28999300000001</v>
      </c>
      <c r="F683" s="11">
        <f t="shared" si="42"/>
        <v>196.22159104170819</v>
      </c>
      <c r="G683" s="11">
        <f t="shared" si="43"/>
        <v>192.35839495829183</v>
      </c>
    </row>
    <row r="684" spans="1:7" x14ac:dyDescent="0.25">
      <c r="A684" s="24">
        <v>41803</v>
      </c>
      <c r="B684" s="25">
        <v>194.13000500000001</v>
      </c>
      <c r="C684" s="11">
        <f t="shared" si="40"/>
        <v>196.07187462499999</v>
      </c>
      <c r="D684" s="11">
        <f t="shared" si="41"/>
        <v>1.0509874402282744</v>
      </c>
      <c r="E684" s="25">
        <v>194.13000500000001</v>
      </c>
      <c r="F684" s="11">
        <f t="shared" si="42"/>
        <v>196.23197988045655</v>
      </c>
      <c r="G684" s="11">
        <f t="shared" si="43"/>
        <v>192.02803011954347</v>
      </c>
    </row>
    <row r="685" spans="1:7" x14ac:dyDescent="0.25">
      <c r="A685" s="24">
        <v>41802</v>
      </c>
      <c r="B685" s="25">
        <v>193.53999300000001</v>
      </c>
      <c r="C685" s="11">
        <f t="shared" si="40"/>
        <v>195.93999962499998</v>
      </c>
      <c r="D685" s="11">
        <f t="shared" si="41"/>
        <v>1.1556514053486222</v>
      </c>
      <c r="E685" s="25">
        <v>193.53999300000001</v>
      </c>
      <c r="F685" s="11">
        <f t="shared" si="42"/>
        <v>195.85129581069725</v>
      </c>
      <c r="G685" s="11">
        <f t="shared" si="43"/>
        <v>191.22869018930277</v>
      </c>
    </row>
    <row r="686" spans="1:7" x14ac:dyDescent="0.25">
      <c r="A686" s="24">
        <v>41801</v>
      </c>
      <c r="B686" s="25">
        <v>194.91999799999999</v>
      </c>
      <c r="C686" s="11">
        <f t="shared" si="40"/>
        <v>195.69187449999998</v>
      </c>
      <c r="D686" s="11">
        <f t="shared" si="41"/>
        <v>1.2204655297682081</v>
      </c>
      <c r="E686" s="25">
        <v>194.91999799999999</v>
      </c>
      <c r="F686" s="11">
        <f t="shared" si="42"/>
        <v>197.3609290595364</v>
      </c>
      <c r="G686" s="11">
        <f t="shared" si="43"/>
        <v>192.47906694046358</v>
      </c>
    </row>
    <row r="687" spans="1:7" x14ac:dyDescent="0.25">
      <c r="A687" s="24">
        <v>41800</v>
      </c>
      <c r="B687" s="25">
        <v>195.60000600000001</v>
      </c>
      <c r="C687" s="11">
        <f t="shared" si="40"/>
        <v>195.48687456249999</v>
      </c>
      <c r="D687" s="11">
        <f t="shared" si="41"/>
        <v>1.0320128198987928</v>
      </c>
      <c r="E687" s="25">
        <v>195.60000600000001</v>
      </c>
      <c r="F687" s="11">
        <f t="shared" si="42"/>
        <v>197.6640316397976</v>
      </c>
      <c r="G687" s="11">
        <f t="shared" si="43"/>
        <v>193.53598036020242</v>
      </c>
    </row>
    <row r="688" spans="1:7" x14ac:dyDescent="0.25">
      <c r="A688" s="24">
        <v>41799</v>
      </c>
      <c r="B688" s="25">
        <v>195.58000200000001</v>
      </c>
      <c r="C688" s="11">
        <f t="shared" si="40"/>
        <v>195.3850001875</v>
      </c>
      <c r="D688" s="11">
        <f t="shared" si="41"/>
        <v>0.92318394953928806</v>
      </c>
      <c r="E688" s="25">
        <v>195.58000200000001</v>
      </c>
      <c r="F688" s="11">
        <f t="shared" si="42"/>
        <v>197.42636989907859</v>
      </c>
      <c r="G688" s="11">
        <f t="shared" si="43"/>
        <v>193.73363410092142</v>
      </c>
    </row>
    <row r="689" spans="1:7" x14ac:dyDescent="0.25">
      <c r="A689" s="24">
        <v>41796</v>
      </c>
      <c r="B689" s="25">
        <v>195.38000500000001</v>
      </c>
      <c r="C689" s="11">
        <f t="shared" si="40"/>
        <v>195.29437537500002</v>
      </c>
      <c r="D689" s="11">
        <f t="shared" si="41"/>
        <v>0.81586877939227853</v>
      </c>
      <c r="E689" s="25">
        <v>195.38000500000001</v>
      </c>
      <c r="F689" s="11">
        <f t="shared" si="42"/>
        <v>197.01174255878456</v>
      </c>
      <c r="G689" s="11">
        <f t="shared" si="43"/>
        <v>193.74826744121546</v>
      </c>
    </row>
    <row r="690" spans="1:7" x14ac:dyDescent="0.25">
      <c r="A690" s="24">
        <v>41795</v>
      </c>
      <c r="B690" s="25">
        <v>194.449997</v>
      </c>
      <c r="C690" s="11">
        <f t="shared" si="40"/>
        <v>195.27312562500001</v>
      </c>
      <c r="D690" s="11">
        <f t="shared" si="41"/>
        <v>0.80843793444830814</v>
      </c>
      <c r="E690" s="25">
        <v>194.449997</v>
      </c>
      <c r="F690" s="11">
        <f t="shared" si="42"/>
        <v>196.06687286889661</v>
      </c>
      <c r="G690" s="11">
        <f t="shared" si="43"/>
        <v>192.83312113110338</v>
      </c>
    </row>
    <row r="691" spans="1:7" x14ac:dyDescent="0.25">
      <c r="A691" s="24">
        <v>41794</v>
      </c>
      <c r="B691" s="25">
        <v>193.19000199999999</v>
      </c>
      <c r="C691" s="11">
        <f t="shared" si="40"/>
        <v>195.1875</v>
      </c>
      <c r="D691" s="11">
        <f t="shared" si="41"/>
        <v>0.81913498848040767</v>
      </c>
      <c r="E691" s="25">
        <v>193.19000199999999</v>
      </c>
      <c r="F691" s="11">
        <f t="shared" si="42"/>
        <v>194.82827197696082</v>
      </c>
      <c r="G691" s="11">
        <f t="shared" si="43"/>
        <v>191.55173202303916</v>
      </c>
    </row>
    <row r="692" spans="1:7" x14ac:dyDescent="0.25">
      <c r="A692" s="24">
        <v>41793</v>
      </c>
      <c r="B692" s="25">
        <v>192.800003</v>
      </c>
      <c r="C692" s="11">
        <f t="shared" si="40"/>
        <v>195.04687500000003</v>
      </c>
      <c r="D692" s="11">
        <f t="shared" si="41"/>
        <v>0.95479724515354636</v>
      </c>
      <c r="E692" s="25">
        <v>192.800003</v>
      </c>
      <c r="F692" s="11">
        <f t="shared" si="42"/>
        <v>194.70959749030709</v>
      </c>
      <c r="G692" s="11">
        <f t="shared" si="43"/>
        <v>190.89040850969292</v>
      </c>
    </row>
    <row r="693" spans="1:7" x14ac:dyDescent="0.25">
      <c r="A693" s="24">
        <v>41792</v>
      </c>
      <c r="B693" s="25">
        <v>192.89999399999999</v>
      </c>
      <c r="C693" s="11">
        <f t="shared" si="40"/>
        <v>194.87312506250001</v>
      </c>
      <c r="D693" s="11">
        <f t="shared" si="41"/>
        <v>1.0940978452297871</v>
      </c>
      <c r="E693" s="25">
        <v>192.89999399999999</v>
      </c>
      <c r="F693" s="11">
        <f t="shared" si="42"/>
        <v>195.08818969045956</v>
      </c>
      <c r="G693" s="11">
        <f t="shared" si="43"/>
        <v>190.71179830954043</v>
      </c>
    </row>
    <row r="694" spans="1:7" x14ac:dyDescent="0.25">
      <c r="A694" s="24">
        <v>41789</v>
      </c>
      <c r="B694" s="25">
        <v>192.679993</v>
      </c>
      <c r="C694" s="11">
        <f t="shared" si="40"/>
        <v>194.76062487500002</v>
      </c>
      <c r="D694" s="11">
        <f t="shared" si="41"/>
        <v>1.2004589014990281</v>
      </c>
      <c r="E694" s="25">
        <v>192.679993</v>
      </c>
      <c r="F694" s="11">
        <f t="shared" si="42"/>
        <v>195.08091080299806</v>
      </c>
      <c r="G694" s="11">
        <f t="shared" si="43"/>
        <v>190.27907519700193</v>
      </c>
    </row>
    <row r="695" spans="1:7" x14ac:dyDescent="0.25">
      <c r="A695" s="24">
        <v>41788</v>
      </c>
      <c r="B695" s="25">
        <v>192.36999499999999</v>
      </c>
      <c r="C695" s="11">
        <f t="shared" si="40"/>
        <v>194.560624125</v>
      </c>
      <c r="D695" s="11">
        <f t="shared" si="41"/>
        <v>1.2662947510443163</v>
      </c>
      <c r="E695" s="25">
        <v>192.36999499999999</v>
      </c>
      <c r="F695" s="11">
        <f t="shared" si="42"/>
        <v>194.90258450208862</v>
      </c>
      <c r="G695" s="11">
        <f t="shared" si="43"/>
        <v>189.83740549791136</v>
      </c>
    </row>
    <row r="696" spans="1:7" x14ac:dyDescent="0.25">
      <c r="A696" s="24">
        <v>41787</v>
      </c>
      <c r="B696" s="25">
        <v>191.38000500000001</v>
      </c>
      <c r="C696" s="11">
        <f t="shared" si="40"/>
        <v>194.33749868749999</v>
      </c>
      <c r="D696" s="11">
        <f t="shared" si="41"/>
        <v>1.3204077454923175</v>
      </c>
      <c r="E696" s="25">
        <v>191.38000500000001</v>
      </c>
      <c r="F696" s="11">
        <f t="shared" si="42"/>
        <v>194.02082049098465</v>
      </c>
      <c r="G696" s="11">
        <f t="shared" si="43"/>
        <v>188.73918950901538</v>
      </c>
    </row>
    <row r="697" spans="1:7" x14ac:dyDescent="0.25">
      <c r="A697" s="24">
        <v>41786</v>
      </c>
      <c r="B697" s="25">
        <v>191.520004</v>
      </c>
      <c r="C697" s="11">
        <f t="shared" si="40"/>
        <v>194.01874924999998</v>
      </c>
      <c r="D697" s="11">
        <f t="shared" si="41"/>
        <v>1.3828232986748306</v>
      </c>
      <c r="E697" s="25">
        <v>191.520004</v>
      </c>
      <c r="F697" s="11">
        <f t="shared" si="42"/>
        <v>194.28565059734967</v>
      </c>
      <c r="G697" s="11">
        <f t="shared" si="43"/>
        <v>188.75435740265033</v>
      </c>
    </row>
    <row r="698" spans="1:7" x14ac:dyDescent="0.25">
      <c r="A698" s="24">
        <v>41782</v>
      </c>
      <c r="B698" s="25">
        <v>190.35000600000001</v>
      </c>
      <c r="C698" s="11">
        <f t="shared" si="40"/>
        <v>193.72249981249999</v>
      </c>
      <c r="D698" s="11">
        <f t="shared" si="41"/>
        <v>1.3783886673786543</v>
      </c>
      <c r="E698" s="25">
        <v>190.35000600000001</v>
      </c>
      <c r="F698" s="11">
        <f t="shared" si="42"/>
        <v>193.10678333475732</v>
      </c>
      <c r="G698" s="11">
        <f t="shared" si="43"/>
        <v>187.59322866524269</v>
      </c>
    </row>
    <row r="699" spans="1:7" x14ac:dyDescent="0.25">
      <c r="A699" s="24">
        <v>41781</v>
      </c>
      <c r="B699" s="25">
        <v>189.58999600000001</v>
      </c>
      <c r="C699" s="11">
        <f t="shared" si="40"/>
        <v>193.44250006250002</v>
      </c>
      <c r="D699" s="11">
        <f t="shared" si="41"/>
        <v>1.5788621522138655</v>
      </c>
      <c r="E699" s="25">
        <v>189.58999600000001</v>
      </c>
      <c r="F699" s="11">
        <f t="shared" si="42"/>
        <v>192.74772030442773</v>
      </c>
      <c r="G699" s="11">
        <f t="shared" si="43"/>
        <v>186.4322716955723</v>
      </c>
    </row>
    <row r="700" spans="1:7" x14ac:dyDescent="0.25">
      <c r="A700" s="24">
        <v>41780</v>
      </c>
      <c r="B700" s="25">
        <v>189.13000500000001</v>
      </c>
      <c r="C700" s="11">
        <f t="shared" si="40"/>
        <v>193.14875025000003</v>
      </c>
      <c r="D700" s="11">
        <f t="shared" si="41"/>
        <v>1.8282050481344987</v>
      </c>
      <c r="E700" s="25">
        <v>189.13000500000001</v>
      </c>
      <c r="F700" s="11">
        <f t="shared" si="42"/>
        <v>192.786415096269</v>
      </c>
      <c r="G700" s="11">
        <f t="shared" si="43"/>
        <v>185.47359490373103</v>
      </c>
    </row>
    <row r="701" spans="1:7" x14ac:dyDescent="0.25">
      <c r="A701" s="24">
        <v>41779</v>
      </c>
      <c r="B701" s="25">
        <v>187.550003</v>
      </c>
      <c r="C701" s="11">
        <f t="shared" si="40"/>
        <v>192.83625025000001</v>
      </c>
      <c r="D701" s="11">
        <f t="shared" si="41"/>
        <v>2.0617138173595104</v>
      </c>
      <c r="E701" s="25">
        <v>187.550003</v>
      </c>
      <c r="F701" s="11">
        <f t="shared" si="42"/>
        <v>191.67343063471901</v>
      </c>
      <c r="G701" s="11">
        <f t="shared" si="43"/>
        <v>183.426575365281</v>
      </c>
    </row>
    <row r="702" spans="1:7" x14ac:dyDescent="0.25">
      <c r="A702" s="24">
        <v>41778</v>
      </c>
      <c r="B702" s="25">
        <v>188.740005</v>
      </c>
      <c r="C702" s="11">
        <f t="shared" si="40"/>
        <v>192.46187587500003</v>
      </c>
      <c r="D702" s="11">
        <f t="shared" si="41"/>
        <v>2.4353865584723313</v>
      </c>
      <c r="E702" s="25">
        <v>188.740005</v>
      </c>
      <c r="F702" s="11">
        <f t="shared" si="42"/>
        <v>193.61077811694466</v>
      </c>
      <c r="G702" s="11">
        <f t="shared" si="43"/>
        <v>183.86923188305533</v>
      </c>
    </row>
    <row r="703" spans="1:7" x14ac:dyDescent="0.25">
      <c r="A703" s="24">
        <v>41775</v>
      </c>
      <c r="B703" s="25">
        <v>188.050003</v>
      </c>
      <c r="C703" s="11">
        <f t="shared" si="40"/>
        <v>192.07562631250002</v>
      </c>
      <c r="D703" s="11">
        <f t="shared" si="41"/>
        <v>2.5085128951109845</v>
      </c>
      <c r="E703" s="25">
        <v>188.050003</v>
      </c>
      <c r="F703" s="11">
        <f t="shared" si="42"/>
        <v>193.06702879022197</v>
      </c>
      <c r="G703" s="11">
        <f t="shared" si="43"/>
        <v>183.03297720977804</v>
      </c>
    </row>
    <row r="704" spans="1:7" x14ac:dyDescent="0.25">
      <c r="A704" s="24">
        <v>41774</v>
      </c>
      <c r="B704" s="25">
        <v>187.39999399999999</v>
      </c>
      <c r="C704" s="11">
        <f t="shared" si="40"/>
        <v>191.603751125</v>
      </c>
      <c r="D704" s="11">
        <f t="shared" si="41"/>
        <v>2.5114575577447931</v>
      </c>
      <c r="E704" s="25">
        <v>187.39999399999999</v>
      </c>
      <c r="F704" s="11">
        <f t="shared" si="42"/>
        <v>192.42290911548957</v>
      </c>
      <c r="G704" s="11">
        <f t="shared" si="43"/>
        <v>182.37707888451041</v>
      </c>
    </row>
    <row r="705" spans="1:7" x14ac:dyDescent="0.25">
      <c r="A705" s="24">
        <v>41773</v>
      </c>
      <c r="B705" s="25">
        <v>189.05999800000001</v>
      </c>
      <c r="C705" s="11">
        <f t="shared" si="40"/>
        <v>191.09250062499999</v>
      </c>
      <c r="D705" s="11">
        <f t="shared" si="41"/>
        <v>2.480460383750668</v>
      </c>
      <c r="E705" s="25">
        <v>189.05999800000001</v>
      </c>
      <c r="F705" s="11">
        <f t="shared" si="42"/>
        <v>194.02091876750134</v>
      </c>
      <c r="G705" s="11">
        <f t="shared" si="43"/>
        <v>184.09907723249867</v>
      </c>
    </row>
    <row r="706" spans="1:7" x14ac:dyDescent="0.25">
      <c r="A706" s="24">
        <v>41772</v>
      </c>
      <c r="B706" s="25">
        <v>189.96000699999999</v>
      </c>
      <c r="C706" s="11">
        <f t="shared" si="40"/>
        <v>190.6975001875</v>
      </c>
      <c r="D706" s="11">
        <f t="shared" si="41"/>
        <v>2.2441364093318428</v>
      </c>
      <c r="E706" s="25">
        <v>189.96000699999999</v>
      </c>
      <c r="F706" s="11">
        <f t="shared" si="42"/>
        <v>194.44827981866368</v>
      </c>
      <c r="G706" s="11">
        <f t="shared" si="43"/>
        <v>185.4717341813363</v>
      </c>
    </row>
    <row r="707" spans="1:7" x14ac:dyDescent="0.25">
      <c r="A707" s="24">
        <v>41771</v>
      </c>
      <c r="B707" s="25">
        <v>189.78999300000001</v>
      </c>
      <c r="C707" s="11">
        <f t="shared" si="40"/>
        <v>190.4168758125</v>
      </c>
      <c r="D707" s="11">
        <f t="shared" si="41"/>
        <v>2.0123764821989663</v>
      </c>
      <c r="E707" s="25">
        <v>189.78999300000001</v>
      </c>
      <c r="F707" s="11">
        <f t="shared" si="42"/>
        <v>193.81474596439793</v>
      </c>
      <c r="G707" s="11">
        <f t="shared" si="43"/>
        <v>185.76524003560209</v>
      </c>
    </row>
    <row r="708" spans="1:7" x14ac:dyDescent="0.25">
      <c r="A708" s="24">
        <v>41768</v>
      </c>
      <c r="B708" s="25">
        <v>187.96000699999999</v>
      </c>
      <c r="C708" s="11">
        <f t="shared" si="40"/>
        <v>190.20437525</v>
      </c>
      <c r="D708" s="11">
        <f t="shared" si="41"/>
        <v>1.8748357434793568</v>
      </c>
      <c r="E708" s="25">
        <v>187.96000699999999</v>
      </c>
      <c r="F708" s="11">
        <f t="shared" si="42"/>
        <v>191.70967848695869</v>
      </c>
      <c r="G708" s="11">
        <f t="shared" si="43"/>
        <v>184.21033551304129</v>
      </c>
    </row>
    <row r="709" spans="1:7" x14ac:dyDescent="0.25">
      <c r="A709" s="24">
        <v>41767</v>
      </c>
      <c r="B709" s="25">
        <v>187.679993</v>
      </c>
      <c r="C709" s="11">
        <f t="shared" si="40"/>
        <v>189.90187549999999</v>
      </c>
      <c r="D709" s="11">
        <f t="shared" si="41"/>
        <v>1.8177081507666721</v>
      </c>
      <c r="E709" s="25">
        <v>187.679993</v>
      </c>
      <c r="F709" s="11">
        <f t="shared" si="42"/>
        <v>191.31540930153335</v>
      </c>
      <c r="G709" s="11">
        <f t="shared" si="43"/>
        <v>184.04457669846664</v>
      </c>
    </row>
    <row r="710" spans="1:7" x14ac:dyDescent="0.25">
      <c r="A710" s="24">
        <v>41766</v>
      </c>
      <c r="B710" s="25">
        <v>187.88000500000001</v>
      </c>
      <c r="C710" s="11">
        <f t="shared" si="40"/>
        <v>189.57562543750004</v>
      </c>
      <c r="D710" s="11">
        <f t="shared" si="41"/>
        <v>1.7089171127104232</v>
      </c>
      <c r="E710" s="25">
        <v>187.88000500000001</v>
      </c>
      <c r="F710" s="11">
        <f t="shared" si="42"/>
        <v>191.29783922542086</v>
      </c>
      <c r="G710" s="11">
        <f t="shared" si="43"/>
        <v>184.46217077457916</v>
      </c>
    </row>
    <row r="711" spans="1:7" x14ac:dyDescent="0.25">
      <c r="A711" s="24">
        <v>41765</v>
      </c>
      <c r="B711" s="25">
        <v>186.779999</v>
      </c>
      <c r="C711" s="11">
        <f t="shared" si="40"/>
        <v>189.27562618750005</v>
      </c>
      <c r="D711" s="11">
        <f t="shared" si="41"/>
        <v>1.5406492868630517</v>
      </c>
      <c r="E711" s="25">
        <v>186.779999</v>
      </c>
      <c r="F711" s="11">
        <f t="shared" si="42"/>
        <v>189.86129757372612</v>
      </c>
      <c r="G711" s="11">
        <f t="shared" si="43"/>
        <v>183.69870042627389</v>
      </c>
    </row>
    <row r="712" spans="1:7" x14ac:dyDescent="0.25">
      <c r="A712" s="24">
        <v>41764</v>
      </c>
      <c r="B712" s="25">
        <v>188.41999799999999</v>
      </c>
      <c r="C712" s="11">
        <f t="shared" si="40"/>
        <v>188.92625143750001</v>
      </c>
      <c r="D712" s="11">
        <f t="shared" si="41"/>
        <v>1.4213617093686377</v>
      </c>
      <c r="E712" s="25">
        <v>188.41999799999999</v>
      </c>
      <c r="F712" s="11">
        <f t="shared" si="42"/>
        <v>191.26272141873727</v>
      </c>
      <c r="G712" s="11">
        <f t="shared" si="43"/>
        <v>185.57727458126271</v>
      </c>
    </row>
    <row r="713" spans="1:7" x14ac:dyDescent="0.25">
      <c r="A713" s="24">
        <v>41761</v>
      </c>
      <c r="B713" s="25">
        <v>188.05999800000001</v>
      </c>
      <c r="C713" s="11">
        <f t="shared" si="40"/>
        <v>188.74125100000001</v>
      </c>
      <c r="D713" s="11">
        <f t="shared" si="41"/>
        <v>1.2646954848338279</v>
      </c>
      <c r="E713" s="25">
        <v>188.05999800000001</v>
      </c>
      <c r="F713" s="11">
        <f t="shared" si="42"/>
        <v>190.58938896966765</v>
      </c>
      <c r="G713" s="11">
        <f t="shared" si="43"/>
        <v>185.53060703033236</v>
      </c>
    </row>
    <row r="714" spans="1:7" x14ac:dyDescent="0.25">
      <c r="A714" s="24">
        <v>41760</v>
      </c>
      <c r="B714" s="25">
        <v>188.33000200000001</v>
      </c>
      <c r="C714" s="11">
        <f t="shared" si="40"/>
        <v>188.52500062499999</v>
      </c>
      <c r="D714" s="11">
        <f t="shared" si="41"/>
        <v>1.0323510339796831</v>
      </c>
      <c r="E714" s="25">
        <v>188.33000200000001</v>
      </c>
      <c r="F714" s="11">
        <f t="shared" si="42"/>
        <v>190.39470406795937</v>
      </c>
      <c r="G714" s="11">
        <f t="shared" si="43"/>
        <v>186.26529993204065</v>
      </c>
    </row>
    <row r="715" spans="1:7" x14ac:dyDescent="0.25">
      <c r="A715" s="24">
        <v>41759</v>
      </c>
      <c r="B715" s="25">
        <v>188.30999800000001</v>
      </c>
      <c r="C715" s="11">
        <f t="shared" si="40"/>
        <v>188.39875037499999</v>
      </c>
      <c r="D715" s="11">
        <f t="shared" si="41"/>
        <v>0.91062556137180739</v>
      </c>
      <c r="E715" s="25">
        <v>188.30999800000001</v>
      </c>
      <c r="F715" s="11">
        <f t="shared" si="42"/>
        <v>190.13124912274361</v>
      </c>
      <c r="G715" s="11">
        <f t="shared" si="43"/>
        <v>186.4887468772564</v>
      </c>
    </row>
    <row r="716" spans="1:7" x14ac:dyDescent="0.25">
      <c r="A716" s="24">
        <v>41758</v>
      </c>
      <c r="B716" s="25">
        <v>187.75</v>
      </c>
      <c r="C716" s="11">
        <f t="shared" si="40"/>
        <v>188.31875050000002</v>
      </c>
      <c r="D716" s="11">
        <f t="shared" si="41"/>
        <v>0.8534242735530011</v>
      </c>
      <c r="E716" s="25">
        <v>187.75</v>
      </c>
      <c r="F716" s="11">
        <f t="shared" si="42"/>
        <v>189.45684854710601</v>
      </c>
      <c r="G716" s="11">
        <f t="shared" si="43"/>
        <v>186.04315145289399</v>
      </c>
    </row>
    <row r="717" spans="1:7" x14ac:dyDescent="0.25">
      <c r="A717" s="24">
        <v>41757</v>
      </c>
      <c r="B717" s="25">
        <v>186.88000500000001</v>
      </c>
      <c r="C717" s="11">
        <f t="shared" si="40"/>
        <v>188.23250018750002</v>
      </c>
      <c r="D717" s="11">
        <f t="shared" si="41"/>
        <v>0.83551629807843719</v>
      </c>
      <c r="E717" s="25">
        <v>186.88000500000001</v>
      </c>
      <c r="F717" s="11">
        <f t="shared" si="42"/>
        <v>188.55103759615687</v>
      </c>
      <c r="G717" s="11">
        <f t="shared" si="43"/>
        <v>185.20897240384315</v>
      </c>
    </row>
    <row r="718" spans="1:7" x14ac:dyDescent="0.25">
      <c r="A718" s="24">
        <v>41754</v>
      </c>
      <c r="B718" s="25">
        <v>186.28999300000001</v>
      </c>
      <c r="C718" s="11">
        <f t="shared" si="40"/>
        <v>188.19062531250003</v>
      </c>
      <c r="D718" s="11">
        <f t="shared" si="41"/>
        <v>0.88719396616844404</v>
      </c>
      <c r="E718" s="25">
        <v>186.28999300000001</v>
      </c>
      <c r="F718" s="11">
        <f t="shared" si="42"/>
        <v>188.06438093233689</v>
      </c>
      <c r="G718" s="11">
        <f t="shared" si="43"/>
        <v>184.51560506766313</v>
      </c>
    </row>
    <row r="719" spans="1:7" x14ac:dyDescent="0.25">
      <c r="A719" s="24">
        <v>41753</v>
      </c>
      <c r="B719" s="25">
        <v>187.83000200000001</v>
      </c>
      <c r="C719" s="11">
        <f t="shared" si="40"/>
        <v>188.03749956250002</v>
      </c>
      <c r="D719" s="11">
        <f t="shared" si="41"/>
        <v>0.99136680817807954</v>
      </c>
      <c r="E719" s="25">
        <v>187.83000200000001</v>
      </c>
      <c r="F719" s="11">
        <f t="shared" si="42"/>
        <v>189.81273561635618</v>
      </c>
      <c r="G719" s="11">
        <f t="shared" si="43"/>
        <v>185.84726838364384</v>
      </c>
    </row>
    <row r="720" spans="1:7" x14ac:dyDescent="0.25">
      <c r="A720" s="24">
        <v>41752</v>
      </c>
      <c r="B720" s="25">
        <v>187.449997</v>
      </c>
      <c r="C720" s="11">
        <f t="shared" si="40"/>
        <v>188.02374950000001</v>
      </c>
      <c r="D720" s="11">
        <f t="shared" si="41"/>
        <v>0.99270660655106469</v>
      </c>
      <c r="E720" s="25">
        <v>187.449997</v>
      </c>
      <c r="F720" s="11">
        <f t="shared" si="42"/>
        <v>189.43541021310213</v>
      </c>
      <c r="G720" s="11">
        <f t="shared" si="43"/>
        <v>185.46458378689786</v>
      </c>
    </row>
    <row r="721" spans="1:7" x14ac:dyDescent="0.25">
      <c r="A721" s="24">
        <v>41751</v>
      </c>
      <c r="B721" s="25">
        <v>187.88999899999999</v>
      </c>
      <c r="C721" s="11">
        <f t="shared" si="40"/>
        <v>188.02687468750003</v>
      </c>
      <c r="D721" s="11">
        <f t="shared" si="41"/>
        <v>0.99068867760689194</v>
      </c>
      <c r="E721" s="25">
        <v>187.88999899999999</v>
      </c>
      <c r="F721" s="11">
        <f t="shared" si="42"/>
        <v>189.87137635521378</v>
      </c>
      <c r="G721" s="11">
        <f t="shared" si="43"/>
        <v>185.90862164478619</v>
      </c>
    </row>
    <row r="722" spans="1:7" x14ac:dyDescent="0.25">
      <c r="A722" s="24">
        <v>41750</v>
      </c>
      <c r="B722" s="25">
        <v>187.03999300000001</v>
      </c>
      <c r="C722" s="11">
        <f t="shared" si="40"/>
        <v>187.95374975000001</v>
      </c>
      <c r="D722" s="11">
        <f t="shared" si="41"/>
        <v>0.95176313265871437</v>
      </c>
      <c r="E722" s="25">
        <v>187.03999300000001</v>
      </c>
      <c r="F722" s="11">
        <f t="shared" si="42"/>
        <v>188.94351926531743</v>
      </c>
      <c r="G722" s="11">
        <f t="shared" si="43"/>
        <v>185.13646673468259</v>
      </c>
    </row>
    <row r="723" spans="1:7" x14ac:dyDescent="0.25">
      <c r="A723" s="24">
        <v>41746</v>
      </c>
      <c r="B723" s="25">
        <v>186.38999899999999</v>
      </c>
      <c r="C723" s="11">
        <f t="shared" si="40"/>
        <v>187.771248875</v>
      </c>
      <c r="D723" s="11">
        <f t="shared" si="41"/>
        <v>0.81095721405039733</v>
      </c>
      <c r="E723" s="25">
        <v>186.38999899999999</v>
      </c>
      <c r="F723" s="11">
        <f t="shared" si="42"/>
        <v>188.0119134281008</v>
      </c>
      <c r="G723" s="11">
        <f t="shared" si="43"/>
        <v>184.76808457189918</v>
      </c>
    </row>
    <row r="724" spans="1:7" x14ac:dyDescent="0.25">
      <c r="A724" s="24">
        <v>41745</v>
      </c>
      <c r="B724" s="25">
        <v>186.13000500000001</v>
      </c>
      <c r="C724" s="11">
        <f t="shared" ref="C724:C787" si="44">AVERAGE(B708:B723)</f>
        <v>187.55874925000001</v>
      </c>
      <c r="D724" s="11">
        <f t="shared" ref="D724:D787" si="45">_xlfn.STDEV.S(B708:B723)</f>
        <v>0.68189930685153133</v>
      </c>
      <c r="E724" s="25">
        <v>186.13000500000001</v>
      </c>
      <c r="F724" s="11">
        <f t="shared" ref="F724:F787" si="46">B724+2*D724</f>
        <v>187.49380361370308</v>
      </c>
      <c r="G724" s="11">
        <f t="shared" ref="G724:G787" si="47">B724-2*D724</f>
        <v>184.76620638629694</v>
      </c>
    </row>
    <row r="725" spans="1:7" x14ac:dyDescent="0.25">
      <c r="A725" s="24">
        <v>41744</v>
      </c>
      <c r="B725" s="25">
        <v>184.199997</v>
      </c>
      <c r="C725" s="11">
        <f t="shared" si="44"/>
        <v>187.444374125</v>
      </c>
      <c r="D725" s="11">
        <f t="shared" si="45"/>
        <v>0.75920114211108858</v>
      </c>
      <c r="E725" s="25">
        <v>184.199997</v>
      </c>
      <c r="F725" s="11">
        <f t="shared" si="46"/>
        <v>185.71839928422219</v>
      </c>
      <c r="G725" s="11">
        <f t="shared" si="47"/>
        <v>182.68159471577781</v>
      </c>
    </row>
    <row r="726" spans="1:7" x14ac:dyDescent="0.25">
      <c r="A726" s="24">
        <v>41743</v>
      </c>
      <c r="B726" s="25">
        <v>182.94000199999999</v>
      </c>
      <c r="C726" s="11">
        <f t="shared" si="44"/>
        <v>187.22687437500002</v>
      </c>
      <c r="D726" s="11">
        <f t="shared" si="45"/>
        <v>1.1063261733535841</v>
      </c>
      <c r="E726" s="25">
        <v>182.94000199999999</v>
      </c>
      <c r="F726" s="11">
        <f t="shared" si="46"/>
        <v>185.15265434670715</v>
      </c>
      <c r="G726" s="11">
        <f t="shared" si="47"/>
        <v>180.72734965329283</v>
      </c>
    </row>
    <row r="727" spans="1:7" x14ac:dyDescent="0.25">
      <c r="A727" s="24">
        <v>41740</v>
      </c>
      <c r="B727" s="25">
        <v>181.509995</v>
      </c>
      <c r="C727" s="11">
        <f t="shared" si="44"/>
        <v>186.91812418749998</v>
      </c>
      <c r="D727" s="11">
        <f t="shared" si="45"/>
        <v>1.5228226493682167</v>
      </c>
      <c r="E727" s="25">
        <v>181.509995</v>
      </c>
      <c r="F727" s="11">
        <f t="shared" si="46"/>
        <v>184.55564029873645</v>
      </c>
      <c r="G727" s="11">
        <f t="shared" si="47"/>
        <v>178.46434970126356</v>
      </c>
    </row>
    <row r="728" spans="1:7" x14ac:dyDescent="0.25">
      <c r="A728" s="24">
        <v>41739</v>
      </c>
      <c r="B728" s="25">
        <v>183.16000399999999</v>
      </c>
      <c r="C728" s="11">
        <f t="shared" si="44"/>
        <v>186.58874893749999</v>
      </c>
      <c r="D728" s="11">
        <f t="shared" si="45"/>
        <v>2.0376098118089079</v>
      </c>
      <c r="E728" s="25">
        <v>183.16000399999999</v>
      </c>
      <c r="F728" s="11">
        <f t="shared" si="46"/>
        <v>187.2352236236178</v>
      </c>
      <c r="G728" s="11">
        <f t="shared" si="47"/>
        <v>179.08478437638217</v>
      </c>
    </row>
    <row r="729" spans="1:7" x14ac:dyDescent="0.25">
      <c r="A729" s="24">
        <v>41738</v>
      </c>
      <c r="B729" s="25">
        <v>187.08999600000001</v>
      </c>
      <c r="C729" s="11">
        <f t="shared" si="44"/>
        <v>186.25999931249999</v>
      </c>
      <c r="D729" s="11">
        <f t="shared" si="45"/>
        <v>2.1440056567124017</v>
      </c>
      <c r="E729" s="25">
        <v>187.08999600000001</v>
      </c>
      <c r="F729" s="11">
        <f t="shared" si="46"/>
        <v>191.3780073134248</v>
      </c>
      <c r="G729" s="11">
        <f t="shared" si="47"/>
        <v>182.80198468657522</v>
      </c>
    </row>
    <row r="730" spans="1:7" x14ac:dyDescent="0.25">
      <c r="A730" s="24">
        <v>41737</v>
      </c>
      <c r="B730" s="25">
        <v>185.10000600000001</v>
      </c>
      <c r="C730" s="11">
        <f t="shared" si="44"/>
        <v>186.19937418749998</v>
      </c>
      <c r="D730" s="11">
        <f t="shared" si="45"/>
        <v>2.1030374314941174</v>
      </c>
      <c r="E730" s="25">
        <v>185.10000600000001</v>
      </c>
      <c r="F730" s="11">
        <f t="shared" si="46"/>
        <v>189.30608086298824</v>
      </c>
      <c r="G730" s="11">
        <f t="shared" si="47"/>
        <v>180.89393113701178</v>
      </c>
    </row>
    <row r="731" spans="1:7" x14ac:dyDescent="0.25">
      <c r="A731" s="24">
        <v>41736</v>
      </c>
      <c r="B731" s="25">
        <v>184.33999600000001</v>
      </c>
      <c r="C731" s="11">
        <f t="shared" si="44"/>
        <v>185.99749943750001</v>
      </c>
      <c r="D731" s="11">
        <f t="shared" si="45"/>
        <v>2.0389290894203604</v>
      </c>
      <c r="E731" s="25">
        <v>184.33999600000001</v>
      </c>
      <c r="F731" s="11">
        <f t="shared" si="46"/>
        <v>188.41785417884074</v>
      </c>
      <c r="G731" s="11">
        <f t="shared" si="47"/>
        <v>180.26213782115929</v>
      </c>
    </row>
    <row r="732" spans="1:7" x14ac:dyDescent="0.25">
      <c r="A732" s="24">
        <v>41733</v>
      </c>
      <c r="B732" s="25">
        <v>186.39999399999999</v>
      </c>
      <c r="C732" s="11">
        <f t="shared" si="44"/>
        <v>185.74937431250001</v>
      </c>
      <c r="D732" s="11">
        <f t="shared" si="45"/>
        <v>1.9794458530361057</v>
      </c>
      <c r="E732" s="25">
        <v>186.39999399999999</v>
      </c>
      <c r="F732" s="11">
        <f t="shared" si="46"/>
        <v>190.35888570607221</v>
      </c>
      <c r="G732" s="11">
        <f t="shared" si="47"/>
        <v>182.44110229392777</v>
      </c>
    </row>
    <row r="733" spans="1:7" x14ac:dyDescent="0.25">
      <c r="A733" s="24">
        <v>41732</v>
      </c>
      <c r="B733" s="25">
        <v>188.63000500000001</v>
      </c>
      <c r="C733" s="11">
        <f t="shared" si="44"/>
        <v>185.6649989375</v>
      </c>
      <c r="D733" s="11">
        <f t="shared" si="45"/>
        <v>1.916246049794633</v>
      </c>
      <c r="E733" s="25">
        <v>188.63000500000001</v>
      </c>
      <c r="F733" s="11">
        <f t="shared" si="46"/>
        <v>192.46249709958929</v>
      </c>
      <c r="G733" s="11">
        <f t="shared" si="47"/>
        <v>184.79751290041074</v>
      </c>
    </row>
    <row r="734" spans="1:7" x14ac:dyDescent="0.25">
      <c r="A734" s="24">
        <v>41731</v>
      </c>
      <c r="B734" s="25">
        <v>188.88000500000001</v>
      </c>
      <c r="C734" s="11">
        <f t="shared" si="44"/>
        <v>185.7743739375</v>
      </c>
      <c r="D734" s="11">
        <f t="shared" si="45"/>
        <v>2.0363954890779126</v>
      </c>
      <c r="E734" s="25">
        <v>188.88000500000001</v>
      </c>
      <c r="F734" s="11">
        <f t="shared" si="46"/>
        <v>192.95279597815585</v>
      </c>
      <c r="G734" s="11">
        <f t="shared" si="47"/>
        <v>184.80721402184417</v>
      </c>
    </row>
    <row r="735" spans="1:7" x14ac:dyDescent="0.25">
      <c r="A735" s="24">
        <v>41730</v>
      </c>
      <c r="B735" s="25">
        <v>188.25</v>
      </c>
      <c r="C735" s="11">
        <f t="shared" si="44"/>
        <v>185.93624968750001</v>
      </c>
      <c r="D735" s="11">
        <f t="shared" si="45"/>
        <v>2.1781248810662142</v>
      </c>
      <c r="E735" s="25">
        <v>188.25</v>
      </c>
      <c r="F735" s="11">
        <f t="shared" si="46"/>
        <v>192.60624976213242</v>
      </c>
      <c r="G735" s="11">
        <f t="shared" si="47"/>
        <v>183.89375023786758</v>
      </c>
    </row>
    <row r="736" spans="1:7" x14ac:dyDescent="0.25">
      <c r="A736" s="24">
        <v>41729</v>
      </c>
      <c r="B736" s="25">
        <v>187.009995</v>
      </c>
      <c r="C736" s="11">
        <f t="shared" si="44"/>
        <v>185.9624995625</v>
      </c>
      <c r="D736" s="11">
        <f t="shared" si="45"/>
        <v>2.2048361655731563</v>
      </c>
      <c r="E736" s="25">
        <v>187.009995</v>
      </c>
      <c r="F736" s="11">
        <f t="shared" si="46"/>
        <v>191.41966733114631</v>
      </c>
      <c r="G736" s="11">
        <f t="shared" si="47"/>
        <v>182.60032266885369</v>
      </c>
    </row>
    <row r="737" spans="1:7" x14ac:dyDescent="0.25">
      <c r="A737" s="24">
        <v>41726</v>
      </c>
      <c r="B737" s="25">
        <v>185.490005</v>
      </c>
      <c r="C737" s="11">
        <f t="shared" si="44"/>
        <v>185.93499943750001</v>
      </c>
      <c r="D737" s="11">
        <f t="shared" si="45"/>
        <v>2.1877238660352623</v>
      </c>
      <c r="E737" s="25">
        <v>185.490005</v>
      </c>
      <c r="F737" s="11">
        <f t="shared" si="46"/>
        <v>189.86545273207051</v>
      </c>
      <c r="G737" s="11">
        <f t="shared" si="47"/>
        <v>181.11455726792948</v>
      </c>
    </row>
    <row r="738" spans="1:7" x14ac:dyDescent="0.25">
      <c r="A738" s="24">
        <v>41725</v>
      </c>
      <c r="B738" s="25">
        <v>184.58000200000001</v>
      </c>
      <c r="C738" s="11">
        <f t="shared" si="44"/>
        <v>185.78499981250002</v>
      </c>
      <c r="D738" s="11">
        <f t="shared" si="45"/>
        <v>2.1261551255781357</v>
      </c>
      <c r="E738" s="25">
        <v>184.58000200000001</v>
      </c>
      <c r="F738" s="11">
        <f t="shared" si="46"/>
        <v>188.83231225115628</v>
      </c>
      <c r="G738" s="11">
        <f t="shared" si="47"/>
        <v>180.32769174884373</v>
      </c>
    </row>
    <row r="739" spans="1:7" x14ac:dyDescent="0.25">
      <c r="A739" s="24">
        <v>41724</v>
      </c>
      <c r="B739" s="25">
        <v>184.970001</v>
      </c>
      <c r="C739" s="11">
        <f t="shared" si="44"/>
        <v>185.63125037500001</v>
      </c>
      <c r="D739" s="11">
        <f t="shared" si="45"/>
        <v>2.1182826985601007</v>
      </c>
      <c r="E739" s="25">
        <v>184.970001</v>
      </c>
      <c r="F739" s="11">
        <f t="shared" si="46"/>
        <v>189.20656639712018</v>
      </c>
      <c r="G739" s="11">
        <f t="shared" si="47"/>
        <v>180.73343560287981</v>
      </c>
    </row>
    <row r="740" spans="1:7" x14ac:dyDescent="0.25">
      <c r="A740" s="24">
        <v>41723</v>
      </c>
      <c r="B740" s="25">
        <v>186.30999800000001</v>
      </c>
      <c r="C740" s="11">
        <f t="shared" si="44"/>
        <v>185.54250050000002</v>
      </c>
      <c r="D740" s="11">
        <f t="shared" si="45"/>
        <v>2.1141168444575027</v>
      </c>
      <c r="E740" s="25">
        <v>186.30999800000001</v>
      </c>
      <c r="F740" s="11">
        <f t="shared" si="46"/>
        <v>190.538231688915</v>
      </c>
      <c r="G740" s="11">
        <f t="shared" si="47"/>
        <v>182.08176431108501</v>
      </c>
    </row>
    <row r="741" spans="1:7" x14ac:dyDescent="0.25">
      <c r="A741" s="24">
        <v>41722</v>
      </c>
      <c r="B741" s="25">
        <v>185.429993</v>
      </c>
      <c r="C741" s="11">
        <f t="shared" si="44"/>
        <v>185.55375006250003</v>
      </c>
      <c r="D741" s="11">
        <f t="shared" si="45"/>
        <v>2.1179269189904733</v>
      </c>
      <c r="E741" s="25">
        <v>185.429993</v>
      </c>
      <c r="F741" s="11">
        <f t="shared" si="46"/>
        <v>189.66584683798095</v>
      </c>
      <c r="G741" s="11">
        <f t="shared" si="47"/>
        <v>181.19413916201904</v>
      </c>
    </row>
    <row r="742" spans="1:7" x14ac:dyDescent="0.25">
      <c r="A742" s="24">
        <v>41719</v>
      </c>
      <c r="B742" s="25">
        <v>186.199997</v>
      </c>
      <c r="C742" s="11">
        <f t="shared" si="44"/>
        <v>185.63062481250003</v>
      </c>
      <c r="D742" s="11">
        <f t="shared" si="45"/>
        <v>2.0876195268623809</v>
      </c>
      <c r="E742" s="25">
        <v>186.199997</v>
      </c>
      <c r="F742" s="11">
        <f t="shared" si="46"/>
        <v>190.37523605372476</v>
      </c>
      <c r="G742" s="11">
        <f t="shared" si="47"/>
        <v>182.02475794627523</v>
      </c>
    </row>
    <row r="743" spans="1:7" x14ac:dyDescent="0.25">
      <c r="A743" s="24">
        <v>41718</v>
      </c>
      <c r="B743" s="25">
        <v>187.75</v>
      </c>
      <c r="C743" s="11">
        <f t="shared" si="44"/>
        <v>185.83437450000005</v>
      </c>
      <c r="D743" s="11">
        <f t="shared" si="45"/>
        <v>1.9628693272911837</v>
      </c>
      <c r="E743" s="25">
        <v>187.75</v>
      </c>
      <c r="F743" s="11">
        <f t="shared" si="46"/>
        <v>191.67573865458237</v>
      </c>
      <c r="G743" s="11">
        <f t="shared" si="47"/>
        <v>183.82426134541763</v>
      </c>
    </row>
    <row r="744" spans="1:7" x14ac:dyDescent="0.25">
      <c r="A744" s="24">
        <v>41717</v>
      </c>
      <c r="B744" s="25">
        <v>186.66000399999999</v>
      </c>
      <c r="C744" s="11">
        <f t="shared" si="44"/>
        <v>186.22437481250006</v>
      </c>
      <c r="D744" s="11">
        <f t="shared" si="45"/>
        <v>1.6396869424077387</v>
      </c>
      <c r="E744" s="25">
        <v>186.66000399999999</v>
      </c>
      <c r="F744" s="11">
        <f t="shared" si="46"/>
        <v>189.93937788481546</v>
      </c>
      <c r="G744" s="11">
        <f t="shared" si="47"/>
        <v>183.38063011518452</v>
      </c>
    </row>
    <row r="745" spans="1:7" x14ac:dyDescent="0.25">
      <c r="A745" s="24">
        <v>41716</v>
      </c>
      <c r="B745" s="25">
        <v>187.66000399999999</v>
      </c>
      <c r="C745" s="11">
        <f t="shared" si="44"/>
        <v>186.44312481250003</v>
      </c>
      <c r="D745" s="11">
        <f t="shared" si="45"/>
        <v>1.4227292632832265</v>
      </c>
      <c r="E745" s="25">
        <v>187.66000399999999</v>
      </c>
      <c r="F745" s="11">
        <f t="shared" si="46"/>
        <v>190.50546252656645</v>
      </c>
      <c r="G745" s="11">
        <f t="shared" si="47"/>
        <v>184.81454547343353</v>
      </c>
    </row>
    <row r="746" spans="1:7" x14ac:dyDescent="0.25">
      <c r="A746" s="24">
        <v>41715</v>
      </c>
      <c r="B746" s="25">
        <v>186.33000200000001</v>
      </c>
      <c r="C746" s="11">
        <f t="shared" si="44"/>
        <v>186.47875031250001</v>
      </c>
      <c r="D746" s="11">
        <f t="shared" si="45"/>
        <v>1.4469375511238771</v>
      </c>
      <c r="E746" s="25">
        <v>186.33000200000001</v>
      </c>
      <c r="F746" s="11">
        <f t="shared" si="46"/>
        <v>189.22387710224777</v>
      </c>
      <c r="G746" s="11">
        <f t="shared" si="47"/>
        <v>183.43612689775225</v>
      </c>
    </row>
    <row r="747" spans="1:7" x14ac:dyDescent="0.25">
      <c r="A747" s="24">
        <v>41712</v>
      </c>
      <c r="B747" s="25">
        <v>184.66000399999999</v>
      </c>
      <c r="C747" s="11">
        <f t="shared" si="44"/>
        <v>186.55562506249998</v>
      </c>
      <c r="D747" s="11">
        <f t="shared" si="45"/>
        <v>1.4007392976330975</v>
      </c>
      <c r="E747" s="25">
        <v>184.66000399999999</v>
      </c>
      <c r="F747" s="11">
        <f t="shared" si="46"/>
        <v>187.46148259526618</v>
      </c>
      <c r="G747" s="11">
        <f t="shared" si="47"/>
        <v>181.8585254047338</v>
      </c>
    </row>
    <row r="748" spans="1:7" x14ac:dyDescent="0.25">
      <c r="A748" s="24">
        <v>41711</v>
      </c>
      <c r="B748" s="25">
        <v>185.179993</v>
      </c>
      <c r="C748" s="11">
        <f t="shared" si="44"/>
        <v>186.57562556249997</v>
      </c>
      <c r="D748" s="11">
        <f t="shared" si="45"/>
        <v>1.3689174664432244</v>
      </c>
      <c r="E748" s="25">
        <v>185.179993</v>
      </c>
      <c r="F748" s="11">
        <f t="shared" si="46"/>
        <v>187.91782793288644</v>
      </c>
      <c r="G748" s="11">
        <f t="shared" si="47"/>
        <v>182.44215806711355</v>
      </c>
    </row>
    <row r="749" spans="1:7" x14ac:dyDescent="0.25">
      <c r="A749" s="24">
        <v>41710</v>
      </c>
      <c r="B749" s="25">
        <v>187.279999</v>
      </c>
      <c r="C749" s="11">
        <f t="shared" si="44"/>
        <v>186.49937549999996</v>
      </c>
      <c r="D749" s="11">
        <f t="shared" si="45"/>
        <v>1.4126321554758248</v>
      </c>
      <c r="E749" s="25">
        <v>187.279999</v>
      </c>
      <c r="F749" s="11">
        <f t="shared" si="46"/>
        <v>190.10526331095164</v>
      </c>
      <c r="G749" s="11">
        <f t="shared" si="47"/>
        <v>184.45473468904837</v>
      </c>
    </row>
    <row r="750" spans="1:7" x14ac:dyDescent="0.25">
      <c r="A750" s="24">
        <v>41709</v>
      </c>
      <c r="B750" s="25">
        <v>187.229996</v>
      </c>
      <c r="C750" s="11">
        <f t="shared" si="44"/>
        <v>186.41500012499998</v>
      </c>
      <c r="D750" s="11">
        <f t="shared" si="45"/>
        <v>1.313743450862048</v>
      </c>
      <c r="E750" s="25">
        <v>187.229996</v>
      </c>
      <c r="F750" s="11">
        <f t="shared" si="46"/>
        <v>189.8574829017241</v>
      </c>
      <c r="G750" s="11">
        <f t="shared" si="47"/>
        <v>184.6025090982759</v>
      </c>
    </row>
    <row r="751" spans="1:7" x14ac:dyDescent="0.25">
      <c r="A751" s="24">
        <v>41708</v>
      </c>
      <c r="B751" s="25">
        <v>188.16000399999999</v>
      </c>
      <c r="C751" s="11">
        <f t="shared" si="44"/>
        <v>186.31187456250001</v>
      </c>
      <c r="D751" s="11">
        <f t="shared" si="45"/>
        <v>1.1635187709840056</v>
      </c>
      <c r="E751" s="25">
        <v>188.16000399999999</v>
      </c>
      <c r="F751" s="11">
        <f t="shared" si="46"/>
        <v>190.48704154196801</v>
      </c>
      <c r="G751" s="11">
        <f t="shared" si="47"/>
        <v>185.83296645803196</v>
      </c>
    </row>
    <row r="752" spans="1:7" x14ac:dyDescent="0.25">
      <c r="A752" s="24">
        <v>41705</v>
      </c>
      <c r="B752" s="25">
        <v>188.259995</v>
      </c>
      <c r="C752" s="11">
        <f t="shared" si="44"/>
        <v>186.3062498125</v>
      </c>
      <c r="D752" s="11">
        <f t="shared" si="45"/>
        <v>1.1537008554430506</v>
      </c>
      <c r="E752" s="25">
        <v>188.259995</v>
      </c>
      <c r="F752" s="11">
        <f t="shared" si="46"/>
        <v>190.5673967108861</v>
      </c>
      <c r="G752" s="11">
        <f t="shared" si="47"/>
        <v>185.95259328911391</v>
      </c>
    </row>
    <row r="753" spans="1:7" x14ac:dyDescent="0.25">
      <c r="A753" s="24">
        <v>41704</v>
      </c>
      <c r="B753" s="25">
        <v>188.179993</v>
      </c>
      <c r="C753" s="11">
        <f t="shared" si="44"/>
        <v>186.3843748125</v>
      </c>
      <c r="D753" s="11">
        <f t="shared" si="45"/>
        <v>1.2433715367633931</v>
      </c>
      <c r="E753" s="25">
        <v>188.179993</v>
      </c>
      <c r="F753" s="11">
        <f t="shared" si="46"/>
        <v>190.66673607352678</v>
      </c>
      <c r="G753" s="11">
        <f t="shared" si="47"/>
        <v>185.69324992647321</v>
      </c>
    </row>
    <row r="754" spans="1:7" x14ac:dyDescent="0.25">
      <c r="A754" s="24">
        <v>41703</v>
      </c>
      <c r="B754" s="25">
        <v>187.75</v>
      </c>
      <c r="C754" s="11">
        <f t="shared" si="44"/>
        <v>186.5524990625</v>
      </c>
      <c r="D754" s="11">
        <f t="shared" si="45"/>
        <v>1.2951624550678551</v>
      </c>
      <c r="E754" s="25">
        <v>187.75</v>
      </c>
      <c r="F754" s="11">
        <f t="shared" si="46"/>
        <v>190.34032491013571</v>
      </c>
      <c r="G754" s="11">
        <f t="shared" si="47"/>
        <v>185.15967508986429</v>
      </c>
    </row>
    <row r="755" spans="1:7" x14ac:dyDescent="0.25">
      <c r="A755" s="24">
        <v>41702</v>
      </c>
      <c r="B755" s="25">
        <v>187.58000200000001</v>
      </c>
      <c r="C755" s="11">
        <f t="shared" si="44"/>
        <v>186.7506239375</v>
      </c>
      <c r="D755" s="11">
        <f t="shared" si="45"/>
        <v>1.2131747648629185</v>
      </c>
      <c r="E755" s="25">
        <v>187.58000200000001</v>
      </c>
      <c r="F755" s="11">
        <f t="shared" si="46"/>
        <v>190.00635152972583</v>
      </c>
      <c r="G755" s="11">
        <f t="shared" si="47"/>
        <v>185.15365247027418</v>
      </c>
    </row>
    <row r="756" spans="1:7" x14ac:dyDescent="0.25">
      <c r="A756" s="24">
        <v>41701</v>
      </c>
      <c r="B756" s="25">
        <v>184.979996</v>
      </c>
      <c r="C756" s="11">
        <f t="shared" si="44"/>
        <v>186.913749</v>
      </c>
      <c r="D756" s="11">
        <f t="shared" si="45"/>
        <v>1.130439103483186</v>
      </c>
      <c r="E756" s="25">
        <v>184.979996</v>
      </c>
      <c r="F756" s="11">
        <f t="shared" si="46"/>
        <v>187.24087420696637</v>
      </c>
      <c r="G756" s="11">
        <f t="shared" si="47"/>
        <v>182.71911779303363</v>
      </c>
    </row>
    <row r="757" spans="1:7" x14ac:dyDescent="0.25">
      <c r="A757" s="24">
        <v>41698</v>
      </c>
      <c r="B757" s="25">
        <v>186.28999300000001</v>
      </c>
      <c r="C757" s="11">
        <f t="shared" si="44"/>
        <v>186.83062387500001</v>
      </c>
      <c r="D757" s="11">
        <f t="shared" si="45"/>
        <v>1.2229122975576456</v>
      </c>
      <c r="E757" s="25">
        <v>186.28999300000001</v>
      </c>
      <c r="F757" s="11">
        <f t="shared" si="46"/>
        <v>188.73581759511529</v>
      </c>
      <c r="G757" s="11">
        <f t="shared" si="47"/>
        <v>183.84416840488473</v>
      </c>
    </row>
    <row r="758" spans="1:7" x14ac:dyDescent="0.25">
      <c r="A758" s="24">
        <v>41697</v>
      </c>
      <c r="B758" s="25">
        <v>185.820007</v>
      </c>
      <c r="C758" s="11">
        <f t="shared" si="44"/>
        <v>186.88437387500002</v>
      </c>
      <c r="D758" s="11">
        <f t="shared" si="45"/>
        <v>1.1752164965873528</v>
      </c>
      <c r="E758" s="25">
        <v>185.820007</v>
      </c>
      <c r="F758" s="11">
        <f t="shared" si="46"/>
        <v>188.17043999317471</v>
      </c>
      <c r="G758" s="11">
        <f t="shared" si="47"/>
        <v>183.4695740068253</v>
      </c>
    </row>
    <row r="759" spans="1:7" x14ac:dyDescent="0.25">
      <c r="A759" s="24">
        <v>41696</v>
      </c>
      <c r="B759" s="25">
        <v>184.85000600000001</v>
      </c>
      <c r="C759" s="11">
        <f t="shared" si="44"/>
        <v>186.8606245</v>
      </c>
      <c r="D759" s="11">
        <f t="shared" si="45"/>
        <v>1.1936634874849781</v>
      </c>
      <c r="E759" s="25">
        <v>184.85000600000001</v>
      </c>
      <c r="F759" s="11">
        <f t="shared" si="46"/>
        <v>187.23733297496997</v>
      </c>
      <c r="G759" s="11">
        <f t="shared" si="47"/>
        <v>182.46267902503004</v>
      </c>
    </row>
    <row r="760" spans="1:7" x14ac:dyDescent="0.25">
      <c r="A760" s="24">
        <v>41695</v>
      </c>
      <c r="B760" s="25">
        <v>184.83999600000001</v>
      </c>
      <c r="C760" s="11">
        <f t="shared" si="44"/>
        <v>186.67937487500001</v>
      </c>
      <c r="D760" s="11">
        <f t="shared" si="45"/>
        <v>1.2675031352456088</v>
      </c>
      <c r="E760" s="25">
        <v>184.83999600000001</v>
      </c>
      <c r="F760" s="11">
        <f t="shared" si="46"/>
        <v>187.37500227049122</v>
      </c>
      <c r="G760" s="11">
        <f t="shared" si="47"/>
        <v>182.3049897295088</v>
      </c>
    </row>
    <row r="761" spans="1:7" x14ac:dyDescent="0.25">
      <c r="A761" s="24">
        <v>41694</v>
      </c>
      <c r="B761" s="25">
        <v>184.91000399999999</v>
      </c>
      <c r="C761" s="11">
        <f t="shared" si="44"/>
        <v>186.565624375</v>
      </c>
      <c r="D761" s="11">
        <f t="shared" si="45"/>
        <v>1.3484404711333675</v>
      </c>
      <c r="E761" s="25">
        <v>184.91000399999999</v>
      </c>
      <c r="F761" s="11">
        <f t="shared" si="46"/>
        <v>187.60688494226673</v>
      </c>
      <c r="G761" s="11">
        <f t="shared" si="47"/>
        <v>182.21312305773324</v>
      </c>
    </row>
    <row r="762" spans="1:7" x14ac:dyDescent="0.25">
      <c r="A762" s="24">
        <v>41691</v>
      </c>
      <c r="B762" s="25">
        <v>183.88999899999999</v>
      </c>
      <c r="C762" s="11">
        <f t="shared" si="44"/>
        <v>186.39374937499997</v>
      </c>
      <c r="D762" s="11">
        <f t="shared" si="45"/>
        <v>1.3746546566406113</v>
      </c>
      <c r="E762" s="25">
        <v>183.88999899999999</v>
      </c>
      <c r="F762" s="11">
        <f t="shared" si="46"/>
        <v>186.63930831328122</v>
      </c>
      <c r="G762" s="11">
        <f t="shared" si="47"/>
        <v>181.14068968671876</v>
      </c>
    </row>
    <row r="763" spans="1:7" x14ac:dyDescent="0.25">
      <c r="A763" s="24">
        <v>41690</v>
      </c>
      <c r="B763" s="25">
        <v>184.10000600000001</v>
      </c>
      <c r="C763" s="11">
        <f t="shared" si="44"/>
        <v>186.24124918749999</v>
      </c>
      <c r="D763" s="11">
        <f t="shared" si="45"/>
        <v>1.5107996265300148</v>
      </c>
      <c r="E763" s="25">
        <v>184.10000600000001</v>
      </c>
      <c r="F763" s="11">
        <f t="shared" si="46"/>
        <v>187.12160525306004</v>
      </c>
      <c r="G763" s="11">
        <f t="shared" si="47"/>
        <v>181.07840674693998</v>
      </c>
    </row>
    <row r="764" spans="1:7" x14ac:dyDescent="0.25">
      <c r="A764" s="24">
        <v>41689</v>
      </c>
      <c r="B764" s="25">
        <v>183.020004</v>
      </c>
      <c r="C764" s="11">
        <f t="shared" si="44"/>
        <v>186.20624931250001</v>
      </c>
      <c r="D764" s="11">
        <f t="shared" si="45"/>
        <v>1.5556931757873811</v>
      </c>
      <c r="E764" s="25">
        <v>183.020004</v>
      </c>
      <c r="F764" s="11">
        <f t="shared" si="46"/>
        <v>186.13139035157477</v>
      </c>
      <c r="G764" s="11">
        <f t="shared" si="47"/>
        <v>179.90861764842523</v>
      </c>
    </row>
    <row r="765" spans="1:7" x14ac:dyDescent="0.25">
      <c r="A765" s="24">
        <v>41688</v>
      </c>
      <c r="B765" s="25">
        <v>184.240005</v>
      </c>
      <c r="C765" s="11">
        <f t="shared" si="44"/>
        <v>186.07124999999999</v>
      </c>
      <c r="D765" s="11">
        <f t="shared" si="45"/>
        <v>1.7341679849492853</v>
      </c>
      <c r="E765" s="25">
        <v>184.240005</v>
      </c>
      <c r="F765" s="11">
        <f t="shared" si="46"/>
        <v>187.70834096989856</v>
      </c>
      <c r="G765" s="11">
        <f t="shared" si="47"/>
        <v>180.77166903010144</v>
      </c>
    </row>
    <row r="766" spans="1:7" x14ac:dyDescent="0.25">
      <c r="A766" s="24">
        <v>41684</v>
      </c>
      <c r="B766" s="25">
        <v>184.020004</v>
      </c>
      <c r="C766" s="11">
        <f t="shared" si="44"/>
        <v>185.88125037500001</v>
      </c>
      <c r="D766" s="11">
        <f t="shared" si="45"/>
        <v>1.7592586579838627</v>
      </c>
      <c r="E766" s="25">
        <v>184.020004</v>
      </c>
      <c r="F766" s="11">
        <f t="shared" si="46"/>
        <v>187.53852131596773</v>
      </c>
      <c r="G766" s="11">
        <f t="shared" si="47"/>
        <v>180.50148668403227</v>
      </c>
    </row>
    <row r="767" spans="1:7" x14ac:dyDescent="0.25">
      <c r="A767" s="24">
        <v>41683</v>
      </c>
      <c r="B767" s="25">
        <v>183.009995</v>
      </c>
      <c r="C767" s="11">
        <f t="shared" si="44"/>
        <v>185.680625875</v>
      </c>
      <c r="D767" s="11">
        <f t="shared" si="45"/>
        <v>1.7781260857591574</v>
      </c>
      <c r="E767" s="25">
        <v>183.009995</v>
      </c>
      <c r="F767" s="11">
        <f t="shared" si="46"/>
        <v>186.56624717151831</v>
      </c>
      <c r="G767" s="11">
        <f t="shared" si="47"/>
        <v>179.45374282848169</v>
      </c>
    </row>
    <row r="768" spans="1:7" x14ac:dyDescent="0.25">
      <c r="A768" s="24">
        <v>41682</v>
      </c>
      <c r="B768" s="25">
        <v>182.070007</v>
      </c>
      <c r="C768" s="11">
        <f t="shared" si="44"/>
        <v>185.35875031250001</v>
      </c>
      <c r="D768" s="11">
        <f t="shared" si="45"/>
        <v>1.7654702299553224</v>
      </c>
      <c r="E768" s="25">
        <v>182.070007</v>
      </c>
      <c r="F768" s="11">
        <f t="shared" si="46"/>
        <v>185.60094745991066</v>
      </c>
      <c r="G768" s="11">
        <f t="shared" si="47"/>
        <v>178.53906654008935</v>
      </c>
    </row>
    <row r="769" spans="1:7" x14ac:dyDescent="0.25">
      <c r="A769" s="24">
        <v>41681</v>
      </c>
      <c r="B769" s="25">
        <v>181.979996</v>
      </c>
      <c r="C769" s="11">
        <f t="shared" si="44"/>
        <v>184.9718760625</v>
      </c>
      <c r="D769" s="11">
        <f t="shared" si="45"/>
        <v>1.7655432000121087</v>
      </c>
      <c r="E769" s="25">
        <v>181.979996</v>
      </c>
      <c r="F769" s="11">
        <f t="shared" si="46"/>
        <v>185.51108240002421</v>
      </c>
      <c r="G769" s="11">
        <f t="shared" si="47"/>
        <v>178.44890959997579</v>
      </c>
    </row>
    <row r="770" spans="1:7" x14ac:dyDescent="0.25">
      <c r="A770" s="24">
        <v>41680</v>
      </c>
      <c r="B770" s="25">
        <v>180.009995</v>
      </c>
      <c r="C770" s="11">
        <f t="shared" si="44"/>
        <v>184.58437624999999</v>
      </c>
      <c r="D770" s="11">
        <f t="shared" si="45"/>
        <v>1.6933984806761633</v>
      </c>
      <c r="E770" s="25">
        <v>180.009995</v>
      </c>
      <c r="F770" s="11">
        <f t="shared" si="46"/>
        <v>183.39679196135233</v>
      </c>
      <c r="G770" s="11">
        <f t="shared" si="47"/>
        <v>176.62319803864767</v>
      </c>
    </row>
    <row r="771" spans="1:7" x14ac:dyDescent="0.25">
      <c r="A771" s="24">
        <v>41677</v>
      </c>
      <c r="B771" s="25">
        <v>179.679993</v>
      </c>
      <c r="C771" s="11">
        <f t="shared" si="44"/>
        <v>184.10062593749998</v>
      </c>
      <c r="D771" s="11">
        <f t="shared" si="45"/>
        <v>1.828907442010685</v>
      </c>
      <c r="E771" s="25">
        <v>179.679993</v>
      </c>
      <c r="F771" s="11">
        <f t="shared" si="46"/>
        <v>183.33780788402137</v>
      </c>
      <c r="G771" s="11">
        <f t="shared" si="47"/>
        <v>176.02217811597862</v>
      </c>
    </row>
    <row r="772" spans="1:7" x14ac:dyDescent="0.25">
      <c r="A772" s="24">
        <v>41676</v>
      </c>
      <c r="B772" s="25">
        <v>177.479996</v>
      </c>
      <c r="C772" s="11">
        <f t="shared" si="44"/>
        <v>183.60687537499999</v>
      </c>
      <c r="D772" s="11">
        <f t="shared" si="45"/>
        <v>1.8922445290877501</v>
      </c>
      <c r="E772" s="25">
        <v>177.479996</v>
      </c>
      <c r="F772" s="11">
        <f t="shared" si="46"/>
        <v>181.2644850581755</v>
      </c>
      <c r="G772" s="11">
        <f t="shared" si="47"/>
        <v>173.6955069418245</v>
      </c>
    </row>
    <row r="773" spans="1:7" x14ac:dyDescent="0.25">
      <c r="A773" s="24">
        <v>41675</v>
      </c>
      <c r="B773" s="25">
        <v>175.16999799999999</v>
      </c>
      <c r="C773" s="11">
        <f t="shared" si="44"/>
        <v>183.13812537499999</v>
      </c>
      <c r="D773" s="11">
        <f t="shared" si="45"/>
        <v>2.3922988385363819</v>
      </c>
      <c r="E773" s="25">
        <v>175.16999799999999</v>
      </c>
      <c r="F773" s="11">
        <f t="shared" si="46"/>
        <v>179.95459567707275</v>
      </c>
      <c r="G773" s="11">
        <f t="shared" si="47"/>
        <v>170.38540032292724</v>
      </c>
    </row>
    <row r="774" spans="1:7" x14ac:dyDescent="0.25">
      <c r="A774" s="24">
        <v>41674</v>
      </c>
      <c r="B774" s="25">
        <v>175.38999899999999</v>
      </c>
      <c r="C774" s="11">
        <f t="shared" si="44"/>
        <v>182.44312568749999</v>
      </c>
      <c r="D774" s="11">
        <f t="shared" si="45"/>
        <v>2.9628229475916781</v>
      </c>
      <c r="E774" s="25">
        <v>175.38999899999999</v>
      </c>
      <c r="F774" s="11">
        <f t="shared" si="46"/>
        <v>181.31564489518334</v>
      </c>
      <c r="G774" s="11">
        <f t="shared" si="47"/>
        <v>169.46435310481664</v>
      </c>
    </row>
    <row r="775" spans="1:7" x14ac:dyDescent="0.25">
      <c r="A775" s="24">
        <v>41673</v>
      </c>
      <c r="B775" s="25">
        <v>174.16999799999999</v>
      </c>
      <c r="C775" s="11">
        <f t="shared" si="44"/>
        <v>181.7912501875</v>
      </c>
      <c r="D775" s="11">
        <f t="shared" si="45"/>
        <v>3.2986764949278951</v>
      </c>
      <c r="E775" s="25">
        <v>174.16999799999999</v>
      </c>
      <c r="F775" s="11">
        <f t="shared" si="46"/>
        <v>180.76735098985577</v>
      </c>
      <c r="G775" s="11">
        <f t="shared" si="47"/>
        <v>167.57264501014421</v>
      </c>
    </row>
    <row r="776" spans="1:7" x14ac:dyDescent="0.25">
      <c r="A776" s="24">
        <v>41670</v>
      </c>
      <c r="B776" s="25">
        <v>178.179993</v>
      </c>
      <c r="C776" s="11">
        <f t="shared" si="44"/>
        <v>181.12374968750001</v>
      </c>
      <c r="D776" s="11">
        <f t="shared" si="45"/>
        <v>3.6952003678448775</v>
      </c>
      <c r="E776" s="25">
        <v>178.179993</v>
      </c>
      <c r="F776" s="11">
        <f t="shared" si="46"/>
        <v>185.57039373568975</v>
      </c>
      <c r="G776" s="11">
        <f t="shared" si="47"/>
        <v>170.78959226431024</v>
      </c>
    </row>
    <row r="777" spans="1:7" x14ac:dyDescent="0.25">
      <c r="A777" s="24">
        <v>41669</v>
      </c>
      <c r="B777" s="25">
        <v>179.229996</v>
      </c>
      <c r="C777" s="11">
        <f t="shared" si="44"/>
        <v>180.70749949999998</v>
      </c>
      <c r="D777" s="11">
        <f t="shared" si="45"/>
        <v>3.6230794973368923</v>
      </c>
      <c r="E777" s="25">
        <v>179.229996</v>
      </c>
      <c r="F777" s="11">
        <f t="shared" si="46"/>
        <v>186.47615499467378</v>
      </c>
      <c r="G777" s="11">
        <f t="shared" si="47"/>
        <v>171.98383700532622</v>
      </c>
    </row>
    <row r="778" spans="1:7" x14ac:dyDescent="0.25">
      <c r="A778" s="24">
        <v>41668</v>
      </c>
      <c r="B778" s="25">
        <v>177.35000600000001</v>
      </c>
      <c r="C778" s="11">
        <f t="shared" si="44"/>
        <v>180.35249900000002</v>
      </c>
      <c r="D778" s="11">
        <f t="shared" si="45"/>
        <v>3.4583824976457063</v>
      </c>
      <c r="E778" s="25">
        <v>177.35000600000001</v>
      </c>
      <c r="F778" s="11">
        <f t="shared" si="46"/>
        <v>184.26677099529141</v>
      </c>
      <c r="G778" s="11">
        <f t="shared" si="47"/>
        <v>170.43324100470861</v>
      </c>
    </row>
    <row r="779" spans="1:7" x14ac:dyDescent="0.25">
      <c r="A779" s="24">
        <v>41667</v>
      </c>
      <c r="B779" s="25">
        <v>179.070007</v>
      </c>
      <c r="C779" s="11">
        <f t="shared" si="44"/>
        <v>179.9437494375</v>
      </c>
      <c r="D779" s="11">
        <f t="shared" si="45"/>
        <v>3.398371974812628</v>
      </c>
      <c r="E779" s="25">
        <v>179.070007</v>
      </c>
      <c r="F779" s="11">
        <f t="shared" si="46"/>
        <v>185.86675094962527</v>
      </c>
      <c r="G779" s="11">
        <f t="shared" si="47"/>
        <v>172.27326305037474</v>
      </c>
    </row>
    <row r="780" spans="1:7" x14ac:dyDescent="0.25">
      <c r="A780" s="24">
        <v>41666</v>
      </c>
      <c r="B780" s="25">
        <v>178.009995</v>
      </c>
      <c r="C780" s="11">
        <f t="shared" si="44"/>
        <v>179.62937450000001</v>
      </c>
      <c r="D780" s="11">
        <f t="shared" si="45"/>
        <v>3.2160185820399345</v>
      </c>
      <c r="E780" s="25">
        <v>178.009995</v>
      </c>
      <c r="F780" s="11">
        <f t="shared" si="46"/>
        <v>184.44203216407988</v>
      </c>
      <c r="G780" s="11">
        <f t="shared" si="47"/>
        <v>171.57795783592013</v>
      </c>
    </row>
    <row r="781" spans="1:7" x14ac:dyDescent="0.25">
      <c r="A781" s="24">
        <v>41663</v>
      </c>
      <c r="B781" s="25">
        <v>178.88999899999999</v>
      </c>
      <c r="C781" s="11">
        <f t="shared" si="44"/>
        <v>179.31624893750001</v>
      </c>
      <c r="D781" s="11">
        <f t="shared" si="45"/>
        <v>3.1058964618167502</v>
      </c>
      <c r="E781" s="25">
        <v>178.88999899999999</v>
      </c>
      <c r="F781" s="11">
        <f t="shared" si="46"/>
        <v>185.1017919236335</v>
      </c>
      <c r="G781" s="11">
        <f t="shared" si="47"/>
        <v>172.67820607636648</v>
      </c>
    </row>
    <row r="782" spans="1:7" x14ac:dyDescent="0.25">
      <c r="A782" s="24">
        <v>41662</v>
      </c>
      <c r="B782" s="25">
        <v>182.78999300000001</v>
      </c>
      <c r="C782" s="11">
        <f t="shared" si="44"/>
        <v>178.9818735625</v>
      </c>
      <c r="D782" s="11">
        <f t="shared" si="45"/>
        <v>2.8148214562277087</v>
      </c>
      <c r="E782" s="25">
        <v>182.78999300000001</v>
      </c>
      <c r="F782" s="11">
        <f t="shared" si="46"/>
        <v>188.41963591245542</v>
      </c>
      <c r="G782" s="11">
        <f t="shared" si="47"/>
        <v>177.1603500875446</v>
      </c>
    </row>
    <row r="783" spans="1:7" x14ac:dyDescent="0.25">
      <c r="A783" s="24">
        <v>41661</v>
      </c>
      <c r="B783" s="25">
        <v>184.300003</v>
      </c>
      <c r="C783" s="11">
        <f t="shared" si="44"/>
        <v>178.90499787499999</v>
      </c>
      <c r="D783" s="11">
        <f t="shared" si="45"/>
        <v>2.6817003916712006</v>
      </c>
      <c r="E783" s="25">
        <v>184.300003</v>
      </c>
      <c r="F783" s="11">
        <f t="shared" si="46"/>
        <v>189.6634037833424</v>
      </c>
      <c r="G783" s="11">
        <f t="shared" si="47"/>
        <v>178.9366022166576</v>
      </c>
    </row>
    <row r="784" spans="1:7" x14ac:dyDescent="0.25">
      <c r="A784" s="24">
        <v>41660</v>
      </c>
      <c r="B784" s="25">
        <v>184.179993</v>
      </c>
      <c r="C784" s="11">
        <f t="shared" si="44"/>
        <v>178.98562337499996</v>
      </c>
      <c r="D784" s="11">
        <f t="shared" si="45"/>
        <v>2.8287079055386881</v>
      </c>
      <c r="E784" s="25">
        <v>184.179993</v>
      </c>
      <c r="F784" s="11">
        <f t="shared" si="46"/>
        <v>189.83740881107738</v>
      </c>
      <c r="G784" s="11">
        <f t="shared" si="47"/>
        <v>178.52257718892261</v>
      </c>
    </row>
    <row r="785" spans="1:7" x14ac:dyDescent="0.25">
      <c r="A785" s="24">
        <v>41656</v>
      </c>
      <c r="B785" s="25">
        <v>183.63999899999999</v>
      </c>
      <c r="C785" s="11">
        <f t="shared" si="44"/>
        <v>179.11749750000001</v>
      </c>
      <c r="D785" s="11">
        <f t="shared" si="45"/>
        <v>3.0244958491215059</v>
      </c>
      <c r="E785" s="25">
        <v>183.63999899999999</v>
      </c>
      <c r="F785" s="11">
        <f t="shared" si="46"/>
        <v>189.688990698243</v>
      </c>
      <c r="G785" s="11">
        <f t="shared" si="47"/>
        <v>177.59100730175697</v>
      </c>
    </row>
    <row r="786" spans="1:7" x14ac:dyDescent="0.25">
      <c r="A786" s="24">
        <v>41655</v>
      </c>
      <c r="B786" s="25">
        <v>184.41999799999999</v>
      </c>
      <c r="C786" s="11">
        <f t="shared" si="44"/>
        <v>179.22124768750001</v>
      </c>
      <c r="D786" s="11">
        <f t="shared" si="45"/>
        <v>3.1548959164320842</v>
      </c>
      <c r="E786" s="25">
        <v>184.41999799999999</v>
      </c>
      <c r="F786" s="11">
        <f t="shared" si="46"/>
        <v>190.72978983286416</v>
      </c>
      <c r="G786" s="11">
        <f t="shared" si="47"/>
        <v>178.11020616713583</v>
      </c>
    </row>
    <row r="787" spans="1:7" x14ac:dyDescent="0.25">
      <c r="A787" s="24">
        <v>41654</v>
      </c>
      <c r="B787" s="25">
        <v>184.66000399999999</v>
      </c>
      <c r="C787" s="11">
        <f t="shared" si="44"/>
        <v>179.49687287499998</v>
      </c>
      <c r="D787" s="11">
        <f t="shared" si="45"/>
        <v>3.4106685389406177</v>
      </c>
      <c r="E787" s="25">
        <v>184.66000399999999</v>
      </c>
      <c r="F787" s="11">
        <f t="shared" si="46"/>
        <v>191.48134107788121</v>
      </c>
      <c r="G787" s="11">
        <f t="shared" si="47"/>
        <v>177.83866692211876</v>
      </c>
    </row>
    <row r="788" spans="1:7" x14ac:dyDescent="0.25">
      <c r="A788" s="24">
        <v>41653</v>
      </c>
      <c r="B788" s="25">
        <v>183.66999799999999</v>
      </c>
      <c r="C788" s="11">
        <f t="shared" ref="C788:C851" si="48">AVERAGE(B772:B787)</f>
        <v>179.80812356250001</v>
      </c>
      <c r="D788" s="11">
        <f t="shared" ref="D788:D851" si="49">_xlfn.STDEV.S(B772:B787)</f>
        <v>3.647503771293878</v>
      </c>
      <c r="E788" s="25">
        <v>183.66999799999999</v>
      </c>
      <c r="F788" s="11">
        <f t="shared" ref="F788:F851" si="50">B788+2*D788</f>
        <v>190.96500554258776</v>
      </c>
      <c r="G788" s="11">
        <f t="shared" ref="G788:G851" si="51">B788-2*D788</f>
        <v>176.37499045741222</v>
      </c>
    </row>
    <row r="789" spans="1:7" x14ac:dyDescent="0.25">
      <c r="A789" s="24">
        <v>41652</v>
      </c>
      <c r="B789" s="25">
        <v>181.69000199999999</v>
      </c>
      <c r="C789" s="11">
        <f t="shared" si="48"/>
        <v>180.1949986875</v>
      </c>
      <c r="D789" s="11">
        <f t="shared" si="49"/>
        <v>3.7118135266586281</v>
      </c>
      <c r="E789" s="25">
        <v>181.69000199999999</v>
      </c>
      <c r="F789" s="11">
        <f t="shared" si="50"/>
        <v>189.11362905331725</v>
      </c>
      <c r="G789" s="11">
        <f t="shared" si="51"/>
        <v>174.26637494668273</v>
      </c>
    </row>
    <row r="790" spans="1:7" x14ac:dyDescent="0.25">
      <c r="A790" s="24">
        <v>41649</v>
      </c>
      <c r="B790" s="25">
        <v>184.13999899999999</v>
      </c>
      <c r="C790" s="11">
        <f t="shared" si="48"/>
        <v>180.60249893749994</v>
      </c>
      <c r="D790" s="11">
        <f t="shared" si="49"/>
        <v>3.4736234164082789</v>
      </c>
      <c r="E790" s="25">
        <v>184.13999899999999</v>
      </c>
      <c r="F790" s="11">
        <f t="shared" si="50"/>
        <v>191.08724583281654</v>
      </c>
      <c r="G790" s="11">
        <f t="shared" si="51"/>
        <v>177.19275216718344</v>
      </c>
    </row>
    <row r="791" spans="1:7" x14ac:dyDescent="0.25">
      <c r="A791" s="24">
        <v>41648</v>
      </c>
      <c r="B791" s="25">
        <v>183.63999899999999</v>
      </c>
      <c r="C791" s="11">
        <f t="shared" si="48"/>
        <v>181.14937393749997</v>
      </c>
      <c r="D791" s="11">
        <f t="shared" si="49"/>
        <v>3.2817626303461651</v>
      </c>
      <c r="E791" s="25">
        <v>183.63999899999999</v>
      </c>
      <c r="F791" s="11">
        <f t="shared" si="50"/>
        <v>190.20352426069232</v>
      </c>
      <c r="G791" s="11">
        <f t="shared" si="51"/>
        <v>177.07647373930766</v>
      </c>
    </row>
    <row r="792" spans="1:7" x14ac:dyDescent="0.25">
      <c r="A792" s="24">
        <v>41647</v>
      </c>
      <c r="B792" s="25">
        <v>183.520004</v>
      </c>
      <c r="C792" s="11">
        <f t="shared" si="48"/>
        <v>181.74124899999998</v>
      </c>
      <c r="D792" s="11">
        <f t="shared" si="49"/>
        <v>2.7499812935157428</v>
      </c>
      <c r="E792" s="25">
        <v>183.520004</v>
      </c>
      <c r="F792" s="11">
        <f t="shared" si="50"/>
        <v>189.01996658703149</v>
      </c>
      <c r="G792" s="11">
        <f t="shared" si="51"/>
        <v>178.02004141296851</v>
      </c>
    </row>
    <row r="793" spans="1:7" x14ac:dyDescent="0.25">
      <c r="A793" s="24">
        <v>41646</v>
      </c>
      <c r="B793" s="25">
        <v>183.479996</v>
      </c>
      <c r="C793" s="11">
        <f t="shared" si="48"/>
        <v>182.0749996875</v>
      </c>
      <c r="D793" s="11">
        <f t="shared" si="49"/>
        <v>2.6094079715557341</v>
      </c>
      <c r="E793" s="25">
        <v>183.479996</v>
      </c>
      <c r="F793" s="11">
        <f t="shared" si="50"/>
        <v>188.69881194311148</v>
      </c>
      <c r="G793" s="11">
        <f t="shared" si="51"/>
        <v>178.26118005688852</v>
      </c>
    </row>
    <row r="794" spans="1:7" x14ac:dyDescent="0.25">
      <c r="A794" s="24">
        <v>41645</v>
      </c>
      <c r="B794" s="25">
        <v>182.36000100000001</v>
      </c>
      <c r="C794" s="11">
        <f t="shared" si="48"/>
        <v>182.3406246875</v>
      </c>
      <c r="D794" s="11">
        <f t="shared" si="49"/>
        <v>2.5151038658012936</v>
      </c>
      <c r="E794" s="25">
        <v>182.36000100000001</v>
      </c>
      <c r="F794" s="11">
        <f t="shared" si="50"/>
        <v>187.3902087316026</v>
      </c>
      <c r="G794" s="11">
        <f t="shared" si="51"/>
        <v>177.32979326839742</v>
      </c>
    </row>
    <row r="795" spans="1:7" x14ac:dyDescent="0.25">
      <c r="A795" s="24">
        <v>41642</v>
      </c>
      <c r="B795" s="25">
        <v>182.88999899999999</v>
      </c>
      <c r="C795" s="11">
        <f t="shared" si="48"/>
        <v>182.65374937500002</v>
      </c>
      <c r="D795" s="11">
        <f t="shared" si="49"/>
        <v>2.1355960803366605</v>
      </c>
      <c r="E795" s="25">
        <v>182.88999899999999</v>
      </c>
      <c r="F795" s="11">
        <f t="shared" si="50"/>
        <v>187.1611911606733</v>
      </c>
      <c r="G795" s="11">
        <f t="shared" si="51"/>
        <v>178.61880683932668</v>
      </c>
    </row>
    <row r="796" spans="1:7" x14ac:dyDescent="0.25">
      <c r="A796" s="24">
        <v>41641</v>
      </c>
      <c r="B796" s="25">
        <v>182.91999799999999</v>
      </c>
      <c r="C796" s="11">
        <f t="shared" si="48"/>
        <v>182.892498875</v>
      </c>
      <c r="D796" s="11">
        <f t="shared" si="49"/>
        <v>1.909836687087453</v>
      </c>
      <c r="E796" s="25">
        <v>182.91999799999999</v>
      </c>
      <c r="F796" s="11">
        <f t="shared" si="50"/>
        <v>186.73967137417489</v>
      </c>
      <c r="G796" s="11">
        <f t="shared" si="51"/>
        <v>179.1003246258251</v>
      </c>
    </row>
    <row r="797" spans="1:7" x14ac:dyDescent="0.25">
      <c r="A797" s="24">
        <v>41639</v>
      </c>
      <c r="B797" s="25">
        <v>184.69000199999999</v>
      </c>
      <c r="C797" s="11">
        <f t="shared" si="48"/>
        <v>183.1993740625</v>
      </c>
      <c r="D797" s="11">
        <f t="shared" si="49"/>
        <v>1.3992211307584164</v>
      </c>
      <c r="E797" s="25">
        <v>184.69000199999999</v>
      </c>
      <c r="F797" s="11">
        <f t="shared" si="50"/>
        <v>187.48844426151683</v>
      </c>
      <c r="G797" s="11">
        <f t="shared" si="51"/>
        <v>181.89155973848315</v>
      </c>
    </row>
    <row r="798" spans="1:7" x14ac:dyDescent="0.25">
      <c r="A798" s="24">
        <v>41638</v>
      </c>
      <c r="B798" s="25">
        <v>183.820007</v>
      </c>
      <c r="C798" s="11">
        <f t="shared" si="48"/>
        <v>183.56187424999999</v>
      </c>
      <c r="D798" s="11">
        <f t="shared" si="49"/>
        <v>0.85307493360473841</v>
      </c>
      <c r="E798" s="25">
        <v>183.820007</v>
      </c>
      <c r="F798" s="11">
        <f t="shared" si="50"/>
        <v>185.52615686720949</v>
      </c>
      <c r="G798" s="11">
        <f t="shared" si="51"/>
        <v>182.11385713279051</v>
      </c>
    </row>
    <row r="799" spans="1:7" x14ac:dyDescent="0.25">
      <c r="A799" s="24">
        <v>41635</v>
      </c>
      <c r="B799" s="25">
        <v>183.85000600000001</v>
      </c>
      <c r="C799" s="11">
        <f t="shared" si="48"/>
        <v>183.62625012499998</v>
      </c>
      <c r="D799" s="11">
        <f t="shared" si="49"/>
        <v>0.82948081895362746</v>
      </c>
      <c r="E799" s="25">
        <v>183.85000600000001</v>
      </c>
      <c r="F799" s="11">
        <f t="shared" si="50"/>
        <v>185.50896763790726</v>
      </c>
      <c r="G799" s="11">
        <f t="shared" si="51"/>
        <v>182.19104436209275</v>
      </c>
    </row>
    <row r="800" spans="1:7" x14ac:dyDescent="0.25">
      <c r="A800" s="24">
        <v>41634</v>
      </c>
      <c r="B800" s="25">
        <v>183.86000100000001</v>
      </c>
      <c r="C800" s="11">
        <f t="shared" si="48"/>
        <v>183.59812531249997</v>
      </c>
      <c r="D800" s="11">
        <f t="shared" si="49"/>
        <v>0.81256975532177711</v>
      </c>
      <c r="E800" s="25">
        <v>183.86000100000001</v>
      </c>
      <c r="F800" s="11">
        <f t="shared" si="50"/>
        <v>185.48514051064356</v>
      </c>
      <c r="G800" s="11">
        <f t="shared" si="51"/>
        <v>182.23486148935646</v>
      </c>
    </row>
    <row r="801" spans="1:7" x14ac:dyDescent="0.25">
      <c r="A801" s="24">
        <v>41632</v>
      </c>
      <c r="B801" s="25">
        <v>182.929993</v>
      </c>
      <c r="C801" s="11">
        <f t="shared" si="48"/>
        <v>183.57812581249996</v>
      </c>
      <c r="D801" s="11">
        <f t="shared" si="49"/>
        <v>0.80115139222240217</v>
      </c>
      <c r="E801" s="25">
        <v>182.929993</v>
      </c>
      <c r="F801" s="11">
        <f t="shared" si="50"/>
        <v>184.53229578444481</v>
      </c>
      <c r="G801" s="11">
        <f t="shared" si="51"/>
        <v>181.32769021555518</v>
      </c>
    </row>
    <row r="802" spans="1:7" x14ac:dyDescent="0.25">
      <c r="A802" s="24">
        <v>41631</v>
      </c>
      <c r="B802" s="25">
        <v>182.529999</v>
      </c>
      <c r="C802" s="11">
        <f t="shared" si="48"/>
        <v>183.5337504375</v>
      </c>
      <c r="D802" s="11">
        <f t="shared" si="49"/>
        <v>0.81700242217935104</v>
      </c>
      <c r="E802" s="25">
        <v>182.529999</v>
      </c>
      <c r="F802" s="11">
        <f t="shared" si="50"/>
        <v>184.16400384435872</v>
      </c>
      <c r="G802" s="11">
        <f t="shared" si="51"/>
        <v>180.89599415564129</v>
      </c>
    </row>
    <row r="803" spans="1:7" x14ac:dyDescent="0.25">
      <c r="A803" s="24">
        <v>41628</v>
      </c>
      <c r="B803" s="25">
        <v>181.55999800000001</v>
      </c>
      <c r="C803" s="11">
        <f t="shared" si="48"/>
        <v>183.4156255</v>
      </c>
      <c r="D803" s="11">
        <f t="shared" si="49"/>
        <v>0.8169545299545935</v>
      </c>
      <c r="E803" s="25">
        <v>181.55999800000001</v>
      </c>
      <c r="F803" s="11">
        <f t="shared" si="50"/>
        <v>183.19390705990921</v>
      </c>
      <c r="G803" s="11">
        <f t="shared" si="51"/>
        <v>179.92608894009081</v>
      </c>
    </row>
    <row r="804" spans="1:7" x14ac:dyDescent="0.25">
      <c r="A804" s="24">
        <v>41627</v>
      </c>
      <c r="B804" s="25">
        <v>181.490005</v>
      </c>
      <c r="C804" s="11">
        <f t="shared" si="48"/>
        <v>183.22187512500003</v>
      </c>
      <c r="D804" s="11">
        <f t="shared" si="49"/>
        <v>0.86815777378276549</v>
      </c>
      <c r="E804" s="25">
        <v>181.490005</v>
      </c>
      <c r="F804" s="11">
        <f t="shared" si="50"/>
        <v>183.22632054756554</v>
      </c>
      <c r="G804" s="11">
        <f t="shared" si="51"/>
        <v>179.75368945243446</v>
      </c>
    </row>
    <row r="805" spans="1:7" x14ac:dyDescent="0.25">
      <c r="A805" s="24">
        <v>41626</v>
      </c>
      <c r="B805" s="25">
        <v>181.699997</v>
      </c>
      <c r="C805" s="11">
        <f t="shared" si="48"/>
        <v>183.08562556250004</v>
      </c>
      <c r="D805" s="11">
        <f t="shared" si="49"/>
        <v>0.95940973968226628</v>
      </c>
      <c r="E805" s="25">
        <v>181.699997</v>
      </c>
      <c r="F805" s="11">
        <f t="shared" si="50"/>
        <v>183.61881647936454</v>
      </c>
      <c r="G805" s="11">
        <f t="shared" si="51"/>
        <v>179.78117752063545</v>
      </c>
    </row>
    <row r="806" spans="1:7" x14ac:dyDescent="0.25">
      <c r="A806" s="24">
        <v>41625</v>
      </c>
      <c r="B806" s="25">
        <v>178.64999399999999</v>
      </c>
      <c r="C806" s="11">
        <f t="shared" si="48"/>
        <v>183.08625025000003</v>
      </c>
      <c r="D806" s="11">
        <f t="shared" si="49"/>
        <v>0.95844321237504593</v>
      </c>
      <c r="E806" s="25">
        <v>178.64999399999999</v>
      </c>
      <c r="F806" s="11">
        <f t="shared" si="50"/>
        <v>180.56688042475008</v>
      </c>
      <c r="G806" s="11">
        <f t="shared" si="51"/>
        <v>176.7331075752499</v>
      </c>
    </row>
    <row r="807" spans="1:7" x14ac:dyDescent="0.25">
      <c r="A807" s="24">
        <v>41624</v>
      </c>
      <c r="B807" s="25">
        <v>179.220001</v>
      </c>
      <c r="C807" s="11">
        <f t="shared" si="48"/>
        <v>182.74312493750003</v>
      </c>
      <c r="D807" s="11">
        <f t="shared" si="49"/>
        <v>1.4251414965189242</v>
      </c>
      <c r="E807" s="25">
        <v>179.220001</v>
      </c>
      <c r="F807" s="11">
        <f t="shared" si="50"/>
        <v>182.07028399303783</v>
      </c>
      <c r="G807" s="11">
        <f t="shared" si="51"/>
        <v>176.36971800696216</v>
      </c>
    </row>
    <row r="808" spans="1:7" x14ac:dyDescent="0.25">
      <c r="A808" s="24">
        <v>41621</v>
      </c>
      <c r="B808" s="25">
        <v>178.11000100000001</v>
      </c>
      <c r="C808" s="11">
        <f t="shared" si="48"/>
        <v>182.46687506250004</v>
      </c>
      <c r="D808" s="11">
        <f t="shared" si="49"/>
        <v>1.6503013780620601</v>
      </c>
      <c r="E808" s="25">
        <v>178.11000100000001</v>
      </c>
      <c r="F808" s="11">
        <f t="shared" si="50"/>
        <v>181.41060375612412</v>
      </c>
      <c r="G808" s="11">
        <f t="shared" si="51"/>
        <v>174.8093982438759</v>
      </c>
    </row>
    <row r="809" spans="1:7" x14ac:dyDescent="0.25">
      <c r="A809" s="24">
        <v>41620</v>
      </c>
      <c r="B809" s="25">
        <v>178.13000500000001</v>
      </c>
      <c r="C809" s="11">
        <f t="shared" si="48"/>
        <v>182.12874987500001</v>
      </c>
      <c r="D809" s="11">
        <f t="shared" si="49"/>
        <v>1.9475870940771429</v>
      </c>
      <c r="E809" s="25">
        <v>178.13000500000001</v>
      </c>
      <c r="F809" s="11">
        <f t="shared" si="50"/>
        <v>182.02517918815431</v>
      </c>
      <c r="G809" s="11">
        <f t="shared" si="51"/>
        <v>174.23483081184571</v>
      </c>
    </row>
    <row r="810" spans="1:7" x14ac:dyDescent="0.25">
      <c r="A810" s="24">
        <v>41619</v>
      </c>
      <c r="B810" s="25">
        <v>178.720001</v>
      </c>
      <c r="C810" s="11">
        <f t="shared" si="48"/>
        <v>181.79437543750001</v>
      </c>
      <c r="D810" s="11">
        <f t="shared" si="49"/>
        <v>2.1489784641234206</v>
      </c>
      <c r="E810" s="25">
        <v>178.720001</v>
      </c>
      <c r="F810" s="11">
        <f t="shared" si="50"/>
        <v>183.01795792824683</v>
      </c>
      <c r="G810" s="11">
        <f t="shared" si="51"/>
        <v>174.42204407175316</v>
      </c>
    </row>
    <row r="811" spans="1:7" x14ac:dyDescent="0.25">
      <c r="A811" s="24">
        <v>41618</v>
      </c>
      <c r="B811" s="25">
        <v>180.75</v>
      </c>
      <c r="C811" s="11">
        <f t="shared" si="48"/>
        <v>181.56687543750002</v>
      </c>
      <c r="D811" s="11">
        <f t="shared" si="49"/>
        <v>2.2741353300979235</v>
      </c>
      <c r="E811" s="25">
        <v>180.75</v>
      </c>
      <c r="F811" s="11">
        <f t="shared" si="50"/>
        <v>185.29827066019584</v>
      </c>
      <c r="G811" s="11">
        <f t="shared" si="51"/>
        <v>176.20172933980416</v>
      </c>
    </row>
    <row r="812" spans="1:7" x14ac:dyDescent="0.25">
      <c r="A812" s="24">
        <v>41617</v>
      </c>
      <c r="B812" s="25">
        <v>181.39999399999999</v>
      </c>
      <c r="C812" s="11">
        <f t="shared" si="48"/>
        <v>181.43312550000002</v>
      </c>
      <c r="D812" s="11">
        <f t="shared" si="49"/>
        <v>2.2539709740846554</v>
      </c>
      <c r="E812" s="25">
        <v>181.39999399999999</v>
      </c>
      <c r="F812" s="11">
        <f t="shared" si="50"/>
        <v>185.9079359481693</v>
      </c>
      <c r="G812" s="11">
        <f t="shared" si="51"/>
        <v>176.89205205183069</v>
      </c>
    </row>
    <row r="813" spans="1:7" x14ac:dyDescent="0.25">
      <c r="A813" s="24">
        <v>41614</v>
      </c>
      <c r="B813" s="25">
        <v>180.94000199999999</v>
      </c>
      <c r="C813" s="11">
        <f t="shared" si="48"/>
        <v>181.33812525000002</v>
      </c>
      <c r="D813" s="11">
        <f t="shared" si="49"/>
        <v>2.2188838693552966</v>
      </c>
      <c r="E813" s="25">
        <v>180.94000199999999</v>
      </c>
      <c r="F813" s="11">
        <f t="shared" si="50"/>
        <v>185.37776973871058</v>
      </c>
      <c r="G813" s="11">
        <f t="shared" si="51"/>
        <v>176.5022342612894</v>
      </c>
    </row>
    <row r="814" spans="1:7" x14ac:dyDescent="0.25">
      <c r="A814" s="24">
        <v>41613</v>
      </c>
      <c r="B814" s="25">
        <v>178.94000199999999</v>
      </c>
      <c r="C814" s="11">
        <f t="shared" si="48"/>
        <v>181.10375024999999</v>
      </c>
      <c r="D814" s="11">
        <f t="shared" si="49"/>
        <v>2.0313575511674786</v>
      </c>
      <c r="E814" s="25">
        <v>178.94000199999999</v>
      </c>
      <c r="F814" s="11">
        <f t="shared" si="50"/>
        <v>183.00271710233494</v>
      </c>
      <c r="G814" s="11">
        <f t="shared" si="51"/>
        <v>174.87728689766504</v>
      </c>
    </row>
    <row r="815" spans="1:7" x14ac:dyDescent="0.25">
      <c r="A815" s="24">
        <v>41612</v>
      </c>
      <c r="B815" s="25">
        <v>179.729996</v>
      </c>
      <c r="C815" s="11">
        <f t="shared" si="48"/>
        <v>180.79874993749996</v>
      </c>
      <c r="D815" s="11">
        <f t="shared" si="49"/>
        <v>1.961488469126325</v>
      </c>
      <c r="E815" s="25">
        <v>179.729996</v>
      </c>
      <c r="F815" s="11">
        <f t="shared" si="50"/>
        <v>183.65297293825265</v>
      </c>
      <c r="G815" s="11">
        <f t="shared" si="51"/>
        <v>175.80701906174735</v>
      </c>
    </row>
    <row r="816" spans="1:7" x14ac:dyDescent="0.25">
      <c r="A816" s="24">
        <v>41611</v>
      </c>
      <c r="B816" s="25">
        <v>179.75</v>
      </c>
      <c r="C816" s="11">
        <f t="shared" si="48"/>
        <v>180.54124931249996</v>
      </c>
      <c r="D816" s="11">
        <f t="shared" si="49"/>
        <v>1.797826863886981</v>
      </c>
      <c r="E816" s="25">
        <v>179.75</v>
      </c>
      <c r="F816" s="11">
        <f t="shared" si="50"/>
        <v>183.34565372777396</v>
      </c>
      <c r="G816" s="11">
        <f t="shared" si="51"/>
        <v>176.15434627222604</v>
      </c>
    </row>
    <row r="817" spans="1:7" x14ac:dyDescent="0.25">
      <c r="A817" s="24">
        <v>41610</v>
      </c>
      <c r="B817" s="25">
        <v>180.529999</v>
      </c>
      <c r="C817" s="11">
        <f t="shared" si="48"/>
        <v>180.28437424999996</v>
      </c>
      <c r="D817" s="11">
        <f t="shared" si="49"/>
        <v>1.5713885035259514</v>
      </c>
      <c r="E817" s="25">
        <v>180.529999</v>
      </c>
      <c r="F817" s="11">
        <f t="shared" si="50"/>
        <v>183.67277600705191</v>
      </c>
      <c r="G817" s="11">
        <f t="shared" si="51"/>
        <v>177.3872219929481</v>
      </c>
    </row>
    <row r="818" spans="1:7" x14ac:dyDescent="0.25">
      <c r="A818" s="24">
        <v>41607</v>
      </c>
      <c r="B818" s="25">
        <v>181</v>
      </c>
      <c r="C818" s="11">
        <f t="shared" si="48"/>
        <v>180.13437462499996</v>
      </c>
      <c r="D818" s="11">
        <f t="shared" si="49"/>
        <v>1.4080710726063439</v>
      </c>
      <c r="E818" s="25">
        <v>181</v>
      </c>
      <c r="F818" s="11">
        <f t="shared" si="50"/>
        <v>183.81614214521269</v>
      </c>
      <c r="G818" s="11">
        <f t="shared" si="51"/>
        <v>178.18385785478731</v>
      </c>
    </row>
    <row r="819" spans="1:7" x14ac:dyDescent="0.25">
      <c r="A819" s="24">
        <v>41605</v>
      </c>
      <c r="B819" s="25">
        <v>181.11999499999999</v>
      </c>
      <c r="C819" s="11">
        <f t="shared" si="48"/>
        <v>180.0387496875</v>
      </c>
      <c r="D819" s="11">
        <f t="shared" si="49"/>
        <v>1.2807275866387142</v>
      </c>
      <c r="E819" s="25">
        <v>181.11999499999999</v>
      </c>
      <c r="F819" s="11">
        <f t="shared" si="50"/>
        <v>183.68145017327743</v>
      </c>
      <c r="G819" s="11">
        <f t="shared" si="51"/>
        <v>178.55853982672255</v>
      </c>
    </row>
    <row r="820" spans="1:7" x14ac:dyDescent="0.25">
      <c r="A820" s="24">
        <v>41604</v>
      </c>
      <c r="B820" s="25">
        <v>180.679993</v>
      </c>
      <c r="C820" s="11">
        <f t="shared" si="48"/>
        <v>180.01124949999999</v>
      </c>
      <c r="D820" s="11">
        <f t="shared" si="49"/>
        <v>1.2502464317133613</v>
      </c>
      <c r="E820" s="25">
        <v>180.679993</v>
      </c>
      <c r="F820" s="11">
        <f t="shared" si="50"/>
        <v>183.18048586342672</v>
      </c>
      <c r="G820" s="11">
        <f t="shared" si="51"/>
        <v>178.17950013657327</v>
      </c>
    </row>
    <row r="821" spans="1:7" x14ac:dyDescent="0.25">
      <c r="A821" s="24">
        <v>41603</v>
      </c>
      <c r="B821" s="25">
        <v>180.63000500000001</v>
      </c>
      <c r="C821" s="11">
        <f t="shared" si="48"/>
        <v>179.96062375</v>
      </c>
      <c r="D821" s="11">
        <f t="shared" si="49"/>
        <v>1.2018384438069007</v>
      </c>
      <c r="E821" s="25">
        <v>180.63000500000001</v>
      </c>
      <c r="F821" s="11">
        <f t="shared" si="50"/>
        <v>183.03368188761382</v>
      </c>
      <c r="G821" s="11">
        <f t="shared" si="51"/>
        <v>178.2263281123862</v>
      </c>
    </row>
    <row r="822" spans="1:7" x14ac:dyDescent="0.25">
      <c r="A822" s="24">
        <v>41600</v>
      </c>
      <c r="B822" s="25">
        <v>180.80999800000001</v>
      </c>
      <c r="C822" s="11">
        <f t="shared" si="48"/>
        <v>179.89374925000001</v>
      </c>
      <c r="D822" s="11">
        <f t="shared" si="49"/>
        <v>1.1259760639911465</v>
      </c>
      <c r="E822" s="25">
        <v>180.80999800000001</v>
      </c>
      <c r="F822" s="11">
        <f t="shared" si="50"/>
        <v>183.0619501279823</v>
      </c>
      <c r="G822" s="11">
        <f t="shared" si="51"/>
        <v>178.55804587201771</v>
      </c>
    </row>
    <row r="823" spans="1:7" x14ac:dyDescent="0.25">
      <c r="A823" s="24">
        <v>41599</v>
      </c>
      <c r="B823" s="25">
        <v>179.91000399999999</v>
      </c>
      <c r="C823" s="11">
        <f t="shared" si="48"/>
        <v>180.02874950000006</v>
      </c>
      <c r="D823" s="11">
        <f t="shared" si="49"/>
        <v>1.0960022816335102</v>
      </c>
      <c r="E823" s="25">
        <v>179.91000399999999</v>
      </c>
      <c r="F823" s="11">
        <f t="shared" si="50"/>
        <v>182.10200856326702</v>
      </c>
      <c r="G823" s="11">
        <f t="shared" si="51"/>
        <v>177.71799943673295</v>
      </c>
    </row>
    <row r="824" spans="1:7" x14ac:dyDescent="0.25">
      <c r="A824" s="24">
        <v>41598</v>
      </c>
      <c r="B824" s="25">
        <v>178.470001</v>
      </c>
      <c r="C824" s="11">
        <f t="shared" si="48"/>
        <v>180.07187468750001</v>
      </c>
      <c r="D824" s="11">
        <f t="shared" si="49"/>
        <v>1.075440525829775</v>
      </c>
      <c r="E824" s="25">
        <v>178.470001</v>
      </c>
      <c r="F824" s="11">
        <f t="shared" si="50"/>
        <v>180.62088205165955</v>
      </c>
      <c r="G824" s="11">
        <f t="shared" si="51"/>
        <v>176.31911994834044</v>
      </c>
    </row>
    <row r="825" spans="1:7" x14ac:dyDescent="0.25">
      <c r="A825" s="24">
        <v>41597</v>
      </c>
      <c r="B825" s="25">
        <v>179.029999</v>
      </c>
      <c r="C825" s="11">
        <f t="shared" si="48"/>
        <v>180.09437468750002</v>
      </c>
      <c r="D825" s="11">
        <f t="shared" si="49"/>
        <v>1.0346508529919776</v>
      </c>
      <c r="E825" s="25">
        <v>179.029999</v>
      </c>
      <c r="F825" s="11">
        <f t="shared" si="50"/>
        <v>181.09930070598395</v>
      </c>
      <c r="G825" s="11">
        <f t="shared" si="51"/>
        <v>176.96069729401606</v>
      </c>
    </row>
    <row r="826" spans="1:7" x14ac:dyDescent="0.25">
      <c r="A826" s="24">
        <v>41596</v>
      </c>
      <c r="B826" s="25">
        <v>179.41999799999999</v>
      </c>
      <c r="C826" s="11">
        <f t="shared" si="48"/>
        <v>180.15062431250001</v>
      </c>
      <c r="D826" s="11">
        <f t="shared" si="49"/>
        <v>0.94095904352688464</v>
      </c>
      <c r="E826" s="25">
        <v>179.41999799999999</v>
      </c>
      <c r="F826" s="11">
        <f t="shared" si="50"/>
        <v>181.30191608705377</v>
      </c>
      <c r="G826" s="11">
        <f t="shared" si="51"/>
        <v>177.53807991294622</v>
      </c>
    </row>
    <row r="827" spans="1:7" x14ac:dyDescent="0.25">
      <c r="A827" s="24">
        <v>41593</v>
      </c>
      <c r="B827" s="25">
        <v>180.050003</v>
      </c>
      <c r="C827" s="11">
        <f t="shared" si="48"/>
        <v>180.194374125</v>
      </c>
      <c r="D827" s="11">
        <f t="shared" si="49"/>
        <v>0.88459278136604602</v>
      </c>
      <c r="E827" s="25">
        <v>180.050003</v>
      </c>
      <c r="F827" s="11">
        <f t="shared" si="50"/>
        <v>181.81918856273211</v>
      </c>
      <c r="G827" s="11">
        <f t="shared" si="51"/>
        <v>178.2808174372679</v>
      </c>
    </row>
    <row r="828" spans="1:7" x14ac:dyDescent="0.25">
      <c r="A828" s="24">
        <v>41592</v>
      </c>
      <c r="B828" s="25">
        <v>179.270004</v>
      </c>
      <c r="C828" s="11">
        <f t="shared" si="48"/>
        <v>180.15062431249999</v>
      </c>
      <c r="D828" s="11">
        <f t="shared" si="49"/>
        <v>0.87250841462752071</v>
      </c>
      <c r="E828" s="25">
        <v>179.270004</v>
      </c>
      <c r="F828" s="11">
        <f t="shared" si="50"/>
        <v>181.01502082925504</v>
      </c>
      <c r="G828" s="11">
        <f t="shared" si="51"/>
        <v>177.52498717074496</v>
      </c>
    </row>
    <row r="829" spans="1:7" x14ac:dyDescent="0.25">
      <c r="A829" s="24">
        <v>41591</v>
      </c>
      <c r="B829" s="25">
        <v>178.38000500000001</v>
      </c>
      <c r="C829" s="11">
        <f t="shared" si="48"/>
        <v>180.01749993749996</v>
      </c>
      <c r="D829" s="11">
        <f t="shared" si="49"/>
        <v>0.83066551371676101</v>
      </c>
      <c r="E829" s="25">
        <v>178.38000500000001</v>
      </c>
      <c r="F829" s="11">
        <f t="shared" si="50"/>
        <v>180.04133602743354</v>
      </c>
      <c r="G829" s="11">
        <f t="shared" si="51"/>
        <v>176.71867397256648</v>
      </c>
    </row>
    <row r="830" spans="1:7" x14ac:dyDescent="0.25">
      <c r="A830" s="24">
        <v>41590</v>
      </c>
      <c r="B830" s="25">
        <v>176.96000699999999</v>
      </c>
      <c r="C830" s="11">
        <f t="shared" si="48"/>
        <v>179.85750012499997</v>
      </c>
      <c r="D830" s="11">
        <f t="shared" si="49"/>
        <v>0.88584643177004241</v>
      </c>
      <c r="E830" s="25">
        <v>176.96000699999999</v>
      </c>
      <c r="F830" s="11">
        <f t="shared" si="50"/>
        <v>178.73169986354009</v>
      </c>
      <c r="G830" s="11">
        <f t="shared" si="51"/>
        <v>175.18831413645989</v>
      </c>
    </row>
    <row r="831" spans="1:7" x14ac:dyDescent="0.25">
      <c r="A831" s="24">
        <v>41589</v>
      </c>
      <c r="B831" s="25">
        <v>177.320007</v>
      </c>
      <c r="C831" s="11">
        <f t="shared" si="48"/>
        <v>179.73375043749999</v>
      </c>
      <c r="D831" s="11">
        <f t="shared" si="49"/>
        <v>1.1278149478154049</v>
      </c>
      <c r="E831" s="25">
        <v>177.320007</v>
      </c>
      <c r="F831" s="11">
        <f t="shared" si="50"/>
        <v>179.57563689563082</v>
      </c>
      <c r="G831" s="11">
        <f t="shared" si="51"/>
        <v>175.06437710436919</v>
      </c>
    </row>
    <row r="832" spans="1:7" x14ac:dyDescent="0.25">
      <c r="A832" s="24">
        <v>41586</v>
      </c>
      <c r="B832" s="25">
        <v>177.28999300000001</v>
      </c>
      <c r="C832" s="11">
        <f t="shared" si="48"/>
        <v>179.58312612500001</v>
      </c>
      <c r="D832" s="11">
        <f t="shared" si="49"/>
        <v>1.2791309210489692</v>
      </c>
      <c r="E832" s="25">
        <v>177.28999300000001</v>
      </c>
      <c r="F832" s="11">
        <f t="shared" si="50"/>
        <v>179.84825484209796</v>
      </c>
      <c r="G832" s="11">
        <f t="shared" si="51"/>
        <v>174.73173115790206</v>
      </c>
    </row>
    <row r="833" spans="1:7" x14ac:dyDescent="0.25">
      <c r="A833" s="24">
        <v>41585</v>
      </c>
      <c r="B833" s="25">
        <v>174.929993</v>
      </c>
      <c r="C833" s="11">
        <f t="shared" si="48"/>
        <v>179.4293756875</v>
      </c>
      <c r="D833" s="11">
        <f t="shared" si="49"/>
        <v>1.3998815231789059</v>
      </c>
      <c r="E833" s="25">
        <v>174.929993</v>
      </c>
      <c r="F833" s="11">
        <f t="shared" si="50"/>
        <v>177.72975604635781</v>
      </c>
      <c r="G833" s="11">
        <f t="shared" si="51"/>
        <v>172.13022995364219</v>
      </c>
    </row>
    <row r="834" spans="1:7" x14ac:dyDescent="0.25">
      <c r="A834" s="24">
        <v>41584</v>
      </c>
      <c r="B834" s="25">
        <v>177.16999799999999</v>
      </c>
      <c r="C834" s="11">
        <f t="shared" si="48"/>
        <v>179.07937531250002</v>
      </c>
      <c r="D834" s="11">
        <f t="shared" si="49"/>
        <v>1.7600775148956636</v>
      </c>
      <c r="E834" s="25">
        <v>177.16999799999999</v>
      </c>
      <c r="F834" s="11">
        <f t="shared" si="50"/>
        <v>180.69015302979133</v>
      </c>
      <c r="G834" s="11">
        <f t="shared" si="51"/>
        <v>173.64984297020865</v>
      </c>
    </row>
    <row r="835" spans="1:7" x14ac:dyDescent="0.25">
      <c r="A835" s="24">
        <v>41583</v>
      </c>
      <c r="B835" s="25">
        <v>176.270004</v>
      </c>
      <c r="C835" s="11">
        <f t="shared" si="48"/>
        <v>178.84000018749998</v>
      </c>
      <c r="D835" s="11">
        <f t="shared" si="49"/>
        <v>1.7418038198062464</v>
      </c>
      <c r="E835" s="25">
        <v>176.270004</v>
      </c>
      <c r="F835" s="11">
        <f t="shared" si="50"/>
        <v>179.7536116396125</v>
      </c>
      <c r="G835" s="11">
        <f t="shared" si="51"/>
        <v>172.7863963603875</v>
      </c>
    </row>
    <row r="836" spans="1:7" x14ac:dyDescent="0.25">
      <c r="A836" s="24">
        <v>41582</v>
      </c>
      <c r="B836" s="25">
        <v>176.83000200000001</v>
      </c>
      <c r="C836" s="11">
        <f t="shared" si="48"/>
        <v>178.53687574999998</v>
      </c>
      <c r="D836" s="11">
        <f t="shared" si="49"/>
        <v>1.7405853702199743</v>
      </c>
      <c r="E836" s="25">
        <v>176.83000200000001</v>
      </c>
      <c r="F836" s="11">
        <f t="shared" si="50"/>
        <v>180.31117274043996</v>
      </c>
      <c r="G836" s="11">
        <f t="shared" si="51"/>
        <v>173.34883125956006</v>
      </c>
    </row>
    <row r="837" spans="1:7" x14ac:dyDescent="0.25">
      <c r="A837" s="24">
        <v>41579</v>
      </c>
      <c r="B837" s="25">
        <v>176.21000699999999</v>
      </c>
      <c r="C837" s="11">
        <f t="shared" si="48"/>
        <v>178.2962513125</v>
      </c>
      <c r="D837" s="11">
        <f t="shared" si="49"/>
        <v>1.689943312615219</v>
      </c>
      <c r="E837" s="25">
        <v>176.21000699999999</v>
      </c>
      <c r="F837" s="11">
        <f t="shared" si="50"/>
        <v>179.58989362523042</v>
      </c>
      <c r="G837" s="11">
        <f t="shared" si="51"/>
        <v>172.83012037476956</v>
      </c>
    </row>
    <row r="838" spans="1:7" x14ac:dyDescent="0.25">
      <c r="A838" s="24">
        <v>41578</v>
      </c>
      <c r="B838" s="25">
        <v>175.78999300000001</v>
      </c>
      <c r="C838" s="11">
        <f t="shared" si="48"/>
        <v>178.02000143750001</v>
      </c>
      <c r="D838" s="11">
        <f t="shared" si="49"/>
        <v>1.6436465792116417</v>
      </c>
      <c r="E838" s="25">
        <v>175.78999300000001</v>
      </c>
      <c r="F838" s="11">
        <f t="shared" si="50"/>
        <v>179.07728615842331</v>
      </c>
      <c r="G838" s="11">
        <f t="shared" si="51"/>
        <v>172.50269984157671</v>
      </c>
    </row>
    <row r="839" spans="1:7" x14ac:dyDescent="0.25">
      <c r="A839" s="24">
        <v>41577</v>
      </c>
      <c r="B839" s="25">
        <v>176.28999300000001</v>
      </c>
      <c r="C839" s="11">
        <f t="shared" si="48"/>
        <v>177.70625112499999</v>
      </c>
      <c r="D839" s="11">
        <f t="shared" si="49"/>
        <v>1.5521477557537213</v>
      </c>
      <c r="E839" s="25">
        <v>176.28999300000001</v>
      </c>
      <c r="F839" s="11">
        <f t="shared" si="50"/>
        <v>179.39428851150745</v>
      </c>
      <c r="G839" s="11">
        <f t="shared" si="51"/>
        <v>173.18569748849256</v>
      </c>
    </row>
    <row r="840" spans="1:7" x14ac:dyDescent="0.25">
      <c r="A840" s="24">
        <v>41576</v>
      </c>
      <c r="B840" s="25">
        <v>177.16999799999999</v>
      </c>
      <c r="C840" s="11">
        <f t="shared" si="48"/>
        <v>177.4800004375</v>
      </c>
      <c r="D840" s="11">
        <f t="shared" si="49"/>
        <v>1.4712278364327747</v>
      </c>
      <c r="E840" s="25">
        <v>177.16999799999999</v>
      </c>
      <c r="F840" s="11">
        <f t="shared" si="50"/>
        <v>180.11245367286554</v>
      </c>
      <c r="G840" s="11">
        <f t="shared" si="51"/>
        <v>174.22754232713444</v>
      </c>
    </row>
    <row r="841" spans="1:7" x14ac:dyDescent="0.25">
      <c r="A841" s="24">
        <v>41575</v>
      </c>
      <c r="B841" s="25">
        <v>176.229996</v>
      </c>
      <c r="C841" s="11">
        <f t="shared" si="48"/>
        <v>177.39875024999998</v>
      </c>
      <c r="D841" s="11">
        <f t="shared" si="49"/>
        <v>1.4486325761541474</v>
      </c>
      <c r="E841" s="25">
        <v>176.229996</v>
      </c>
      <c r="F841" s="11">
        <f t="shared" si="50"/>
        <v>179.12726115230831</v>
      </c>
      <c r="G841" s="11">
        <f t="shared" si="51"/>
        <v>173.33273084769169</v>
      </c>
    </row>
    <row r="842" spans="1:7" x14ac:dyDescent="0.25">
      <c r="A842" s="24">
        <v>41572</v>
      </c>
      <c r="B842" s="25">
        <v>175.949997</v>
      </c>
      <c r="C842" s="11">
        <f t="shared" si="48"/>
        <v>177.22375006249999</v>
      </c>
      <c r="D842" s="11">
        <f t="shared" si="49"/>
        <v>1.4069602712453291</v>
      </c>
      <c r="E842" s="25">
        <v>175.949997</v>
      </c>
      <c r="F842" s="11">
        <f t="shared" si="50"/>
        <v>178.76391754249065</v>
      </c>
      <c r="G842" s="11">
        <f t="shared" si="51"/>
        <v>173.13607645750935</v>
      </c>
    </row>
    <row r="843" spans="1:7" x14ac:dyDescent="0.25">
      <c r="A843" s="24">
        <v>41571</v>
      </c>
      <c r="B843" s="25">
        <v>175.14999399999999</v>
      </c>
      <c r="C843" s="11">
        <f t="shared" si="48"/>
        <v>177.00687499999998</v>
      </c>
      <c r="D843" s="11">
        <f t="shared" si="49"/>
        <v>1.3099476643603249</v>
      </c>
      <c r="E843" s="25">
        <v>175.14999399999999</v>
      </c>
      <c r="F843" s="11">
        <f t="shared" si="50"/>
        <v>177.76988932872064</v>
      </c>
      <c r="G843" s="11">
        <f t="shared" si="51"/>
        <v>172.53009867127935</v>
      </c>
    </row>
    <row r="844" spans="1:7" x14ac:dyDescent="0.25">
      <c r="A844" s="24">
        <v>41570</v>
      </c>
      <c r="B844" s="25">
        <v>174.570007</v>
      </c>
      <c r="C844" s="11">
        <f t="shared" si="48"/>
        <v>176.70062443749998</v>
      </c>
      <c r="D844" s="11">
        <f t="shared" si="49"/>
        <v>1.1083378474610228</v>
      </c>
      <c r="E844" s="25">
        <v>174.570007</v>
      </c>
      <c r="F844" s="11">
        <f t="shared" si="50"/>
        <v>176.78668269492204</v>
      </c>
      <c r="G844" s="11">
        <f t="shared" si="51"/>
        <v>172.35333130507797</v>
      </c>
    </row>
    <row r="845" spans="1:7" x14ac:dyDescent="0.25">
      <c r="A845" s="24">
        <v>41569</v>
      </c>
      <c r="B845" s="25">
        <v>175.41000399999999</v>
      </c>
      <c r="C845" s="11">
        <f t="shared" si="48"/>
        <v>176.406874625</v>
      </c>
      <c r="D845" s="11">
        <f t="shared" si="49"/>
        <v>0.99944610836882364</v>
      </c>
      <c r="E845" s="25">
        <v>175.41000399999999</v>
      </c>
      <c r="F845" s="11">
        <f t="shared" si="50"/>
        <v>177.40889621673765</v>
      </c>
      <c r="G845" s="11">
        <f t="shared" si="51"/>
        <v>173.41111178326233</v>
      </c>
    </row>
    <row r="846" spans="1:7" x14ac:dyDescent="0.25">
      <c r="A846" s="24">
        <v>41568</v>
      </c>
      <c r="B846" s="25">
        <v>174.39999399999999</v>
      </c>
      <c r="C846" s="11">
        <f t="shared" si="48"/>
        <v>176.22124956249999</v>
      </c>
      <c r="D846" s="11">
        <f t="shared" si="49"/>
        <v>0.87683479242078299</v>
      </c>
      <c r="E846" s="25">
        <v>174.39999399999999</v>
      </c>
      <c r="F846" s="11">
        <f t="shared" si="50"/>
        <v>176.15366358484155</v>
      </c>
      <c r="G846" s="11">
        <f t="shared" si="51"/>
        <v>172.64632441515843</v>
      </c>
    </row>
    <row r="847" spans="1:7" x14ac:dyDescent="0.25">
      <c r="A847" s="24">
        <v>41565</v>
      </c>
      <c r="B847" s="25">
        <v>174.38999899999999</v>
      </c>
      <c r="C847" s="11">
        <f t="shared" si="48"/>
        <v>176.06124874999998</v>
      </c>
      <c r="D847" s="11">
        <f t="shared" si="49"/>
        <v>0.96243420244222633</v>
      </c>
      <c r="E847" s="25">
        <v>174.38999899999999</v>
      </c>
      <c r="F847" s="11">
        <f t="shared" si="50"/>
        <v>176.31486740488444</v>
      </c>
      <c r="G847" s="11">
        <f t="shared" si="51"/>
        <v>172.46513059511554</v>
      </c>
    </row>
    <row r="848" spans="1:7" x14ac:dyDescent="0.25">
      <c r="A848" s="24">
        <v>41564</v>
      </c>
      <c r="B848" s="25">
        <v>173.220001</v>
      </c>
      <c r="C848" s="11">
        <f t="shared" si="48"/>
        <v>175.87812324999999</v>
      </c>
      <c r="D848" s="11">
        <f t="shared" si="49"/>
        <v>0.98543520420800468</v>
      </c>
      <c r="E848" s="25">
        <v>173.220001</v>
      </c>
      <c r="F848" s="11">
        <f t="shared" si="50"/>
        <v>175.190871408416</v>
      </c>
      <c r="G848" s="11">
        <f t="shared" si="51"/>
        <v>171.24913059158399</v>
      </c>
    </row>
    <row r="849" spans="1:7" x14ac:dyDescent="0.25">
      <c r="A849" s="24">
        <v>41563</v>
      </c>
      <c r="B849" s="25">
        <v>172.070007</v>
      </c>
      <c r="C849" s="11">
        <f t="shared" si="48"/>
        <v>175.62374875</v>
      </c>
      <c r="D849" s="11">
        <f t="shared" si="49"/>
        <v>1.1136478692526062</v>
      </c>
      <c r="E849" s="25">
        <v>172.070007</v>
      </c>
      <c r="F849" s="11">
        <f t="shared" si="50"/>
        <v>174.29730273850521</v>
      </c>
      <c r="G849" s="11">
        <f t="shared" si="51"/>
        <v>169.8427112614948</v>
      </c>
    </row>
    <row r="850" spans="1:7" x14ac:dyDescent="0.25">
      <c r="A850" s="24">
        <v>41562</v>
      </c>
      <c r="B850" s="25">
        <v>169.699997</v>
      </c>
      <c r="C850" s="11">
        <f t="shared" si="48"/>
        <v>175.44499962500001</v>
      </c>
      <c r="D850" s="11">
        <f t="shared" si="49"/>
        <v>1.4198529745572426</v>
      </c>
      <c r="E850" s="25">
        <v>169.699997</v>
      </c>
      <c r="F850" s="11">
        <f t="shared" si="50"/>
        <v>172.53970294911448</v>
      </c>
      <c r="G850" s="11">
        <f t="shared" si="51"/>
        <v>166.86029105088551</v>
      </c>
    </row>
    <row r="851" spans="1:7" x14ac:dyDescent="0.25">
      <c r="A851" s="24">
        <v>41561</v>
      </c>
      <c r="B851" s="25">
        <v>170.94000199999999</v>
      </c>
      <c r="C851" s="11">
        <f t="shared" si="48"/>
        <v>174.9781245625</v>
      </c>
      <c r="D851" s="11">
        <f t="shared" si="49"/>
        <v>1.9456209912542914</v>
      </c>
      <c r="E851" s="25">
        <v>170.94000199999999</v>
      </c>
      <c r="F851" s="11">
        <f t="shared" si="50"/>
        <v>174.83124398250857</v>
      </c>
      <c r="G851" s="11">
        <f t="shared" si="51"/>
        <v>167.04876001749142</v>
      </c>
    </row>
    <row r="852" spans="1:7" x14ac:dyDescent="0.25">
      <c r="A852" s="24">
        <v>41558</v>
      </c>
      <c r="B852" s="25">
        <v>170.259995</v>
      </c>
      <c r="C852" s="11">
        <f t="shared" ref="C852:C915" si="52">AVERAGE(B836:B851)</f>
        <v>174.64499943749999</v>
      </c>
      <c r="D852" s="11">
        <f t="shared" ref="D852:D915" si="53">_xlfn.STDEV.S(B836:B851)</f>
        <v>2.1547395726688334</v>
      </c>
      <c r="E852" s="25">
        <v>170.259995</v>
      </c>
      <c r="F852" s="11">
        <f t="shared" ref="F852:F915" si="54">B852+2*D852</f>
        <v>174.56947414533767</v>
      </c>
      <c r="G852" s="11">
        <f t="shared" ref="G852:G915" si="55">B852-2*D852</f>
        <v>165.95051585466234</v>
      </c>
    </row>
    <row r="853" spans="1:7" x14ac:dyDescent="0.25">
      <c r="A853" s="24">
        <v>41557</v>
      </c>
      <c r="B853" s="25">
        <v>169.16999799999999</v>
      </c>
      <c r="C853" s="11">
        <f t="shared" si="52"/>
        <v>174.23437399999997</v>
      </c>
      <c r="D853" s="11">
        <f t="shared" si="53"/>
        <v>2.3295171904693897</v>
      </c>
      <c r="E853" s="25">
        <v>169.16999799999999</v>
      </c>
      <c r="F853" s="11">
        <f t="shared" si="54"/>
        <v>173.82903238093877</v>
      </c>
      <c r="G853" s="11">
        <f t="shared" si="55"/>
        <v>164.51096361906122</v>
      </c>
    </row>
    <row r="854" spans="1:7" x14ac:dyDescent="0.25">
      <c r="A854" s="24">
        <v>41556</v>
      </c>
      <c r="B854" s="25">
        <v>165.60000600000001</v>
      </c>
      <c r="C854" s="11">
        <f t="shared" si="52"/>
        <v>173.79437343749998</v>
      </c>
      <c r="D854" s="11">
        <f t="shared" si="53"/>
        <v>2.5825946347174189</v>
      </c>
      <c r="E854" s="25">
        <v>165.60000600000001</v>
      </c>
      <c r="F854" s="11">
        <f t="shared" si="54"/>
        <v>170.76519526943486</v>
      </c>
      <c r="G854" s="11">
        <f t="shared" si="55"/>
        <v>160.43481673056516</v>
      </c>
    </row>
    <row r="855" spans="1:7" x14ac:dyDescent="0.25">
      <c r="A855" s="24">
        <v>41555</v>
      </c>
      <c r="B855" s="25">
        <v>165.479996</v>
      </c>
      <c r="C855" s="11">
        <f t="shared" si="52"/>
        <v>173.15749924999997</v>
      </c>
      <c r="D855" s="11">
        <f t="shared" si="53"/>
        <v>3.232360811959115</v>
      </c>
      <c r="E855" s="25">
        <v>165.479996</v>
      </c>
      <c r="F855" s="11">
        <f t="shared" si="54"/>
        <v>171.94471762391822</v>
      </c>
      <c r="G855" s="11">
        <f t="shared" si="55"/>
        <v>159.01527437608178</v>
      </c>
    </row>
    <row r="856" spans="1:7" x14ac:dyDescent="0.25">
      <c r="A856" s="24">
        <v>41554</v>
      </c>
      <c r="B856" s="25">
        <v>167.429993</v>
      </c>
      <c r="C856" s="11">
        <f t="shared" si="52"/>
        <v>172.48187443749998</v>
      </c>
      <c r="D856" s="11">
        <f t="shared" si="53"/>
        <v>3.6382265198312913</v>
      </c>
      <c r="E856" s="25">
        <v>167.429993</v>
      </c>
      <c r="F856" s="11">
        <f t="shared" si="54"/>
        <v>174.70644603966258</v>
      </c>
      <c r="G856" s="11">
        <f t="shared" si="55"/>
        <v>160.15353996033741</v>
      </c>
    </row>
    <row r="857" spans="1:7" x14ac:dyDescent="0.25">
      <c r="A857" s="24">
        <v>41551</v>
      </c>
      <c r="B857" s="25">
        <v>168.88999899999999</v>
      </c>
      <c r="C857" s="11">
        <f t="shared" si="52"/>
        <v>171.873124125</v>
      </c>
      <c r="D857" s="11">
        <f t="shared" si="53"/>
        <v>3.6162978820689302</v>
      </c>
      <c r="E857" s="25">
        <v>168.88999899999999</v>
      </c>
      <c r="F857" s="11">
        <f t="shared" si="54"/>
        <v>176.12259476413786</v>
      </c>
      <c r="G857" s="11">
        <f t="shared" si="55"/>
        <v>161.65740323586212</v>
      </c>
    </row>
    <row r="858" spans="1:7" x14ac:dyDescent="0.25">
      <c r="A858" s="24">
        <v>41550</v>
      </c>
      <c r="B858" s="25">
        <v>167.61999499999999</v>
      </c>
      <c r="C858" s="11">
        <f t="shared" si="52"/>
        <v>171.4143743125</v>
      </c>
      <c r="D858" s="11">
        <f t="shared" si="53"/>
        <v>3.4901159131331938</v>
      </c>
      <c r="E858" s="25">
        <v>167.61999499999999</v>
      </c>
      <c r="F858" s="11">
        <f t="shared" si="54"/>
        <v>174.60022682626638</v>
      </c>
      <c r="G858" s="11">
        <f t="shared" si="55"/>
        <v>160.6397631737336</v>
      </c>
    </row>
    <row r="859" spans="1:7" x14ac:dyDescent="0.25">
      <c r="A859" s="24">
        <v>41549</v>
      </c>
      <c r="B859" s="25">
        <v>169.179993</v>
      </c>
      <c r="C859" s="11">
        <f t="shared" si="52"/>
        <v>170.89374918750002</v>
      </c>
      <c r="D859" s="11">
        <f t="shared" si="53"/>
        <v>3.3882371933681212</v>
      </c>
      <c r="E859" s="25">
        <v>169.179993</v>
      </c>
      <c r="F859" s="11">
        <f t="shared" si="54"/>
        <v>175.95646738673625</v>
      </c>
      <c r="G859" s="11">
        <f t="shared" si="55"/>
        <v>162.40351861326374</v>
      </c>
    </row>
    <row r="860" spans="1:7" x14ac:dyDescent="0.25">
      <c r="A860" s="24">
        <v>41548</v>
      </c>
      <c r="B860" s="25">
        <v>169.33999600000001</v>
      </c>
      <c r="C860" s="11">
        <f t="shared" si="52"/>
        <v>170.52062412500001</v>
      </c>
      <c r="D860" s="11">
        <f t="shared" si="53"/>
        <v>3.2124347209747062</v>
      </c>
      <c r="E860" s="25">
        <v>169.33999600000001</v>
      </c>
      <c r="F860" s="11">
        <f t="shared" si="54"/>
        <v>175.76486544194944</v>
      </c>
      <c r="G860" s="11">
        <f t="shared" si="55"/>
        <v>162.91512655805059</v>
      </c>
    </row>
    <row r="861" spans="1:7" x14ac:dyDescent="0.25">
      <c r="A861" s="24">
        <v>41547</v>
      </c>
      <c r="B861" s="25">
        <v>168.009995</v>
      </c>
      <c r="C861" s="11">
        <f t="shared" si="52"/>
        <v>170.19374843750003</v>
      </c>
      <c r="D861" s="11">
        <f t="shared" si="53"/>
        <v>3.0340607575524663</v>
      </c>
      <c r="E861" s="25">
        <v>168.009995</v>
      </c>
      <c r="F861" s="11">
        <f t="shared" si="54"/>
        <v>174.07811651510494</v>
      </c>
      <c r="G861" s="11">
        <f t="shared" si="55"/>
        <v>161.94187348489507</v>
      </c>
    </row>
    <row r="862" spans="1:7" x14ac:dyDescent="0.25">
      <c r="A862" s="24">
        <v>41544</v>
      </c>
      <c r="B862" s="25">
        <v>168.91000399999999</v>
      </c>
      <c r="C862" s="11">
        <f t="shared" si="52"/>
        <v>169.73124787500001</v>
      </c>
      <c r="D862" s="11">
        <f t="shared" si="53"/>
        <v>2.735200405397181</v>
      </c>
      <c r="E862" s="25">
        <v>168.91000399999999</v>
      </c>
      <c r="F862" s="11">
        <f t="shared" si="54"/>
        <v>174.38040481079435</v>
      </c>
      <c r="G862" s="11">
        <f t="shared" si="55"/>
        <v>163.43960318920563</v>
      </c>
    </row>
    <row r="863" spans="1:7" x14ac:dyDescent="0.25">
      <c r="A863" s="24">
        <v>41543</v>
      </c>
      <c r="B863" s="25">
        <v>169.69000199999999</v>
      </c>
      <c r="C863" s="11">
        <f t="shared" si="52"/>
        <v>169.38812350000001</v>
      </c>
      <c r="D863" s="11">
        <f t="shared" si="53"/>
        <v>2.4387608957595641</v>
      </c>
      <c r="E863" s="25">
        <v>169.69000199999999</v>
      </c>
      <c r="F863" s="11">
        <f t="shared" si="54"/>
        <v>174.56752379151911</v>
      </c>
      <c r="G863" s="11">
        <f t="shared" si="55"/>
        <v>164.81248020848088</v>
      </c>
    </row>
    <row r="864" spans="1:7" x14ac:dyDescent="0.25">
      <c r="A864" s="24">
        <v>41542</v>
      </c>
      <c r="B864" s="25">
        <v>169.03999300000001</v>
      </c>
      <c r="C864" s="11">
        <f t="shared" si="52"/>
        <v>169.09437368749997</v>
      </c>
      <c r="D864" s="11">
        <f t="shared" si="53"/>
        <v>2.047845525978484</v>
      </c>
      <c r="E864" s="25">
        <v>169.03999300000001</v>
      </c>
      <c r="F864" s="11">
        <f t="shared" si="54"/>
        <v>173.13568405195699</v>
      </c>
      <c r="G864" s="11">
        <f t="shared" si="55"/>
        <v>164.94430194804303</v>
      </c>
    </row>
    <row r="865" spans="1:7" x14ac:dyDescent="0.25">
      <c r="A865" s="24">
        <v>41541</v>
      </c>
      <c r="B865" s="25">
        <v>169.529999</v>
      </c>
      <c r="C865" s="11">
        <f t="shared" si="52"/>
        <v>168.83312318749995</v>
      </c>
      <c r="D865" s="11">
        <f t="shared" si="53"/>
        <v>1.7281048739698339</v>
      </c>
      <c r="E865" s="25">
        <v>169.529999</v>
      </c>
      <c r="F865" s="11">
        <f t="shared" si="54"/>
        <v>172.98620874793968</v>
      </c>
      <c r="G865" s="11">
        <f t="shared" si="55"/>
        <v>166.07378925206032</v>
      </c>
    </row>
    <row r="866" spans="1:7" x14ac:dyDescent="0.25">
      <c r="A866" s="24">
        <v>41540</v>
      </c>
      <c r="B866" s="25">
        <v>169.929993</v>
      </c>
      <c r="C866" s="11">
        <f t="shared" si="52"/>
        <v>168.67437268749995</v>
      </c>
      <c r="D866" s="11">
        <f t="shared" si="53"/>
        <v>1.5143797052257268</v>
      </c>
      <c r="E866" s="25">
        <v>169.929993</v>
      </c>
      <c r="F866" s="11">
        <f t="shared" si="54"/>
        <v>172.95875241045144</v>
      </c>
      <c r="G866" s="11">
        <f t="shared" si="55"/>
        <v>166.90123358954855</v>
      </c>
    </row>
    <row r="867" spans="1:7" x14ac:dyDescent="0.25">
      <c r="A867" s="24">
        <v>41537</v>
      </c>
      <c r="B867" s="25">
        <v>170.720001</v>
      </c>
      <c r="C867" s="11">
        <f t="shared" si="52"/>
        <v>168.68874743749998</v>
      </c>
      <c r="D867" s="11">
        <f t="shared" si="53"/>
        <v>1.5258125568095158</v>
      </c>
      <c r="E867" s="25">
        <v>170.720001</v>
      </c>
      <c r="F867" s="11">
        <f t="shared" si="54"/>
        <v>173.77162611361902</v>
      </c>
      <c r="G867" s="11">
        <f t="shared" si="55"/>
        <v>167.66837588638097</v>
      </c>
    </row>
    <row r="868" spans="1:7" x14ac:dyDescent="0.25">
      <c r="A868" s="24">
        <v>41536</v>
      </c>
      <c r="B868" s="25">
        <v>172.759995</v>
      </c>
      <c r="C868" s="11">
        <f t="shared" si="52"/>
        <v>168.674997375</v>
      </c>
      <c r="D868" s="11">
        <f t="shared" si="53"/>
        <v>1.5050222208825959</v>
      </c>
      <c r="E868" s="25">
        <v>172.759995</v>
      </c>
      <c r="F868" s="11">
        <f t="shared" si="54"/>
        <v>175.77003944176519</v>
      </c>
      <c r="G868" s="11">
        <f t="shared" si="55"/>
        <v>169.74995055823481</v>
      </c>
    </row>
    <row r="869" spans="1:7" x14ac:dyDescent="0.25">
      <c r="A869" s="24">
        <v>41535</v>
      </c>
      <c r="B869" s="25">
        <v>173.050003</v>
      </c>
      <c r="C869" s="11">
        <f t="shared" si="52"/>
        <v>168.83124737500003</v>
      </c>
      <c r="D869" s="11">
        <f t="shared" si="53"/>
        <v>1.7843904917413815</v>
      </c>
      <c r="E869" s="25">
        <v>173.050003</v>
      </c>
      <c r="F869" s="11">
        <f t="shared" si="54"/>
        <v>176.61878398348276</v>
      </c>
      <c r="G869" s="11">
        <f t="shared" si="55"/>
        <v>169.48122201651725</v>
      </c>
    </row>
    <row r="870" spans="1:7" x14ac:dyDescent="0.25">
      <c r="A870" s="24">
        <v>41534</v>
      </c>
      <c r="B870" s="25">
        <v>171.070007</v>
      </c>
      <c r="C870" s="11">
        <f t="shared" si="52"/>
        <v>169.07374768750003</v>
      </c>
      <c r="D870" s="11">
        <f t="shared" si="53"/>
        <v>2.073692134298716</v>
      </c>
      <c r="E870" s="25">
        <v>171.070007</v>
      </c>
      <c r="F870" s="11">
        <f t="shared" si="54"/>
        <v>175.21739126859742</v>
      </c>
      <c r="G870" s="11">
        <f t="shared" si="55"/>
        <v>166.92262273140258</v>
      </c>
    </row>
    <row r="871" spans="1:7" x14ac:dyDescent="0.25">
      <c r="A871" s="24">
        <v>41533</v>
      </c>
      <c r="B871" s="25">
        <v>170.30999800000001</v>
      </c>
      <c r="C871" s="11">
        <f t="shared" si="52"/>
        <v>169.41562274999998</v>
      </c>
      <c r="D871" s="11">
        <f t="shared" si="53"/>
        <v>1.907023842104115</v>
      </c>
      <c r="E871" s="25">
        <v>170.30999800000001</v>
      </c>
      <c r="F871" s="11">
        <f t="shared" si="54"/>
        <v>174.12404568420823</v>
      </c>
      <c r="G871" s="11">
        <f t="shared" si="55"/>
        <v>166.49595031579179</v>
      </c>
    </row>
    <row r="872" spans="1:7" x14ac:dyDescent="0.25">
      <c r="A872" s="24">
        <v>41530</v>
      </c>
      <c r="B872" s="25">
        <v>169.33000200000001</v>
      </c>
      <c r="C872" s="11">
        <f t="shared" si="52"/>
        <v>169.71749787499999</v>
      </c>
      <c r="D872" s="11">
        <f t="shared" si="53"/>
        <v>1.6000789715990036</v>
      </c>
      <c r="E872" s="25">
        <v>169.33000200000001</v>
      </c>
      <c r="F872" s="11">
        <f t="shared" si="54"/>
        <v>172.53015994319802</v>
      </c>
      <c r="G872" s="11">
        <f t="shared" si="55"/>
        <v>166.129844056802</v>
      </c>
    </row>
    <row r="873" spans="1:7" x14ac:dyDescent="0.25">
      <c r="A873" s="24">
        <v>41529</v>
      </c>
      <c r="B873" s="25">
        <v>168.949997</v>
      </c>
      <c r="C873" s="11">
        <f t="shared" si="52"/>
        <v>169.83624843749999</v>
      </c>
      <c r="D873" s="11">
        <f t="shared" si="53"/>
        <v>1.4853874487326653</v>
      </c>
      <c r="E873" s="25">
        <v>168.949997</v>
      </c>
      <c r="F873" s="11">
        <f t="shared" si="54"/>
        <v>171.92077189746533</v>
      </c>
      <c r="G873" s="11">
        <f t="shared" si="55"/>
        <v>165.97922210253466</v>
      </c>
    </row>
    <row r="874" spans="1:7" x14ac:dyDescent="0.25">
      <c r="A874" s="24">
        <v>41528</v>
      </c>
      <c r="B874" s="25">
        <v>169.39999399999999</v>
      </c>
      <c r="C874" s="11">
        <f t="shared" si="52"/>
        <v>169.83999831250003</v>
      </c>
      <c r="D874" s="11">
        <f t="shared" si="53"/>
        <v>1.4829130502783932</v>
      </c>
      <c r="E874" s="25">
        <v>169.39999399999999</v>
      </c>
      <c r="F874" s="11">
        <f t="shared" si="54"/>
        <v>172.36582010055679</v>
      </c>
      <c r="G874" s="11">
        <f t="shared" si="55"/>
        <v>166.4341678994432</v>
      </c>
    </row>
    <row r="875" spans="1:7" x14ac:dyDescent="0.25">
      <c r="A875" s="24">
        <v>41527</v>
      </c>
      <c r="B875" s="25">
        <v>168.86999499999999</v>
      </c>
      <c r="C875" s="11">
        <f t="shared" si="52"/>
        <v>169.95124825000002</v>
      </c>
      <c r="D875" s="11">
        <f t="shared" si="53"/>
        <v>1.3675435649440215</v>
      </c>
      <c r="E875" s="25">
        <v>168.86999499999999</v>
      </c>
      <c r="F875" s="11">
        <f t="shared" si="54"/>
        <v>171.60508212988802</v>
      </c>
      <c r="G875" s="11">
        <f t="shared" si="55"/>
        <v>166.13490787011196</v>
      </c>
    </row>
    <row r="876" spans="1:7" x14ac:dyDescent="0.25">
      <c r="A876" s="24">
        <v>41526</v>
      </c>
      <c r="B876" s="25">
        <v>167.63000500000001</v>
      </c>
      <c r="C876" s="11">
        <f t="shared" si="52"/>
        <v>169.93187337499998</v>
      </c>
      <c r="D876" s="11">
        <f t="shared" si="53"/>
        <v>1.3813254211753727</v>
      </c>
      <c r="E876" s="25">
        <v>167.63000500000001</v>
      </c>
      <c r="F876" s="11">
        <f t="shared" si="54"/>
        <v>170.39265584235076</v>
      </c>
      <c r="G876" s="11">
        <f t="shared" si="55"/>
        <v>164.86735415764926</v>
      </c>
    </row>
    <row r="877" spans="1:7" x14ac:dyDescent="0.25">
      <c r="A877" s="24">
        <v>41523</v>
      </c>
      <c r="B877" s="25">
        <v>166.03999300000001</v>
      </c>
      <c r="C877" s="11">
        <f t="shared" si="52"/>
        <v>169.8249989375</v>
      </c>
      <c r="D877" s="11">
        <f t="shared" si="53"/>
        <v>1.4918986482625189</v>
      </c>
      <c r="E877" s="25">
        <v>166.03999300000001</v>
      </c>
      <c r="F877" s="11">
        <f t="shared" si="54"/>
        <v>169.02379029652505</v>
      </c>
      <c r="G877" s="11">
        <f t="shared" si="55"/>
        <v>163.05619570347497</v>
      </c>
    </row>
    <row r="878" spans="1:7" x14ac:dyDescent="0.25">
      <c r="A878" s="24">
        <v>41522</v>
      </c>
      <c r="B878" s="25">
        <v>165.96000699999999</v>
      </c>
      <c r="C878" s="11">
        <f t="shared" si="52"/>
        <v>169.7018738125</v>
      </c>
      <c r="D878" s="11">
        <f t="shared" si="53"/>
        <v>1.7161176642173541</v>
      </c>
      <c r="E878" s="25">
        <v>165.96000699999999</v>
      </c>
      <c r="F878" s="11">
        <f t="shared" si="54"/>
        <v>169.39224232843469</v>
      </c>
      <c r="G878" s="11">
        <f t="shared" si="55"/>
        <v>162.52777167156529</v>
      </c>
    </row>
    <row r="879" spans="1:7" x14ac:dyDescent="0.25">
      <c r="A879" s="24">
        <v>41521</v>
      </c>
      <c r="B879" s="25">
        <v>165.75</v>
      </c>
      <c r="C879" s="11">
        <f t="shared" si="52"/>
        <v>169.51749899999999</v>
      </c>
      <c r="D879" s="11">
        <f t="shared" si="53"/>
        <v>1.9494700452579763</v>
      </c>
      <c r="E879" s="25">
        <v>165.75</v>
      </c>
      <c r="F879" s="11">
        <f t="shared" si="54"/>
        <v>169.64894009051596</v>
      </c>
      <c r="G879" s="11">
        <f t="shared" si="55"/>
        <v>161.85105990948404</v>
      </c>
    </row>
    <row r="880" spans="1:7" x14ac:dyDescent="0.25">
      <c r="A880" s="24">
        <v>41520</v>
      </c>
      <c r="B880" s="25">
        <v>164.38999899999999</v>
      </c>
      <c r="C880" s="11">
        <f t="shared" si="52"/>
        <v>169.271248875</v>
      </c>
      <c r="D880" s="11">
        <f t="shared" si="53"/>
        <v>2.1633395064939727</v>
      </c>
      <c r="E880" s="25">
        <v>164.38999899999999</v>
      </c>
      <c r="F880" s="11">
        <f t="shared" si="54"/>
        <v>168.71667801298793</v>
      </c>
      <c r="G880" s="11">
        <f t="shared" si="55"/>
        <v>160.06331998701205</v>
      </c>
    </row>
    <row r="881" spans="1:7" x14ac:dyDescent="0.25">
      <c r="A881" s="24">
        <v>41516</v>
      </c>
      <c r="B881" s="25">
        <v>163.64999399999999</v>
      </c>
      <c r="C881" s="11">
        <f t="shared" si="52"/>
        <v>168.98062424999998</v>
      </c>
      <c r="D881" s="11">
        <f t="shared" si="53"/>
        <v>2.484918316636413</v>
      </c>
      <c r="E881" s="25">
        <v>163.64999399999999</v>
      </c>
      <c r="F881" s="11">
        <f t="shared" si="54"/>
        <v>168.61983063327281</v>
      </c>
      <c r="G881" s="11">
        <f t="shared" si="55"/>
        <v>158.68015736672717</v>
      </c>
    </row>
    <row r="882" spans="1:7" x14ac:dyDescent="0.25">
      <c r="A882" s="24">
        <v>41515</v>
      </c>
      <c r="B882" s="25">
        <v>164.16999799999999</v>
      </c>
      <c r="C882" s="11">
        <f t="shared" si="52"/>
        <v>168.61312393749998</v>
      </c>
      <c r="D882" s="11">
        <f t="shared" si="53"/>
        <v>2.8115854148694961</v>
      </c>
      <c r="E882" s="25">
        <v>164.16999799999999</v>
      </c>
      <c r="F882" s="11">
        <f t="shared" si="54"/>
        <v>169.79316882973899</v>
      </c>
      <c r="G882" s="11">
        <f t="shared" si="55"/>
        <v>158.546827170261</v>
      </c>
    </row>
    <row r="883" spans="1:7" x14ac:dyDescent="0.25">
      <c r="A883" s="24">
        <v>41514</v>
      </c>
      <c r="B883" s="25">
        <v>163.91000399999999</v>
      </c>
      <c r="C883" s="11">
        <f t="shared" si="52"/>
        <v>168.25312424999998</v>
      </c>
      <c r="D883" s="11">
        <f t="shared" si="53"/>
        <v>2.9945374238805482</v>
      </c>
      <c r="E883" s="25">
        <v>163.91000399999999</v>
      </c>
      <c r="F883" s="11">
        <f t="shared" si="54"/>
        <v>169.89907884776107</v>
      </c>
      <c r="G883" s="11">
        <f t="shared" si="55"/>
        <v>157.9209291522389</v>
      </c>
    </row>
    <row r="884" spans="1:7" x14ac:dyDescent="0.25">
      <c r="A884" s="24">
        <v>41513</v>
      </c>
      <c r="B884" s="25">
        <v>163.33000200000001</v>
      </c>
      <c r="C884" s="11">
        <f t="shared" si="52"/>
        <v>167.82749943749997</v>
      </c>
      <c r="D884" s="11">
        <f t="shared" si="53"/>
        <v>3.1025529773111722</v>
      </c>
      <c r="E884" s="25">
        <v>163.33000200000001</v>
      </c>
      <c r="F884" s="11">
        <f t="shared" si="54"/>
        <v>169.53510795462236</v>
      </c>
      <c r="G884" s="11">
        <f t="shared" si="55"/>
        <v>157.12489604537765</v>
      </c>
    </row>
    <row r="885" spans="1:7" x14ac:dyDescent="0.25">
      <c r="A885" s="24">
        <v>41512</v>
      </c>
      <c r="B885" s="25">
        <v>166</v>
      </c>
      <c r="C885" s="11">
        <f t="shared" si="52"/>
        <v>167.23812487499998</v>
      </c>
      <c r="D885" s="11">
        <f t="shared" si="53"/>
        <v>2.9969728881302884</v>
      </c>
      <c r="E885" s="25">
        <v>166</v>
      </c>
      <c r="F885" s="11">
        <f t="shared" si="54"/>
        <v>171.99394577626057</v>
      </c>
      <c r="G885" s="11">
        <f t="shared" si="55"/>
        <v>160.00605422373943</v>
      </c>
    </row>
    <row r="886" spans="1:7" x14ac:dyDescent="0.25">
      <c r="A886" s="24">
        <v>41509</v>
      </c>
      <c r="B886" s="25">
        <v>166.61999499999999</v>
      </c>
      <c r="C886" s="11">
        <f t="shared" si="52"/>
        <v>166.79749968749999</v>
      </c>
      <c r="D886" s="11">
        <f t="shared" si="53"/>
        <v>2.5739245567202063</v>
      </c>
      <c r="E886" s="25">
        <v>166.61999499999999</v>
      </c>
      <c r="F886" s="11">
        <f t="shared" si="54"/>
        <v>171.76784411344039</v>
      </c>
      <c r="G886" s="11">
        <f t="shared" si="55"/>
        <v>161.47214588655959</v>
      </c>
    </row>
    <row r="887" spans="1:7" x14ac:dyDescent="0.25">
      <c r="A887" s="24">
        <v>41508</v>
      </c>
      <c r="B887" s="25">
        <v>166.05999800000001</v>
      </c>
      <c r="C887" s="11">
        <f t="shared" si="52"/>
        <v>166.51937393750001</v>
      </c>
      <c r="D887" s="11">
        <f t="shared" si="53"/>
        <v>2.3081860209411067</v>
      </c>
      <c r="E887" s="25">
        <v>166.05999800000001</v>
      </c>
      <c r="F887" s="11">
        <f t="shared" si="54"/>
        <v>170.67637004188222</v>
      </c>
      <c r="G887" s="11">
        <f t="shared" si="55"/>
        <v>161.44362595811779</v>
      </c>
    </row>
    <row r="888" spans="1:7" x14ac:dyDescent="0.25">
      <c r="A888" s="24">
        <v>41507</v>
      </c>
      <c r="B888" s="25">
        <v>164.55999800000001</v>
      </c>
      <c r="C888" s="11">
        <f t="shared" si="52"/>
        <v>166.25374893750003</v>
      </c>
      <c r="D888" s="11">
        <f t="shared" si="53"/>
        <v>2.0757188285470169</v>
      </c>
      <c r="E888" s="25">
        <v>164.55999800000001</v>
      </c>
      <c r="F888" s="11">
        <f t="shared" si="54"/>
        <v>168.71143565709403</v>
      </c>
      <c r="G888" s="11">
        <f t="shared" si="55"/>
        <v>160.40856034290599</v>
      </c>
    </row>
    <row r="889" spans="1:7" x14ac:dyDescent="0.25">
      <c r="A889" s="24">
        <v>41506</v>
      </c>
      <c r="B889" s="25">
        <v>165.58000200000001</v>
      </c>
      <c r="C889" s="11">
        <f t="shared" si="52"/>
        <v>165.95562368750001</v>
      </c>
      <c r="D889" s="11">
        <f t="shared" si="53"/>
        <v>1.9427219826231685</v>
      </c>
      <c r="E889" s="25">
        <v>165.58000200000001</v>
      </c>
      <c r="F889" s="11">
        <f t="shared" si="54"/>
        <v>169.46544596524635</v>
      </c>
      <c r="G889" s="11">
        <f t="shared" si="55"/>
        <v>161.69455803475367</v>
      </c>
    </row>
    <row r="890" spans="1:7" x14ac:dyDescent="0.25">
      <c r="A890" s="24">
        <v>41505</v>
      </c>
      <c r="B890" s="25">
        <v>164.770004</v>
      </c>
      <c r="C890" s="11">
        <f t="shared" si="52"/>
        <v>165.74499900000001</v>
      </c>
      <c r="D890" s="11">
        <f t="shared" si="53"/>
        <v>1.7715820895509562</v>
      </c>
      <c r="E890" s="25">
        <v>164.770004</v>
      </c>
      <c r="F890" s="11">
        <f t="shared" si="54"/>
        <v>168.31316817910192</v>
      </c>
      <c r="G890" s="11">
        <f t="shared" si="55"/>
        <v>161.22683982089808</v>
      </c>
    </row>
    <row r="891" spans="1:7" x14ac:dyDescent="0.25">
      <c r="A891" s="24">
        <v>41502</v>
      </c>
      <c r="B891" s="25">
        <v>165.83000200000001</v>
      </c>
      <c r="C891" s="11">
        <f t="shared" si="52"/>
        <v>165.45562462500001</v>
      </c>
      <c r="D891" s="11">
        <f t="shared" si="53"/>
        <v>1.4906234229958906</v>
      </c>
      <c r="E891" s="25">
        <v>165.83000200000001</v>
      </c>
      <c r="F891" s="11">
        <f t="shared" si="54"/>
        <v>168.8112488459918</v>
      </c>
      <c r="G891" s="11">
        <f t="shared" si="55"/>
        <v>162.84875515400822</v>
      </c>
    </row>
    <row r="892" spans="1:7" x14ac:dyDescent="0.25">
      <c r="A892" s="24">
        <v>41501</v>
      </c>
      <c r="B892" s="25">
        <v>166.38000500000001</v>
      </c>
      <c r="C892" s="11">
        <f t="shared" si="52"/>
        <v>165.26562506250002</v>
      </c>
      <c r="D892" s="11">
        <f t="shared" si="53"/>
        <v>1.1897901456136721</v>
      </c>
      <c r="E892" s="25">
        <v>166.38000500000001</v>
      </c>
      <c r="F892" s="11">
        <f t="shared" si="54"/>
        <v>168.75958529122735</v>
      </c>
      <c r="G892" s="11">
        <f t="shared" si="55"/>
        <v>164.00042470877267</v>
      </c>
    </row>
    <row r="893" spans="1:7" x14ac:dyDescent="0.25">
      <c r="A893" s="24">
        <v>41500</v>
      </c>
      <c r="B893" s="25">
        <v>168.740005</v>
      </c>
      <c r="C893" s="11">
        <f t="shared" si="52"/>
        <v>165.18750006249999</v>
      </c>
      <c r="D893" s="11">
        <f t="shared" si="53"/>
        <v>1.0579194287292084</v>
      </c>
      <c r="E893" s="25">
        <v>168.740005</v>
      </c>
      <c r="F893" s="11">
        <f t="shared" si="54"/>
        <v>170.85584385745841</v>
      </c>
      <c r="G893" s="11">
        <f t="shared" si="55"/>
        <v>166.62416614254158</v>
      </c>
    </row>
    <row r="894" spans="1:7" x14ac:dyDescent="0.25">
      <c r="A894" s="24">
        <v>41499</v>
      </c>
      <c r="B894" s="25">
        <v>169.61000100000001</v>
      </c>
      <c r="C894" s="11">
        <f t="shared" si="52"/>
        <v>165.35625081250001</v>
      </c>
      <c r="D894" s="11">
        <f t="shared" si="53"/>
        <v>1.3717585024997774</v>
      </c>
      <c r="E894" s="25">
        <v>169.61000100000001</v>
      </c>
      <c r="F894" s="11">
        <f t="shared" si="54"/>
        <v>172.35351800499956</v>
      </c>
      <c r="G894" s="11">
        <f t="shared" si="55"/>
        <v>166.86648399500046</v>
      </c>
    </row>
    <row r="895" spans="1:7" x14ac:dyDescent="0.25">
      <c r="A895" s="24">
        <v>41498</v>
      </c>
      <c r="B895" s="25">
        <v>169.11000100000001</v>
      </c>
      <c r="C895" s="11">
        <f t="shared" si="52"/>
        <v>165.5843754375</v>
      </c>
      <c r="D895" s="11">
        <f t="shared" si="53"/>
        <v>1.7344170288392984</v>
      </c>
      <c r="E895" s="25">
        <v>169.11000100000001</v>
      </c>
      <c r="F895" s="11">
        <f t="shared" si="54"/>
        <v>172.57883505767862</v>
      </c>
      <c r="G895" s="11">
        <f t="shared" si="55"/>
        <v>165.64116694232141</v>
      </c>
    </row>
    <row r="896" spans="1:7" x14ac:dyDescent="0.25">
      <c r="A896" s="24">
        <v>41495</v>
      </c>
      <c r="B896" s="25">
        <v>169.30999800000001</v>
      </c>
      <c r="C896" s="11">
        <f t="shared" si="52"/>
        <v>165.7943755</v>
      </c>
      <c r="D896" s="11">
        <f t="shared" si="53"/>
        <v>1.9462791875810317</v>
      </c>
      <c r="E896" s="25">
        <v>169.30999800000001</v>
      </c>
      <c r="F896" s="11">
        <f t="shared" si="54"/>
        <v>173.20255637516206</v>
      </c>
      <c r="G896" s="11">
        <f t="shared" si="55"/>
        <v>165.41743962483795</v>
      </c>
    </row>
    <row r="897" spans="1:7" x14ac:dyDescent="0.25">
      <c r="A897" s="24">
        <v>41494</v>
      </c>
      <c r="B897" s="25">
        <v>169.800003</v>
      </c>
      <c r="C897" s="11">
        <f t="shared" si="52"/>
        <v>166.10187543749998</v>
      </c>
      <c r="D897" s="11">
        <f t="shared" si="53"/>
        <v>2.0927568574159165</v>
      </c>
      <c r="E897" s="25">
        <v>169.800003</v>
      </c>
      <c r="F897" s="11">
        <f t="shared" si="54"/>
        <v>173.98551671483185</v>
      </c>
      <c r="G897" s="11">
        <f t="shared" si="55"/>
        <v>165.61448928516816</v>
      </c>
    </row>
    <row r="898" spans="1:7" x14ac:dyDescent="0.25">
      <c r="A898" s="24">
        <v>41493</v>
      </c>
      <c r="B898" s="25">
        <v>169.179993</v>
      </c>
      <c r="C898" s="11">
        <f t="shared" si="52"/>
        <v>166.48625099999998</v>
      </c>
      <c r="D898" s="11">
        <f t="shared" si="53"/>
        <v>2.1755456124863661</v>
      </c>
      <c r="E898" s="25">
        <v>169.179993</v>
      </c>
      <c r="F898" s="11">
        <f t="shared" si="54"/>
        <v>173.53108422497272</v>
      </c>
      <c r="G898" s="11">
        <f t="shared" si="55"/>
        <v>164.82890177502728</v>
      </c>
    </row>
    <row r="899" spans="1:7" x14ac:dyDescent="0.25">
      <c r="A899" s="24">
        <v>41492</v>
      </c>
      <c r="B899" s="25">
        <v>169.729996</v>
      </c>
      <c r="C899" s="11">
        <f t="shared" si="52"/>
        <v>166.7993756875</v>
      </c>
      <c r="D899" s="11">
        <f t="shared" si="53"/>
        <v>2.1804807660075567</v>
      </c>
      <c r="E899" s="25">
        <v>169.729996</v>
      </c>
      <c r="F899" s="11">
        <f t="shared" si="54"/>
        <v>174.09095753201512</v>
      </c>
      <c r="G899" s="11">
        <f t="shared" si="55"/>
        <v>165.36903446798487</v>
      </c>
    </row>
    <row r="900" spans="1:7" x14ac:dyDescent="0.25">
      <c r="A900" s="24">
        <v>41491</v>
      </c>
      <c r="B900" s="25">
        <v>170.699997</v>
      </c>
      <c r="C900" s="11">
        <f t="shared" si="52"/>
        <v>167.16312518750001</v>
      </c>
      <c r="D900" s="11">
        <f t="shared" si="53"/>
        <v>2.1515961989716752</v>
      </c>
      <c r="E900" s="25">
        <v>170.699997</v>
      </c>
      <c r="F900" s="11">
        <f t="shared" si="54"/>
        <v>175.00318939794334</v>
      </c>
      <c r="G900" s="11">
        <f t="shared" si="55"/>
        <v>166.39680460205665</v>
      </c>
    </row>
    <row r="901" spans="1:7" x14ac:dyDescent="0.25">
      <c r="A901" s="24">
        <v>41488</v>
      </c>
      <c r="B901" s="25">
        <v>170.949997</v>
      </c>
      <c r="C901" s="11">
        <f t="shared" si="52"/>
        <v>167.62374987500002</v>
      </c>
      <c r="D901" s="11">
        <f t="shared" si="53"/>
        <v>2.0633681244540556</v>
      </c>
      <c r="E901" s="25">
        <v>170.949997</v>
      </c>
      <c r="F901" s="11">
        <f t="shared" si="54"/>
        <v>175.07673324890811</v>
      </c>
      <c r="G901" s="11">
        <f t="shared" si="55"/>
        <v>166.82326075109188</v>
      </c>
    </row>
    <row r="902" spans="1:7" x14ac:dyDescent="0.25">
      <c r="A902" s="24">
        <v>41487</v>
      </c>
      <c r="B902" s="25">
        <v>170.66000399999999</v>
      </c>
      <c r="C902" s="11">
        <f t="shared" si="52"/>
        <v>167.93312468750003</v>
      </c>
      <c r="D902" s="11">
        <f t="shared" si="53"/>
        <v>2.1719157770879503</v>
      </c>
      <c r="E902" s="25">
        <v>170.66000399999999</v>
      </c>
      <c r="F902" s="11">
        <f t="shared" si="54"/>
        <v>175.00383555417588</v>
      </c>
      <c r="G902" s="11">
        <f t="shared" si="55"/>
        <v>166.31617244582409</v>
      </c>
    </row>
    <row r="903" spans="1:7" x14ac:dyDescent="0.25">
      <c r="A903" s="24">
        <v>41486</v>
      </c>
      <c r="B903" s="25">
        <v>168.71000699999999</v>
      </c>
      <c r="C903" s="11">
        <f t="shared" si="52"/>
        <v>168.18562525000002</v>
      </c>
      <c r="D903" s="11">
        <f t="shared" si="53"/>
        <v>2.2427621185373892</v>
      </c>
      <c r="E903" s="25">
        <v>168.71000699999999</v>
      </c>
      <c r="F903" s="11">
        <f t="shared" si="54"/>
        <v>173.19553123707476</v>
      </c>
      <c r="G903" s="11">
        <f t="shared" si="55"/>
        <v>164.22448276292522</v>
      </c>
    </row>
    <row r="904" spans="1:7" x14ac:dyDescent="0.25">
      <c r="A904" s="24">
        <v>41485</v>
      </c>
      <c r="B904" s="25">
        <v>168.58999600000001</v>
      </c>
      <c r="C904" s="11">
        <f t="shared" si="52"/>
        <v>168.35125081250001</v>
      </c>
      <c r="D904" s="11">
        <f t="shared" si="53"/>
        <v>2.1720574668231074</v>
      </c>
      <c r="E904" s="25">
        <v>168.58999600000001</v>
      </c>
      <c r="F904" s="11">
        <f t="shared" si="54"/>
        <v>172.93411093364622</v>
      </c>
      <c r="G904" s="11">
        <f t="shared" si="55"/>
        <v>164.2458810663538</v>
      </c>
    </row>
    <row r="905" spans="1:7" x14ac:dyDescent="0.25">
      <c r="A905" s="24">
        <v>41484</v>
      </c>
      <c r="B905" s="25">
        <v>168.58999600000001</v>
      </c>
      <c r="C905" s="11">
        <f t="shared" si="52"/>
        <v>168.60312568750001</v>
      </c>
      <c r="D905" s="11">
        <f t="shared" si="53"/>
        <v>1.9224264306945578</v>
      </c>
      <c r="E905" s="25">
        <v>168.58999600000001</v>
      </c>
      <c r="F905" s="11">
        <f t="shared" si="54"/>
        <v>172.43484886138913</v>
      </c>
      <c r="G905" s="11">
        <f t="shared" si="55"/>
        <v>164.7451431386109</v>
      </c>
    </row>
    <row r="906" spans="1:7" x14ac:dyDescent="0.25">
      <c r="A906" s="24">
        <v>41481</v>
      </c>
      <c r="B906" s="25">
        <v>169.11000100000001</v>
      </c>
      <c r="C906" s="11">
        <f t="shared" si="52"/>
        <v>168.79125031250001</v>
      </c>
      <c r="D906" s="11">
        <f t="shared" si="53"/>
        <v>1.7460525438402148</v>
      </c>
      <c r="E906" s="25">
        <v>169.11000100000001</v>
      </c>
      <c r="F906" s="11">
        <f t="shared" si="54"/>
        <v>172.60210608768045</v>
      </c>
      <c r="G906" s="11">
        <f t="shared" si="55"/>
        <v>165.61789591231957</v>
      </c>
    </row>
    <row r="907" spans="1:7" x14ac:dyDescent="0.25">
      <c r="A907" s="24">
        <v>41480</v>
      </c>
      <c r="B907" s="25">
        <v>168.929993</v>
      </c>
      <c r="C907" s="11">
        <f t="shared" si="52"/>
        <v>169.06250012500001</v>
      </c>
      <c r="D907" s="11">
        <f t="shared" si="53"/>
        <v>1.3780287614378632</v>
      </c>
      <c r="E907" s="25">
        <v>168.929993</v>
      </c>
      <c r="F907" s="11">
        <f t="shared" si="54"/>
        <v>171.68605052287572</v>
      </c>
      <c r="G907" s="11">
        <f t="shared" si="55"/>
        <v>166.17393547712427</v>
      </c>
    </row>
    <row r="908" spans="1:7" x14ac:dyDescent="0.25">
      <c r="A908" s="24">
        <v>41479</v>
      </c>
      <c r="B908" s="25">
        <v>168.520004</v>
      </c>
      <c r="C908" s="11">
        <f t="shared" si="52"/>
        <v>169.25624956250002</v>
      </c>
      <c r="D908" s="11">
        <f t="shared" si="53"/>
        <v>1.0786516740138063</v>
      </c>
      <c r="E908" s="25">
        <v>168.520004</v>
      </c>
      <c r="F908" s="11">
        <f t="shared" si="54"/>
        <v>170.67730734802763</v>
      </c>
      <c r="G908" s="11">
        <f t="shared" si="55"/>
        <v>166.36270065197237</v>
      </c>
    </row>
    <row r="909" spans="1:7" x14ac:dyDescent="0.25">
      <c r="A909" s="24">
        <v>41478</v>
      </c>
      <c r="B909" s="25">
        <v>169.13999899999999</v>
      </c>
      <c r="C909" s="11">
        <f t="shared" si="52"/>
        <v>169.38999950000002</v>
      </c>
      <c r="D909" s="11">
        <f t="shared" si="53"/>
        <v>0.79311165755656865</v>
      </c>
      <c r="E909" s="25">
        <v>169.13999899999999</v>
      </c>
      <c r="F909" s="11">
        <f t="shared" si="54"/>
        <v>170.72622231511312</v>
      </c>
      <c r="G909" s="11">
        <f t="shared" si="55"/>
        <v>167.55377568488686</v>
      </c>
    </row>
    <row r="910" spans="1:7" x14ac:dyDescent="0.25">
      <c r="A910" s="24">
        <v>41477</v>
      </c>
      <c r="B910" s="25">
        <v>169.5</v>
      </c>
      <c r="C910" s="11">
        <f t="shared" si="52"/>
        <v>169.41499912499998</v>
      </c>
      <c r="D910" s="11">
        <f t="shared" si="53"/>
        <v>0.77740590942997378</v>
      </c>
      <c r="E910" s="25">
        <v>169.5</v>
      </c>
      <c r="F910" s="11">
        <f t="shared" si="54"/>
        <v>171.05481181885995</v>
      </c>
      <c r="G910" s="11">
        <f t="shared" si="55"/>
        <v>167.94518818114005</v>
      </c>
    </row>
    <row r="911" spans="1:7" x14ac:dyDescent="0.25">
      <c r="A911" s="24">
        <v>41474</v>
      </c>
      <c r="B911" s="25">
        <v>169.16999799999999</v>
      </c>
      <c r="C911" s="11">
        <f t="shared" si="52"/>
        <v>169.40812406249998</v>
      </c>
      <c r="D911" s="11">
        <f t="shared" si="53"/>
        <v>0.77605164664889204</v>
      </c>
      <c r="E911" s="25">
        <v>169.16999799999999</v>
      </c>
      <c r="F911" s="11">
        <f t="shared" si="54"/>
        <v>170.72210129329778</v>
      </c>
      <c r="G911" s="11">
        <f t="shared" si="55"/>
        <v>167.6178947067022</v>
      </c>
    </row>
    <row r="912" spans="1:7" x14ac:dyDescent="0.25">
      <c r="A912" s="24">
        <v>41473</v>
      </c>
      <c r="B912" s="25">
        <v>168.86999499999999</v>
      </c>
      <c r="C912" s="11">
        <f t="shared" si="52"/>
        <v>169.41187387499997</v>
      </c>
      <c r="D912" s="11">
        <f t="shared" si="53"/>
        <v>0.7746588091000095</v>
      </c>
      <c r="E912" s="25">
        <v>168.86999499999999</v>
      </c>
      <c r="F912" s="11">
        <f t="shared" si="54"/>
        <v>170.4193126182</v>
      </c>
      <c r="G912" s="11">
        <f t="shared" si="55"/>
        <v>167.32067738179998</v>
      </c>
    </row>
    <row r="913" spans="1:7" x14ac:dyDescent="0.25">
      <c r="A913" s="24">
        <v>41472</v>
      </c>
      <c r="B913" s="25">
        <v>167.949997</v>
      </c>
      <c r="C913" s="11">
        <f t="shared" si="52"/>
        <v>169.38437368749996</v>
      </c>
      <c r="D913" s="11">
        <f t="shared" si="53"/>
        <v>0.7862399088491745</v>
      </c>
      <c r="E913" s="25">
        <v>167.949997</v>
      </c>
      <c r="F913" s="11">
        <f t="shared" si="54"/>
        <v>169.52247681769833</v>
      </c>
      <c r="G913" s="11">
        <f t="shared" si="55"/>
        <v>166.37751718230166</v>
      </c>
    </row>
    <row r="914" spans="1:7" x14ac:dyDescent="0.25">
      <c r="A914" s="24">
        <v>41471</v>
      </c>
      <c r="B914" s="25">
        <v>167.520004</v>
      </c>
      <c r="C914" s="11">
        <f t="shared" si="52"/>
        <v>169.26874831250001</v>
      </c>
      <c r="D914" s="11">
        <f t="shared" si="53"/>
        <v>0.85414202693850905</v>
      </c>
      <c r="E914" s="25">
        <v>167.520004</v>
      </c>
      <c r="F914" s="11">
        <f t="shared" si="54"/>
        <v>169.22828805387701</v>
      </c>
      <c r="G914" s="11">
        <f t="shared" si="55"/>
        <v>165.81171994612299</v>
      </c>
    </row>
    <row r="915" spans="1:7" x14ac:dyDescent="0.25">
      <c r="A915" s="24">
        <v>41470</v>
      </c>
      <c r="B915" s="25">
        <v>168.14999399999999</v>
      </c>
      <c r="C915" s="11">
        <f t="shared" si="52"/>
        <v>169.16499899999999</v>
      </c>
      <c r="D915" s="11">
        <f t="shared" si="53"/>
        <v>0.95990921377096661</v>
      </c>
      <c r="E915" s="25">
        <v>168.14999399999999</v>
      </c>
      <c r="F915" s="11">
        <f t="shared" si="54"/>
        <v>170.06981242754193</v>
      </c>
      <c r="G915" s="11">
        <f t="shared" si="55"/>
        <v>166.23017557245805</v>
      </c>
    </row>
    <row r="916" spans="1:7" x14ac:dyDescent="0.25">
      <c r="A916" s="24">
        <v>41467</v>
      </c>
      <c r="B916" s="25">
        <v>167.509995</v>
      </c>
      <c r="C916" s="11">
        <f t="shared" ref="C916:C979" si="56">AVERAGE(B900:B915)</f>
        <v>169.06624887500001</v>
      </c>
      <c r="D916" s="11">
        <f t="shared" ref="D916:D979" si="57">_xlfn.STDEV.S(B900:B915)</f>
        <v>0.97899178155391708</v>
      </c>
      <c r="E916" s="25">
        <v>167.509995</v>
      </c>
      <c r="F916" s="11">
        <f t="shared" ref="F916:F979" si="58">B916+2*D916</f>
        <v>169.46797856310783</v>
      </c>
      <c r="G916" s="11">
        <f t="shared" ref="G916:G979" si="59">B916-2*D916</f>
        <v>165.55201143689217</v>
      </c>
    </row>
    <row r="917" spans="1:7" x14ac:dyDescent="0.25">
      <c r="A917" s="24">
        <v>41466</v>
      </c>
      <c r="B917" s="25">
        <v>167.44000199999999</v>
      </c>
      <c r="C917" s="11">
        <f t="shared" si="56"/>
        <v>168.86687375</v>
      </c>
      <c r="D917" s="11">
        <f t="shared" si="57"/>
        <v>0.94844292624852333</v>
      </c>
      <c r="E917" s="25">
        <v>167.44000199999999</v>
      </c>
      <c r="F917" s="11">
        <f t="shared" si="58"/>
        <v>169.33688785249703</v>
      </c>
      <c r="G917" s="11">
        <f t="shared" si="59"/>
        <v>165.54311614750296</v>
      </c>
    </row>
    <row r="918" spans="1:7" x14ac:dyDescent="0.25">
      <c r="A918" s="24">
        <v>41465</v>
      </c>
      <c r="B918" s="25">
        <v>165.19000199999999</v>
      </c>
      <c r="C918" s="11">
        <f t="shared" si="56"/>
        <v>168.64749906249997</v>
      </c>
      <c r="D918" s="11">
        <f t="shared" si="57"/>
        <v>0.83345530675091339</v>
      </c>
      <c r="E918" s="25">
        <v>165.19000199999999</v>
      </c>
      <c r="F918" s="11">
        <f t="shared" si="58"/>
        <v>166.85691261350183</v>
      </c>
      <c r="G918" s="11">
        <f t="shared" si="59"/>
        <v>163.52309138649815</v>
      </c>
    </row>
    <row r="919" spans="1:7" x14ac:dyDescent="0.25">
      <c r="A919" s="24">
        <v>41464</v>
      </c>
      <c r="B919" s="25">
        <v>165.13000500000001</v>
      </c>
      <c r="C919" s="11">
        <f t="shared" si="56"/>
        <v>168.30562393749997</v>
      </c>
      <c r="D919" s="11">
        <f t="shared" si="57"/>
        <v>1.0473384814695126</v>
      </c>
      <c r="E919" s="25">
        <v>165.13000500000001</v>
      </c>
      <c r="F919" s="11">
        <f t="shared" si="58"/>
        <v>167.22468196293903</v>
      </c>
      <c r="G919" s="11">
        <f t="shared" si="59"/>
        <v>163.03532803706099</v>
      </c>
    </row>
    <row r="920" spans="1:7" x14ac:dyDescent="0.25">
      <c r="A920" s="24">
        <v>41463</v>
      </c>
      <c r="B920" s="25">
        <v>163.949997</v>
      </c>
      <c r="C920" s="11">
        <f t="shared" si="56"/>
        <v>168.08187381249996</v>
      </c>
      <c r="D920" s="11">
        <f t="shared" si="57"/>
        <v>1.3057251497788347</v>
      </c>
      <c r="E920" s="25">
        <v>163.949997</v>
      </c>
      <c r="F920" s="11">
        <f t="shared" si="58"/>
        <v>166.56144729955767</v>
      </c>
      <c r="G920" s="11">
        <f t="shared" si="59"/>
        <v>161.33854670044232</v>
      </c>
    </row>
    <row r="921" spans="1:7" x14ac:dyDescent="0.25">
      <c r="A921" s="24">
        <v>41460</v>
      </c>
      <c r="B921" s="25">
        <v>163.020004</v>
      </c>
      <c r="C921" s="11">
        <f t="shared" si="56"/>
        <v>167.79187387499996</v>
      </c>
      <c r="D921" s="11">
        <f t="shared" si="57"/>
        <v>1.6541340316052531</v>
      </c>
      <c r="E921" s="25">
        <v>163.020004</v>
      </c>
      <c r="F921" s="11">
        <f t="shared" si="58"/>
        <v>166.32827206321051</v>
      </c>
      <c r="G921" s="11">
        <f t="shared" si="59"/>
        <v>159.71173593678949</v>
      </c>
    </row>
    <row r="922" spans="1:7" x14ac:dyDescent="0.25">
      <c r="A922" s="24">
        <v>41458</v>
      </c>
      <c r="B922" s="25">
        <v>161.279999</v>
      </c>
      <c r="C922" s="11">
        <f t="shared" si="56"/>
        <v>167.44374937499998</v>
      </c>
      <c r="D922" s="11">
        <f t="shared" si="57"/>
        <v>2.0205128625381836</v>
      </c>
      <c r="E922" s="25">
        <v>161.279999</v>
      </c>
      <c r="F922" s="11">
        <f t="shared" si="58"/>
        <v>165.32102472507637</v>
      </c>
      <c r="G922" s="11">
        <f t="shared" si="59"/>
        <v>157.23897327492364</v>
      </c>
    </row>
    <row r="923" spans="1:7" x14ac:dyDescent="0.25">
      <c r="A923" s="24">
        <v>41457</v>
      </c>
      <c r="B923" s="25">
        <v>161.21000699999999</v>
      </c>
      <c r="C923" s="11">
        <f t="shared" si="56"/>
        <v>166.95437425</v>
      </c>
      <c r="D923" s="11">
        <f t="shared" si="57"/>
        <v>2.4848970389834504</v>
      </c>
      <c r="E923" s="25">
        <v>161.21000699999999</v>
      </c>
      <c r="F923" s="11">
        <f t="shared" si="58"/>
        <v>166.17980107796689</v>
      </c>
      <c r="G923" s="11">
        <f t="shared" si="59"/>
        <v>156.24021292203309</v>
      </c>
    </row>
    <row r="924" spans="1:7" x14ac:dyDescent="0.25">
      <c r="A924" s="24">
        <v>41456</v>
      </c>
      <c r="B924" s="25">
        <v>161.36000100000001</v>
      </c>
      <c r="C924" s="11">
        <f t="shared" si="56"/>
        <v>166.471875125</v>
      </c>
      <c r="D924" s="11">
        <f t="shared" si="57"/>
        <v>2.8046449398897728</v>
      </c>
      <c r="E924" s="25">
        <v>161.36000100000001</v>
      </c>
      <c r="F924" s="11">
        <f t="shared" si="58"/>
        <v>166.96929087977955</v>
      </c>
      <c r="G924" s="11">
        <f t="shared" si="59"/>
        <v>155.75071112022047</v>
      </c>
    </row>
    <row r="925" spans="1:7" x14ac:dyDescent="0.25">
      <c r="A925" s="24">
        <v>41453</v>
      </c>
      <c r="B925" s="25">
        <v>160.41999799999999</v>
      </c>
      <c r="C925" s="11">
        <f t="shared" si="56"/>
        <v>166.0243749375</v>
      </c>
      <c r="D925" s="11">
        <f t="shared" si="57"/>
        <v>3.0190817707704296</v>
      </c>
      <c r="E925" s="25">
        <v>160.41999799999999</v>
      </c>
      <c r="F925" s="11">
        <f t="shared" si="58"/>
        <v>166.45816154154085</v>
      </c>
      <c r="G925" s="11">
        <f t="shared" si="59"/>
        <v>154.38183445845914</v>
      </c>
    </row>
    <row r="926" spans="1:7" x14ac:dyDescent="0.25">
      <c r="A926" s="24">
        <v>41452</v>
      </c>
      <c r="B926" s="25">
        <v>161.08000200000001</v>
      </c>
      <c r="C926" s="11">
        <f t="shared" si="56"/>
        <v>165.47937487499999</v>
      </c>
      <c r="D926" s="11">
        <f t="shared" si="57"/>
        <v>3.2007535315685436</v>
      </c>
      <c r="E926" s="25">
        <v>161.08000200000001</v>
      </c>
      <c r="F926" s="11">
        <f t="shared" si="58"/>
        <v>167.48150906313708</v>
      </c>
      <c r="G926" s="11">
        <f t="shared" si="59"/>
        <v>154.67849493686293</v>
      </c>
    </row>
    <row r="927" spans="1:7" x14ac:dyDescent="0.25">
      <c r="A927" s="24">
        <v>41451</v>
      </c>
      <c r="B927" s="25">
        <v>160.13999899999999</v>
      </c>
      <c r="C927" s="11">
        <f t="shared" si="56"/>
        <v>164.953125</v>
      </c>
      <c r="D927" s="11">
        <f t="shared" si="57"/>
        <v>3.1877931755393809</v>
      </c>
      <c r="E927" s="25">
        <v>160.13999899999999</v>
      </c>
      <c r="F927" s="11">
        <f t="shared" si="58"/>
        <v>166.51558535107876</v>
      </c>
      <c r="G927" s="11">
        <f t="shared" si="59"/>
        <v>153.76441264892122</v>
      </c>
    </row>
    <row r="928" spans="1:7" x14ac:dyDescent="0.25">
      <c r="A928" s="24">
        <v>41450</v>
      </c>
      <c r="B928" s="25">
        <v>158.570007</v>
      </c>
      <c r="C928" s="11">
        <f t="shared" si="56"/>
        <v>164.38875006249998</v>
      </c>
      <c r="D928" s="11">
        <f t="shared" si="57"/>
        <v>3.190801767818749</v>
      </c>
      <c r="E928" s="25">
        <v>158.570007</v>
      </c>
      <c r="F928" s="11">
        <f t="shared" si="58"/>
        <v>164.95161053563751</v>
      </c>
      <c r="G928" s="11">
        <f t="shared" si="59"/>
        <v>152.18840346436249</v>
      </c>
    </row>
    <row r="929" spans="1:7" x14ac:dyDescent="0.25">
      <c r="A929" s="24">
        <v>41449</v>
      </c>
      <c r="B929" s="25">
        <v>157.05999800000001</v>
      </c>
      <c r="C929" s="11">
        <f t="shared" si="56"/>
        <v>163.7450008125</v>
      </c>
      <c r="D929" s="11">
        <f t="shared" si="57"/>
        <v>3.2645963906762128</v>
      </c>
      <c r="E929" s="25">
        <v>157.05999800000001</v>
      </c>
      <c r="F929" s="11">
        <f t="shared" si="58"/>
        <v>163.58919078135244</v>
      </c>
      <c r="G929" s="11">
        <f t="shared" si="59"/>
        <v>150.53080521864757</v>
      </c>
    </row>
    <row r="930" spans="1:7" x14ac:dyDescent="0.25">
      <c r="A930" s="24">
        <v>41446</v>
      </c>
      <c r="B930" s="25">
        <v>159.070007</v>
      </c>
      <c r="C930" s="11">
        <f t="shared" si="56"/>
        <v>163.064375875</v>
      </c>
      <c r="D930" s="11">
        <f t="shared" si="57"/>
        <v>3.4588929701831441</v>
      </c>
      <c r="E930" s="25">
        <v>159.070007</v>
      </c>
      <c r="F930" s="11">
        <f t="shared" si="58"/>
        <v>165.98779294036629</v>
      </c>
      <c r="G930" s="11">
        <f t="shared" si="59"/>
        <v>152.15222105963372</v>
      </c>
    </row>
    <row r="931" spans="1:7" x14ac:dyDescent="0.25">
      <c r="A931" s="24">
        <v>41445</v>
      </c>
      <c r="B931" s="25">
        <v>159.39999399999999</v>
      </c>
      <c r="C931" s="11">
        <f t="shared" si="56"/>
        <v>162.53625106249999</v>
      </c>
      <c r="D931" s="11">
        <f t="shared" si="57"/>
        <v>3.3773640246772607</v>
      </c>
      <c r="E931" s="25">
        <v>159.39999399999999</v>
      </c>
      <c r="F931" s="11">
        <f t="shared" si="58"/>
        <v>166.15472204935452</v>
      </c>
      <c r="G931" s="11">
        <f t="shared" si="59"/>
        <v>152.64526595064547</v>
      </c>
    </row>
    <row r="932" spans="1:7" x14ac:dyDescent="0.25">
      <c r="A932" s="24">
        <v>41444</v>
      </c>
      <c r="B932" s="25">
        <v>163.449997</v>
      </c>
      <c r="C932" s="11">
        <f t="shared" si="56"/>
        <v>161.98937606249999</v>
      </c>
      <c r="D932" s="11">
        <f t="shared" si="57"/>
        <v>3.1052177451456644</v>
      </c>
      <c r="E932" s="25">
        <v>163.449997</v>
      </c>
      <c r="F932" s="11">
        <f t="shared" si="58"/>
        <v>169.66043249029133</v>
      </c>
      <c r="G932" s="11">
        <f t="shared" si="59"/>
        <v>157.23956150970866</v>
      </c>
    </row>
    <row r="933" spans="1:7" x14ac:dyDescent="0.25">
      <c r="A933" s="24">
        <v>41443</v>
      </c>
      <c r="B933" s="25">
        <v>165.740005</v>
      </c>
      <c r="C933" s="11">
        <f t="shared" si="56"/>
        <v>161.7356261875</v>
      </c>
      <c r="D933" s="11">
        <f t="shared" si="57"/>
        <v>2.7720223033793974</v>
      </c>
      <c r="E933" s="25">
        <v>165.740005</v>
      </c>
      <c r="F933" s="11">
        <f t="shared" si="58"/>
        <v>171.2840496067588</v>
      </c>
      <c r="G933" s="11">
        <f t="shared" si="59"/>
        <v>160.19596039324119</v>
      </c>
    </row>
    <row r="934" spans="1:7" x14ac:dyDescent="0.25">
      <c r="A934" s="24">
        <v>41442</v>
      </c>
      <c r="B934" s="25">
        <v>164.44000199999999</v>
      </c>
      <c r="C934" s="11">
        <f t="shared" si="56"/>
        <v>161.62937637499999</v>
      </c>
      <c r="D934" s="11">
        <f t="shared" si="57"/>
        <v>2.5635409971073955</v>
      </c>
      <c r="E934" s="25">
        <v>164.44000199999999</v>
      </c>
      <c r="F934" s="11">
        <f t="shared" si="58"/>
        <v>169.56708399421478</v>
      </c>
      <c r="G934" s="11">
        <f t="shared" si="59"/>
        <v>159.3129200057852</v>
      </c>
    </row>
    <row r="935" spans="1:7" x14ac:dyDescent="0.25">
      <c r="A935" s="24">
        <v>41439</v>
      </c>
      <c r="B935" s="25">
        <v>163.179993</v>
      </c>
      <c r="C935" s="11">
        <f t="shared" si="56"/>
        <v>161.58250137499999</v>
      </c>
      <c r="D935" s="11">
        <f t="shared" si="57"/>
        <v>2.5001672206775249</v>
      </c>
      <c r="E935" s="25">
        <v>163.179993</v>
      </c>
      <c r="F935" s="11">
        <f t="shared" si="58"/>
        <v>168.18032744135505</v>
      </c>
      <c r="G935" s="11">
        <f t="shared" si="59"/>
        <v>158.17965855864495</v>
      </c>
    </row>
    <row r="936" spans="1:7" x14ac:dyDescent="0.25">
      <c r="A936" s="24">
        <v>41438</v>
      </c>
      <c r="B936" s="25">
        <v>164.21000699999999</v>
      </c>
      <c r="C936" s="11">
        <f t="shared" si="56"/>
        <v>161.46062562500001</v>
      </c>
      <c r="D936" s="11">
        <f t="shared" si="57"/>
        <v>2.3592665571854257</v>
      </c>
      <c r="E936" s="25">
        <v>164.21000699999999</v>
      </c>
      <c r="F936" s="11">
        <f t="shared" si="58"/>
        <v>168.92854011437083</v>
      </c>
      <c r="G936" s="11">
        <f t="shared" si="59"/>
        <v>159.49147388562915</v>
      </c>
    </row>
    <row r="937" spans="1:7" x14ac:dyDescent="0.25">
      <c r="A937" s="24">
        <v>41437</v>
      </c>
      <c r="B937" s="25">
        <v>161.75</v>
      </c>
      <c r="C937" s="11">
        <f t="shared" si="56"/>
        <v>161.47687625</v>
      </c>
      <c r="D937" s="11">
        <f t="shared" si="57"/>
        <v>2.3783745583251434</v>
      </c>
      <c r="E937" s="25">
        <v>161.75</v>
      </c>
      <c r="F937" s="11">
        <f t="shared" si="58"/>
        <v>166.5067491166503</v>
      </c>
      <c r="G937" s="11">
        <f t="shared" si="59"/>
        <v>156.9932508833497</v>
      </c>
    </row>
    <row r="938" spans="1:7" x14ac:dyDescent="0.25">
      <c r="A938" s="24">
        <v>41436</v>
      </c>
      <c r="B938" s="25">
        <v>163.10000600000001</v>
      </c>
      <c r="C938" s="11">
        <f t="shared" si="56"/>
        <v>161.39750100000001</v>
      </c>
      <c r="D938" s="11">
        <f t="shared" si="57"/>
        <v>2.3443908880605182</v>
      </c>
      <c r="E938" s="25">
        <v>163.10000600000001</v>
      </c>
      <c r="F938" s="11">
        <f t="shared" si="58"/>
        <v>167.78878777612104</v>
      </c>
      <c r="G938" s="11">
        <f t="shared" si="59"/>
        <v>158.41122422387897</v>
      </c>
    </row>
    <row r="939" spans="1:7" x14ac:dyDescent="0.25">
      <c r="A939" s="24">
        <v>41435</v>
      </c>
      <c r="B939" s="25">
        <v>164.800003</v>
      </c>
      <c r="C939" s="11">
        <f t="shared" si="56"/>
        <v>161.51125143750002</v>
      </c>
      <c r="D939" s="11">
        <f t="shared" si="57"/>
        <v>2.3821589577920803</v>
      </c>
      <c r="E939" s="25">
        <v>164.800003</v>
      </c>
      <c r="F939" s="11">
        <f t="shared" si="58"/>
        <v>169.56432091558418</v>
      </c>
      <c r="G939" s="11">
        <f t="shared" si="59"/>
        <v>160.03568508441583</v>
      </c>
    </row>
    <row r="940" spans="1:7" x14ac:dyDescent="0.25">
      <c r="A940" s="24">
        <v>41432</v>
      </c>
      <c r="B940" s="25">
        <v>164.800003</v>
      </c>
      <c r="C940" s="11">
        <f t="shared" si="56"/>
        <v>161.7356261875</v>
      </c>
      <c r="D940" s="11">
        <f t="shared" si="57"/>
        <v>2.5171392979141527</v>
      </c>
      <c r="E940" s="25">
        <v>164.800003</v>
      </c>
      <c r="F940" s="11">
        <f t="shared" si="58"/>
        <v>169.83428159582832</v>
      </c>
      <c r="G940" s="11">
        <f t="shared" si="59"/>
        <v>159.76572440417169</v>
      </c>
    </row>
    <row r="941" spans="1:7" x14ac:dyDescent="0.25">
      <c r="A941" s="24">
        <v>41431</v>
      </c>
      <c r="B941" s="25">
        <v>162.729996</v>
      </c>
      <c r="C941" s="11">
        <f t="shared" si="56"/>
        <v>161.95062631249996</v>
      </c>
      <c r="D941" s="11">
        <f t="shared" si="57"/>
        <v>2.627413985703551</v>
      </c>
      <c r="E941" s="25">
        <v>162.729996</v>
      </c>
      <c r="F941" s="11">
        <f t="shared" si="58"/>
        <v>167.98482397140711</v>
      </c>
      <c r="G941" s="11">
        <f t="shared" si="59"/>
        <v>157.47516802859289</v>
      </c>
    </row>
    <row r="942" spans="1:7" x14ac:dyDescent="0.25">
      <c r="A942" s="24">
        <v>41430</v>
      </c>
      <c r="B942" s="25">
        <v>161.270004</v>
      </c>
      <c r="C942" s="11">
        <f t="shared" si="56"/>
        <v>162.09500118749997</v>
      </c>
      <c r="D942" s="11">
        <f t="shared" si="57"/>
        <v>2.6010337969139155</v>
      </c>
      <c r="E942" s="25">
        <v>161.270004</v>
      </c>
      <c r="F942" s="11">
        <f t="shared" si="58"/>
        <v>166.47207159382782</v>
      </c>
      <c r="G942" s="11">
        <f t="shared" si="59"/>
        <v>156.06793640617218</v>
      </c>
    </row>
    <row r="943" spans="1:7" x14ac:dyDescent="0.25">
      <c r="A943" s="24">
        <v>41429</v>
      </c>
      <c r="B943" s="25">
        <v>163.55999800000001</v>
      </c>
      <c r="C943" s="11">
        <f t="shared" si="56"/>
        <v>162.10687631249996</v>
      </c>
      <c r="D943" s="11">
        <f t="shared" si="57"/>
        <v>2.5965206578751152</v>
      </c>
      <c r="E943" s="25">
        <v>163.55999800000001</v>
      </c>
      <c r="F943" s="11">
        <f t="shared" si="58"/>
        <v>168.75303931575024</v>
      </c>
      <c r="G943" s="11">
        <f t="shared" si="59"/>
        <v>158.36695668424977</v>
      </c>
    </row>
    <row r="944" spans="1:7" x14ac:dyDescent="0.25">
      <c r="A944" s="24">
        <v>41428</v>
      </c>
      <c r="B944" s="25">
        <v>164.35000600000001</v>
      </c>
      <c r="C944" s="11">
        <f t="shared" si="56"/>
        <v>162.32062625</v>
      </c>
      <c r="D944" s="11">
        <f t="shared" si="57"/>
        <v>2.5643806868369974</v>
      </c>
      <c r="E944" s="25">
        <v>164.35000600000001</v>
      </c>
      <c r="F944" s="11">
        <f t="shared" si="58"/>
        <v>169.478767373674</v>
      </c>
      <c r="G944" s="11">
        <f t="shared" si="59"/>
        <v>159.22124462632601</v>
      </c>
    </row>
    <row r="945" spans="1:7" x14ac:dyDescent="0.25">
      <c r="A945" s="24">
        <v>41425</v>
      </c>
      <c r="B945" s="25">
        <v>163.449997</v>
      </c>
      <c r="C945" s="11">
        <f t="shared" si="56"/>
        <v>162.68187618750002</v>
      </c>
      <c r="D945" s="11">
        <f t="shared" si="57"/>
        <v>2.4028307991350308</v>
      </c>
      <c r="E945" s="25">
        <v>163.449997</v>
      </c>
      <c r="F945" s="11">
        <f t="shared" si="58"/>
        <v>168.25565859827006</v>
      </c>
      <c r="G945" s="11">
        <f t="shared" si="59"/>
        <v>158.64433540172993</v>
      </c>
    </row>
    <row r="946" spans="1:7" x14ac:dyDescent="0.25">
      <c r="A946" s="24">
        <v>41424</v>
      </c>
      <c r="B946" s="25">
        <v>165.83000200000001</v>
      </c>
      <c r="C946" s="11">
        <f t="shared" si="56"/>
        <v>163.08125112500002</v>
      </c>
      <c r="D946" s="11">
        <f t="shared" si="57"/>
        <v>1.8803621551062224</v>
      </c>
      <c r="E946" s="25">
        <v>165.83000200000001</v>
      </c>
      <c r="F946" s="11">
        <f t="shared" si="58"/>
        <v>169.59072631021246</v>
      </c>
      <c r="G946" s="11">
        <f t="shared" si="59"/>
        <v>162.06927768978755</v>
      </c>
    </row>
    <row r="947" spans="1:7" x14ac:dyDescent="0.25">
      <c r="A947" s="24">
        <v>41423</v>
      </c>
      <c r="B947" s="25">
        <v>165.220001</v>
      </c>
      <c r="C947" s="11">
        <f t="shared" si="56"/>
        <v>163.50375081250004</v>
      </c>
      <c r="D947" s="11">
        <f t="shared" si="57"/>
        <v>1.6662509551445228</v>
      </c>
      <c r="E947" s="25">
        <v>165.220001</v>
      </c>
      <c r="F947" s="11">
        <f t="shared" si="58"/>
        <v>168.55250291028904</v>
      </c>
      <c r="G947" s="11">
        <f t="shared" si="59"/>
        <v>161.88749908971096</v>
      </c>
    </row>
    <row r="948" spans="1:7" x14ac:dyDescent="0.25">
      <c r="A948" s="24">
        <v>41422</v>
      </c>
      <c r="B948" s="25">
        <v>166.300003</v>
      </c>
      <c r="C948" s="11">
        <f t="shared" si="56"/>
        <v>163.86750125000003</v>
      </c>
      <c r="D948" s="11">
        <f t="shared" si="57"/>
        <v>1.3072502519984714</v>
      </c>
      <c r="E948" s="25">
        <v>166.300003</v>
      </c>
      <c r="F948" s="11">
        <f t="shared" si="58"/>
        <v>168.91450350399694</v>
      </c>
      <c r="G948" s="11">
        <f t="shared" si="59"/>
        <v>163.68550249600307</v>
      </c>
    </row>
    <row r="949" spans="1:7" x14ac:dyDescent="0.25">
      <c r="A949" s="24">
        <v>41418</v>
      </c>
      <c r="B949" s="25">
        <v>165.30999800000001</v>
      </c>
      <c r="C949" s="11">
        <f t="shared" si="56"/>
        <v>164.04562662500001</v>
      </c>
      <c r="D949" s="11">
        <f t="shared" si="57"/>
        <v>1.4345416201173524</v>
      </c>
      <c r="E949" s="25">
        <v>165.30999800000001</v>
      </c>
      <c r="F949" s="11">
        <f t="shared" si="58"/>
        <v>168.17908124023472</v>
      </c>
      <c r="G949" s="11">
        <f t="shared" si="59"/>
        <v>162.44091475976529</v>
      </c>
    </row>
    <row r="950" spans="1:7" x14ac:dyDescent="0.25">
      <c r="A950" s="24">
        <v>41417</v>
      </c>
      <c r="B950" s="25">
        <v>165.449997</v>
      </c>
      <c r="C950" s="11">
        <f t="shared" si="56"/>
        <v>164.01875118750002</v>
      </c>
      <c r="D950" s="11">
        <f t="shared" si="57"/>
        <v>1.4043932300162583</v>
      </c>
      <c r="E950" s="25">
        <v>165.449997</v>
      </c>
      <c r="F950" s="11">
        <f t="shared" si="58"/>
        <v>168.2587834600325</v>
      </c>
      <c r="G950" s="11">
        <f t="shared" si="59"/>
        <v>162.64121053996749</v>
      </c>
    </row>
    <row r="951" spans="1:7" x14ac:dyDescent="0.25">
      <c r="A951" s="24">
        <v>41416</v>
      </c>
      <c r="B951" s="25">
        <v>165.929993</v>
      </c>
      <c r="C951" s="11">
        <f t="shared" si="56"/>
        <v>164.08187587500001</v>
      </c>
      <c r="D951" s="11">
        <f t="shared" si="57"/>
        <v>1.446652731371004</v>
      </c>
      <c r="E951" s="25">
        <v>165.929993</v>
      </c>
      <c r="F951" s="11">
        <f t="shared" si="58"/>
        <v>168.823298462742</v>
      </c>
      <c r="G951" s="11">
        <f t="shared" si="59"/>
        <v>163.03668753725799</v>
      </c>
    </row>
    <row r="952" spans="1:7" x14ac:dyDescent="0.25">
      <c r="A952" s="24">
        <v>41415</v>
      </c>
      <c r="B952" s="25">
        <v>167.16999799999999</v>
      </c>
      <c r="C952" s="11">
        <f t="shared" si="56"/>
        <v>164.25375087500004</v>
      </c>
      <c r="D952" s="11">
        <f t="shared" si="57"/>
        <v>1.4949147091667754</v>
      </c>
      <c r="E952" s="25">
        <v>167.16999799999999</v>
      </c>
      <c r="F952" s="11">
        <f t="shared" si="58"/>
        <v>170.15982741833355</v>
      </c>
      <c r="G952" s="11">
        <f t="shared" si="59"/>
        <v>164.18016858166644</v>
      </c>
    </row>
    <row r="953" spans="1:7" x14ac:dyDescent="0.25">
      <c r="A953" s="24">
        <v>41414</v>
      </c>
      <c r="B953" s="25">
        <v>166.929993</v>
      </c>
      <c r="C953" s="11">
        <f t="shared" si="56"/>
        <v>164.43875031250002</v>
      </c>
      <c r="D953" s="11">
        <f t="shared" si="57"/>
        <v>1.6628597237432747</v>
      </c>
      <c r="E953" s="25">
        <v>166.929993</v>
      </c>
      <c r="F953" s="11">
        <f t="shared" si="58"/>
        <v>170.25571244748656</v>
      </c>
      <c r="G953" s="11">
        <f t="shared" si="59"/>
        <v>163.60427355251343</v>
      </c>
    </row>
    <row r="954" spans="1:7" x14ac:dyDescent="0.25">
      <c r="A954" s="24">
        <v>41411</v>
      </c>
      <c r="B954" s="25">
        <v>166.94000199999999</v>
      </c>
      <c r="C954" s="11">
        <f t="shared" si="56"/>
        <v>164.762499875</v>
      </c>
      <c r="D954" s="11">
        <f t="shared" si="57"/>
        <v>1.6078231314474796</v>
      </c>
      <c r="E954" s="25">
        <v>166.94000199999999</v>
      </c>
      <c r="F954" s="11">
        <f t="shared" si="58"/>
        <v>170.15564826289494</v>
      </c>
      <c r="G954" s="11">
        <f t="shared" si="59"/>
        <v>163.72435573710504</v>
      </c>
    </row>
    <row r="955" spans="1:7" x14ac:dyDescent="0.25">
      <c r="A955" s="24">
        <v>41410</v>
      </c>
      <c r="B955" s="25">
        <v>165.33999600000001</v>
      </c>
      <c r="C955" s="11">
        <f t="shared" si="56"/>
        <v>165.00249962499998</v>
      </c>
      <c r="D955" s="11">
        <f t="shared" si="57"/>
        <v>1.6295696746938981</v>
      </c>
      <c r="E955" s="25">
        <v>165.33999600000001</v>
      </c>
      <c r="F955" s="11">
        <f t="shared" si="58"/>
        <v>168.59913534938781</v>
      </c>
      <c r="G955" s="11">
        <f t="shared" si="59"/>
        <v>162.08085665061222</v>
      </c>
    </row>
    <row r="956" spans="1:7" x14ac:dyDescent="0.25">
      <c r="A956" s="24">
        <v>41409</v>
      </c>
      <c r="B956" s="25">
        <v>166.11999499999999</v>
      </c>
      <c r="C956" s="11">
        <f t="shared" si="56"/>
        <v>165.0362491875</v>
      </c>
      <c r="D956" s="11">
        <f t="shared" si="57"/>
        <v>1.6306876721745005</v>
      </c>
      <c r="E956" s="25">
        <v>166.11999499999999</v>
      </c>
      <c r="F956" s="11">
        <f t="shared" si="58"/>
        <v>169.38137034434899</v>
      </c>
      <c r="G956" s="11">
        <f t="shared" si="59"/>
        <v>162.85861965565098</v>
      </c>
    </row>
    <row r="957" spans="1:7" x14ac:dyDescent="0.25">
      <c r="A957" s="24">
        <v>41408</v>
      </c>
      <c r="B957" s="25">
        <v>165.229996</v>
      </c>
      <c r="C957" s="11">
        <f t="shared" si="56"/>
        <v>165.11874868750002</v>
      </c>
      <c r="D957" s="11">
        <f t="shared" si="57"/>
        <v>1.6512001354111567</v>
      </c>
      <c r="E957" s="25">
        <v>165.229996</v>
      </c>
      <c r="F957" s="11">
        <f t="shared" si="58"/>
        <v>168.53239627082232</v>
      </c>
      <c r="G957" s="11">
        <f t="shared" si="59"/>
        <v>161.92759572917768</v>
      </c>
    </row>
    <row r="958" spans="1:7" x14ac:dyDescent="0.25">
      <c r="A958" s="24">
        <v>41407</v>
      </c>
      <c r="B958" s="25">
        <v>163.53999300000001</v>
      </c>
      <c r="C958" s="11">
        <f t="shared" si="56"/>
        <v>165.27499868750002</v>
      </c>
      <c r="D958" s="11">
        <f t="shared" si="57"/>
        <v>1.5234290240600279</v>
      </c>
      <c r="E958" s="25">
        <v>163.53999300000001</v>
      </c>
      <c r="F958" s="11">
        <f t="shared" si="58"/>
        <v>166.58685104812005</v>
      </c>
      <c r="G958" s="11">
        <f t="shared" si="59"/>
        <v>160.49313495187997</v>
      </c>
    </row>
    <row r="959" spans="1:7" x14ac:dyDescent="0.25">
      <c r="A959" s="24">
        <v>41404</v>
      </c>
      <c r="B959" s="25">
        <v>163.41000399999999</v>
      </c>
      <c r="C959" s="11">
        <f t="shared" si="56"/>
        <v>165.41687300000001</v>
      </c>
      <c r="D959" s="11">
        <f t="shared" si="57"/>
        <v>1.1961256631369985</v>
      </c>
      <c r="E959" s="25">
        <v>163.41000399999999</v>
      </c>
      <c r="F959" s="11">
        <f t="shared" si="58"/>
        <v>165.80225532627398</v>
      </c>
      <c r="G959" s="11">
        <f t="shared" si="59"/>
        <v>161.01775267372599</v>
      </c>
    </row>
    <row r="960" spans="1:7" x14ac:dyDescent="0.25">
      <c r="A960" s="24">
        <v>41403</v>
      </c>
      <c r="B960" s="25">
        <v>162.88000500000001</v>
      </c>
      <c r="C960" s="11">
        <f t="shared" si="56"/>
        <v>165.40749837499996</v>
      </c>
      <c r="D960" s="11">
        <f t="shared" si="57"/>
        <v>1.2121298420619715</v>
      </c>
      <c r="E960" s="25">
        <v>162.88000500000001</v>
      </c>
      <c r="F960" s="11">
        <f t="shared" si="58"/>
        <v>165.30426468412395</v>
      </c>
      <c r="G960" s="11">
        <f t="shared" si="59"/>
        <v>160.45574531587607</v>
      </c>
    </row>
    <row r="961" spans="1:7" x14ac:dyDescent="0.25">
      <c r="A961" s="24">
        <v>41402</v>
      </c>
      <c r="B961" s="25">
        <v>163.33999600000001</v>
      </c>
      <c r="C961" s="11">
        <f t="shared" si="56"/>
        <v>165.31562331249998</v>
      </c>
      <c r="D961" s="11">
        <f t="shared" si="57"/>
        <v>1.3459509033639461</v>
      </c>
      <c r="E961" s="25">
        <v>163.33999600000001</v>
      </c>
      <c r="F961" s="11">
        <f t="shared" si="58"/>
        <v>166.0318978067279</v>
      </c>
      <c r="G961" s="11">
        <f t="shared" si="59"/>
        <v>160.64809419327213</v>
      </c>
    </row>
    <row r="962" spans="1:7" x14ac:dyDescent="0.25">
      <c r="A962" s="24">
        <v>41401</v>
      </c>
      <c r="B962" s="25">
        <v>162.60000600000001</v>
      </c>
      <c r="C962" s="11">
        <f t="shared" si="56"/>
        <v>165.30874825000001</v>
      </c>
      <c r="D962" s="11">
        <f t="shared" si="57"/>
        <v>1.3563564671635757</v>
      </c>
      <c r="E962" s="25">
        <v>162.60000600000001</v>
      </c>
      <c r="F962" s="11">
        <f t="shared" si="58"/>
        <v>165.31271893432717</v>
      </c>
      <c r="G962" s="11">
        <f t="shared" si="59"/>
        <v>159.88729306567285</v>
      </c>
    </row>
    <row r="963" spans="1:7" x14ac:dyDescent="0.25">
      <c r="A963" s="24">
        <v>41400</v>
      </c>
      <c r="B963" s="25">
        <v>161.779999</v>
      </c>
      <c r="C963" s="11">
        <f t="shared" si="56"/>
        <v>165.10687350000001</v>
      </c>
      <c r="D963" s="11">
        <f t="shared" si="57"/>
        <v>1.5057460489801899</v>
      </c>
      <c r="E963" s="25">
        <v>161.779999</v>
      </c>
      <c r="F963" s="11">
        <f t="shared" si="58"/>
        <v>164.79149109796037</v>
      </c>
      <c r="G963" s="11">
        <f t="shared" si="59"/>
        <v>158.76850690203963</v>
      </c>
    </row>
    <row r="964" spans="1:7" x14ac:dyDescent="0.25">
      <c r="A964" s="24">
        <v>41397</v>
      </c>
      <c r="B964" s="25">
        <v>161.36999499999999</v>
      </c>
      <c r="C964" s="11">
        <f t="shared" si="56"/>
        <v>164.89187337500002</v>
      </c>
      <c r="D964" s="11">
        <f t="shared" si="57"/>
        <v>1.7190067424297772</v>
      </c>
      <c r="E964" s="25">
        <v>161.36999499999999</v>
      </c>
      <c r="F964" s="11">
        <f t="shared" si="58"/>
        <v>164.80800848485956</v>
      </c>
      <c r="G964" s="11">
        <f t="shared" si="59"/>
        <v>157.93198151514042</v>
      </c>
    </row>
    <row r="965" spans="1:7" x14ac:dyDescent="0.25">
      <c r="A965" s="24">
        <v>41396</v>
      </c>
      <c r="B965" s="25">
        <v>159.75</v>
      </c>
      <c r="C965" s="11">
        <f t="shared" si="56"/>
        <v>164.583747875</v>
      </c>
      <c r="D965" s="11">
        <f t="shared" si="57"/>
        <v>1.883728568120004</v>
      </c>
      <c r="E965" s="25">
        <v>159.75</v>
      </c>
      <c r="F965" s="11">
        <f t="shared" si="58"/>
        <v>163.51745713624001</v>
      </c>
      <c r="G965" s="11">
        <f t="shared" si="59"/>
        <v>155.98254286375999</v>
      </c>
    </row>
    <row r="966" spans="1:7" x14ac:dyDescent="0.25">
      <c r="A966" s="24">
        <v>41395</v>
      </c>
      <c r="B966" s="25">
        <v>158.279999</v>
      </c>
      <c r="C966" s="11">
        <f t="shared" si="56"/>
        <v>164.23624799999999</v>
      </c>
      <c r="D966" s="11">
        <f t="shared" si="57"/>
        <v>2.2230921474420238</v>
      </c>
      <c r="E966" s="25">
        <v>158.279999</v>
      </c>
      <c r="F966" s="11">
        <f t="shared" si="58"/>
        <v>162.72618329488404</v>
      </c>
      <c r="G966" s="11">
        <f t="shared" si="59"/>
        <v>153.83381470511597</v>
      </c>
    </row>
    <row r="967" spans="1:7" x14ac:dyDescent="0.25">
      <c r="A967" s="24">
        <v>41394</v>
      </c>
      <c r="B967" s="25">
        <v>159.679993</v>
      </c>
      <c r="C967" s="11">
        <f t="shared" si="56"/>
        <v>163.788123125</v>
      </c>
      <c r="D967" s="11">
        <f t="shared" si="57"/>
        <v>2.644777766313275</v>
      </c>
      <c r="E967" s="25">
        <v>159.679993</v>
      </c>
      <c r="F967" s="11">
        <f t="shared" si="58"/>
        <v>164.96954853262653</v>
      </c>
      <c r="G967" s="11">
        <f t="shared" si="59"/>
        <v>154.39043746737346</v>
      </c>
    </row>
    <row r="968" spans="1:7" x14ac:dyDescent="0.25">
      <c r="A968" s="24">
        <v>41393</v>
      </c>
      <c r="B968" s="25">
        <v>159.300003</v>
      </c>
      <c r="C968" s="11">
        <f t="shared" si="56"/>
        <v>163.397498125</v>
      </c>
      <c r="D968" s="11">
        <f t="shared" si="57"/>
        <v>2.7661099256329349</v>
      </c>
      <c r="E968" s="25">
        <v>159.300003</v>
      </c>
      <c r="F968" s="11">
        <f t="shared" si="58"/>
        <v>164.83222285126587</v>
      </c>
      <c r="G968" s="11">
        <f t="shared" si="59"/>
        <v>153.76778314873414</v>
      </c>
    </row>
    <row r="969" spans="1:7" x14ac:dyDescent="0.25">
      <c r="A969" s="24">
        <v>41390</v>
      </c>
      <c r="B969" s="25">
        <v>158.240005</v>
      </c>
      <c r="C969" s="11">
        <f t="shared" si="56"/>
        <v>162.9056234375</v>
      </c>
      <c r="D969" s="11">
        <f t="shared" si="57"/>
        <v>2.7502378257349291</v>
      </c>
      <c r="E969" s="25">
        <v>158.240005</v>
      </c>
      <c r="F969" s="11">
        <f t="shared" si="58"/>
        <v>163.74048065146985</v>
      </c>
      <c r="G969" s="11">
        <f t="shared" si="59"/>
        <v>152.73952934853014</v>
      </c>
    </row>
    <row r="970" spans="1:7" x14ac:dyDescent="0.25">
      <c r="A970" s="24">
        <v>41389</v>
      </c>
      <c r="B970" s="25">
        <v>158.520004</v>
      </c>
      <c r="C970" s="11">
        <f t="shared" si="56"/>
        <v>162.36249918750002</v>
      </c>
      <c r="D970" s="11">
        <f t="shared" si="57"/>
        <v>2.7605533658465702</v>
      </c>
      <c r="E970" s="25">
        <v>158.520004</v>
      </c>
      <c r="F970" s="11">
        <f t="shared" si="58"/>
        <v>164.04111073169315</v>
      </c>
      <c r="G970" s="11">
        <f t="shared" si="59"/>
        <v>152.99889726830685</v>
      </c>
    </row>
    <row r="971" spans="1:7" x14ac:dyDescent="0.25">
      <c r="A971" s="24">
        <v>41388</v>
      </c>
      <c r="B971" s="25">
        <v>157.88000500000001</v>
      </c>
      <c r="C971" s="11">
        <f t="shared" si="56"/>
        <v>161.8362493125</v>
      </c>
      <c r="D971" s="11">
        <f t="shared" si="57"/>
        <v>2.629195538028283</v>
      </c>
      <c r="E971" s="25">
        <v>157.88000500000001</v>
      </c>
      <c r="F971" s="11">
        <f t="shared" si="58"/>
        <v>163.13839607605658</v>
      </c>
      <c r="G971" s="11">
        <f t="shared" si="59"/>
        <v>152.62161392394344</v>
      </c>
    </row>
    <row r="972" spans="1:7" x14ac:dyDescent="0.25">
      <c r="A972" s="24">
        <v>41387</v>
      </c>
      <c r="B972" s="25">
        <v>157.779999</v>
      </c>
      <c r="C972" s="11">
        <f t="shared" si="56"/>
        <v>161.36999987500002</v>
      </c>
      <c r="D972" s="11">
        <f t="shared" si="57"/>
        <v>2.627894585155369</v>
      </c>
      <c r="E972" s="25">
        <v>157.779999</v>
      </c>
      <c r="F972" s="11">
        <f t="shared" si="58"/>
        <v>163.03578817031075</v>
      </c>
      <c r="G972" s="11">
        <f t="shared" si="59"/>
        <v>152.52420982968926</v>
      </c>
    </row>
    <row r="973" spans="1:7" x14ac:dyDescent="0.25">
      <c r="A973" s="24">
        <v>41386</v>
      </c>
      <c r="B973" s="25">
        <v>156.16999799999999</v>
      </c>
      <c r="C973" s="11">
        <f t="shared" si="56"/>
        <v>160.84875012500001</v>
      </c>
      <c r="D973" s="11">
        <f t="shared" si="57"/>
        <v>2.4435749906685187</v>
      </c>
      <c r="E973" s="25">
        <v>156.16999799999999</v>
      </c>
      <c r="F973" s="11">
        <f t="shared" si="58"/>
        <v>161.05714798133704</v>
      </c>
      <c r="G973" s="11">
        <f t="shared" si="59"/>
        <v>151.28284801866295</v>
      </c>
    </row>
    <row r="974" spans="1:7" x14ac:dyDescent="0.25">
      <c r="A974" s="24">
        <v>41383</v>
      </c>
      <c r="B974" s="25">
        <v>155.479996</v>
      </c>
      <c r="C974" s="11">
        <f t="shared" si="56"/>
        <v>160.28250025</v>
      </c>
      <c r="D974" s="11">
        <f t="shared" si="57"/>
        <v>2.4101322829573362</v>
      </c>
      <c r="E974" s="25">
        <v>155.479996</v>
      </c>
      <c r="F974" s="11">
        <f t="shared" si="58"/>
        <v>160.30026056591467</v>
      </c>
      <c r="G974" s="11">
        <f t="shared" si="59"/>
        <v>150.65973143408533</v>
      </c>
    </row>
    <row r="975" spans="1:7" x14ac:dyDescent="0.25">
      <c r="A975" s="24">
        <v>41382</v>
      </c>
      <c r="B975" s="25">
        <v>154.13999899999999</v>
      </c>
      <c r="C975" s="11">
        <f t="shared" si="56"/>
        <v>159.77875043749998</v>
      </c>
      <c r="D975" s="11">
        <f t="shared" si="57"/>
        <v>2.5235376015659976</v>
      </c>
      <c r="E975" s="25">
        <v>154.13999899999999</v>
      </c>
      <c r="F975" s="11">
        <f t="shared" si="58"/>
        <v>159.18707420313197</v>
      </c>
      <c r="G975" s="11">
        <f t="shared" si="59"/>
        <v>149.09292379686801</v>
      </c>
    </row>
    <row r="976" spans="1:7" x14ac:dyDescent="0.25">
      <c r="A976" s="24">
        <v>41381</v>
      </c>
      <c r="B976" s="25">
        <v>155.11000100000001</v>
      </c>
      <c r="C976" s="11">
        <f t="shared" si="56"/>
        <v>159.19937512499999</v>
      </c>
      <c r="D976" s="11">
        <f t="shared" si="57"/>
        <v>2.6927350865213868</v>
      </c>
      <c r="E976" s="25">
        <v>155.11000100000001</v>
      </c>
      <c r="F976" s="11">
        <f t="shared" si="58"/>
        <v>160.49547117304277</v>
      </c>
      <c r="G976" s="11">
        <f t="shared" si="59"/>
        <v>149.72453082695725</v>
      </c>
    </row>
    <row r="977" spans="1:7" x14ac:dyDescent="0.25">
      <c r="A977" s="24">
        <v>41380</v>
      </c>
      <c r="B977" s="25">
        <v>157.41000399999999</v>
      </c>
      <c r="C977" s="11">
        <f t="shared" si="56"/>
        <v>158.71374987500002</v>
      </c>
      <c r="D977" s="11">
        <f t="shared" si="57"/>
        <v>2.6853301226630828</v>
      </c>
      <c r="E977" s="25">
        <v>157.41000399999999</v>
      </c>
      <c r="F977" s="11">
        <f t="shared" si="58"/>
        <v>162.78066424532616</v>
      </c>
      <c r="G977" s="11">
        <f t="shared" si="59"/>
        <v>152.03934375467381</v>
      </c>
    </row>
    <row r="978" spans="1:7" x14ac:dyDescent="0.25">
      <c r="A978" s="24">
        <v>41379</v>
      </c>
      <c r="B978" s="25">
        <v>155.11999499999999</v>
      </c>
      <c r="C978" s="11">
        <f t="shared" si="56"/>
        <v>158.343125375</v>
      </c>
      <c r="D978" s="11">
        <f t="shared" si="57"/>
        <v>2.3981210393795647</v>
      </c>
      <c r="E978" s="25">
        <v>155.11999499999999</v>
      </c>
      <c r="F978" s="11">
        <f t="shared" si="58"/>
        <v>159.91623707875911</v>
      </c>
      <c r="G978" s="11">
        <f t="shared" si="59"/>
        <v>150.32375292124087</v>
      </c>
    </row>
    <row r="979" spans="1:7" x14ac:dyDescent="0.25">
      <c r="A979" s="24">
        <v>41376</v>
      </c>
      <c r="B979" s="25">
        <v>158.800003</v>
      </c>
      <c r="C979" s="11">
        <f t="shared" si="56"/>
        <v>157.87562468749999</v>
      </c>
      <c r="D979" s="11">
        <f t="shared" si="57"/>
        <v>2.2365955418367962</v>
      </c>
      <c r="E979" s="25">
        <v>158.800003</v>
      </c>
      <c r="F979" s="11">
        <f t="shared" si="58"/>
        <v>163.27319408367359</v>
      </c>
      <c r="G979" s="11">
        <f t="shared" si="59"/>
        <v>154.32681191632642</v>
      </c>
    </row>
    <row r="980" spans="1:7" x14ac:dyDescent="0.25">
      <c r="A980" s="24">
        <v>41375</v>
      </c>
      <c r="B980" s="25">
        <v>159.19000199999999</v>
      </c>
      <c r="C980" s="11">
        <f t="shared" ref="C980:C1043" si="60">AVERAGE(B964:B979)</f>
        <v>157.68937493749999</v>
      </c>
      <c r="D980" s="11">
        <f t="shared" ref="D980:D1043" si="61">_xlfn.STDEV.S(B964:B979)</f>
        <v>2.0015112165390256</v>
      </c>
      <c r="E980" s="25">
        <v>159.19000199999999</v>
      </c>
      <c r="F980" s="11">
        <f t="shared" ref="F980:F1043" si="62">B980+2*D980</f>
        <v>163.19302443307805</v>
      </c>
      <c r="G980" s="11">
        <f t="shared" ref="G980:G1043" si="63">B980-2*D980</f>
        <v>155.18697956692193</v>
      </c>
    </row>
    <row r="981" spans="1:7" x14ac:dyDescent="0.25">
      <c r="A981" s="24">
        <v>41374</v>
      </c>
      <c r="B981" s="25">
        <v>158.66999799999999</v>
      </c>
      <c r="C981" s="11">
        <f t="shared" si="60"/>
        <v>157.55312537499998</v>
      </c>
      <c r="D981" s="11">
        <f t="shared" si="61"/>
        <v>1.7981212731199907</v>
      </c>
      <c r="E981" s="25">
        <v>158.66999799999999</v>
      </c>
      <c r="F981" s="11">
        <f t="shared" si="62"/>
        <v>162.26624054623997</v>
      </c>
      <c r="G981" s="11">
        <f t="shared" si="63"/>
        <v>155.07375545376001</v>
      </c>
    </row>
    <row r="982" spans="1:7" x14ac:dyDescent="0.25">
      <c r="A982" s="24">
        <v>41373</v>
      </c>
      <c r="B982" s="25">
        <v>156.75</v>
      </c>
      <c r="C982" s="11">
        <f t="shared" si="60"/>
        <v>157.48562525</v>
      </c>
      <c r="D982" s="11">
        <f t="shared" si="61"/>
        <v>1.7291008793629339</v>
      </c>
      <c r="E982" s="25">
        <v>156.75</v>
      </c>
      <c r="F982" s="11">
        <f t="shared" si="62"/>
        <v>160.20820175872586</v>
      </c>
      <c r="G982" s="11">
        <f t="shared" si="63"/>
        <v>153.29179824127414</v>
      </c>
    </row>
    <row r="983" spans="1:7" x14ac:dyDescent="0.25">
      <c r="A983" s="24">
        <v>41372</v>
      </c>
      <c r="B983" s="25">
        <v>156.21000699999999</v>
      </c>
      <c r="C983" s="11">
        <f t="shared" si="60"/>
        <v>157.39000031250001</v>
      </c>
      <c r="D983" s="11">
        <f t="shared" si="61"/>
        <v>1.7245416117566525</v>
      </c>
      <c r="E983" s="25">
        <v>156.21000699999999</v>
      </c>
      <c r="F983" s="11">
        <f t="shared" si="62"/>
        <v>159.65909022351329</v>
      </c>
      <c r="G983" s="11">
        <f t="shared" si="63"/>
        <v>152.76092377648669</v>
      </c>
    </row>
    <row r="984" spans="1:7" x14ac:dyDescent="0.25">
      <c r="A984" s="24">
        <v>41369</v>
      </c>
      <c r="B984" s="25">
        <v>155.16000399999999</v>
      </c>
      <c r="C984" s="11">
        <f t="shared" si="60"/>
        <v>157.1731261875</v>
      </c>
      <c r="D984" s="11">
        <f t="shared" si="61"/>
        <v>1.6331242878081371</v>
      </c>
      <c r="E984" s="25">
        <v>155.16000399999999</v>
      </c>
      <c r="F984" s="11">
        <f t="shared" si="62"/>
        <v>158.42625257561627</v>
      </c>
      <c r="G984" s="11">
        <f t="shared" si="63"/>
        <v>151.8937554243837</v>
      </c>
    </row>
    <row r="985" spans="1:7" x14ac:dyDescent="0.25">
      <c r="A985" s="24">
        <v>41368</v>
      </c>
      <c r="B985" s="25">
        <v>155.86000100000001</v>
      </c>
      <c r="C985" s="11">
        <f t="shared" si="60"/>
        <v>156.91437625</v>
      </c>
      <c r="D985" s="11">
        <f t="shared" si="61"/>
        <v>1.6013380982829559</v>
      </c>
      <c r="E985" s="25">
        <v>155.86000100000001</v>
      </c>
      <c r="F985" s="11">
        <f t="shared" si="62"/>
        <v>159.06267719656591</v>
      </c>
      <c r="G985" s="11">
        <f t="shared" si="63"/>
        <v>152.65732480343411</v>
      </c>
    </row>
    <row r="986" spans="1:7" x14ac:dyDescent="0.25">
      <c r="A986" s="24">
        <v>41367</v>
      </c>
      <c r="B986" s="25">
        <v>155.229996</v>
      </c>
      <c r="C986" s="11">
        <f t="shared" si="60"/>
        <v>156.76562600000003</v>
      </c>
      <c r="D986" s="11">
        <f t="shared" si="61"/>
        <v>1.5803933048489769</v>
      </c>
      <c r="E986" s="25">
        <v>155.229996</v>
      </c>
      <c r="F986" s="11">
        <f t="shared" si="62"/>
        <v>158.39078260969796</v>
      </c>
      <c r="G986" s="11">
        <f t="shared" si="63"/>
        <v>152.06920939030203</v>
      </c>
    </row>
    <row r="987" spans="1:7" x14ac:dyDescent="0.25">
      <c r="A987" s="24">
        <v>41366</v>
      </c>
      <c r="B987" s="25">
        <v>156.820007</v>
      </c>
      <c r="C987" s="11">
        <f t="shared" si="60"/>
        <v>156.5600005</v>
      </c>
      <c r="D987" s="11">
        <f t="shared" si="61"/>
        <v>1.5506655078854379</v>
      </c>
      <c r="E987" s="25">
        <v>156.820007</v>
      </c>
      <c r="F987" s="11">
        <f t="shared" si="62"/>
        <v>159.92133801577089</v>
      </c>
      <c r="G987" s="11">
        <f t="shared" si="63"/>
        <v>153.71867598422912</v>
      </c>
    </row>
    <row r="988" spans="1:7" x14ac:dyDescent="0.25">
      <c r="A988" s="24">
        <v>41365</v>
      </c>
      <c r="B988" s="25">
        <v>156.050003</v>
      </c>
      <c r="C988" s="11">
        <f t="shared" si="60"/>
        <v>156.49375062499999</v>
      </c>
      <c r="D988" s="11">
        <f t="shared" si="61"/>
        <v>1.5126889859938331</v>
      </c>
      <c r="E988" s="25">
        <v>156.050003</v>
      </c>
      <c r="F988" s="11">
        <f t="shared" si="62"/>
        <v>159.07538097198767</v>
      </c>
      <c r="G988" s="11">
        <f t="shared" si="63"/>
        <v>153.02462502801234</v>
      </c>
    </row>
    <row r="989" spans="1:7" x14ac:dyDescent="0.25">
      <c r="A989" s="24">
        <v>41361</v>
      </c>
      <c r="B989" s="25">
        <v>156.66999799999999</v>
      </c>
      <c r="C989" s="11">
        <f t="shared" si="60"/>
        <v>156.38562587499999</v>
      </c>
      <c r="D989" s="11">
        <f t="shared" si="61"/>
        <v>1.4760045440920961</v>
      </c>
      <c r="E989" s="25">
        <v>156.66999799999999</v>
      </c>
      <c r="F989" s="11">
        <f t="shared" si="62"/>
        <v>159.62200708818418</v>
      </c>
      <c r="G989" s="11">
        <f t="shared" si="63"/>
        <v>153.71798891181581</v>
      </c>
    </row>
    <row r="990" spans="1:7" x14ac:dyDescent="0.25">
      <c r="A990" s="24">
        <v>41360</v>
      </c>
      <c r="B990" s="25">
        <v>156.19000199999999</v>
      </c>
      <c r="C990" s="11">
        <f t="shared" si="60"/>
        <v>156.41687587499999</v>
      </c>
      <c r="D990" s="11">
        <f t="shared" si="61"/>
        <v>1.4764278588924855</v>
      </c>
      <c r="E990" s="25">
        <v>156.19000199999999</v>
      </c>
      <c r="F990" s="11">
        <f t="shared" si="62"/>
        <v>159.14285771778498</v>
      </c>
      <c r="G990" s="11">
        <f t="shared" si="63"/>
        <v>153.23714628221501</v>
      </c>
    </row>
    <row r="991" spans="1:7" x14ac:dyDescent="0.25">
      <c r="A991" s="24">
        <v>41359</v>
      </c>
      <c r="B991" s="25">
        <v>156.19000199999999</v>
      </c>
      <c r="C991" s="11">
        <f t="shared" si="60"/>
        <v>156.46125124999998</v>
      </c>
      <c r="D991" s="11">
        <f t="shared" si="61"/>
        <v>1.4569330666433742</v>
      </c>
      <c r="E991" s="25">
        <v>156.19000199999999</v>
      </c>
      <c r="F991" s="11">
        <f t="shared" si="62"/>
        <v>159.10386813328674</v>
      </c>
      <c r="G991" s="11">
        <f t="shared" si="63"/>
        <v>153.27613586671325</v>
      </c>
    </row>
    <row r="992" spans="1:7" x14ac:dyDescent="0.25">
      <c r="A992" s="24">
        <v>41358</v>
      </c>
      <c r="B992" s="25">
        <v>154.949997</v>
      </c>
      <c r="C992" s="11">
        <f t="shared" si="60"/>
        <v>156.58937643749996</v>
      </c>
      <c r="D992" s="11">
        <f t="shared" si="61"/>
        <v>1.3231910050814759</v>
      </c>
      <c r="E992" s="25">
        <v>154.949997</v>
      </c>
      <c r="F992" s="11">
        <f t="shared" si="62"/>
        <v>157.59637901016293</v>
      </c>
      <c r="G992" s="11">
        <f t="shared" si="63"/>
        <v>152.30361498983706</v>
      </c>
    </row>
    <row r="993" spans="1:7" x14ac:dyDescent="0.25">
      <c r="A993" s="24">
        <v>41355</v>
      </c>
      <c r="B993" s="25">
        <v>155.60000600000001</v>
      </c>
      <c r="C993" s="11">
        <f t="shared" si="60"/>
        <v>156.5793761875</v>
      </c>
      <c r="D993" s="11">
        <f t="shared" si="61"/>
        <v>1.3356628744795958</v>
      </c>
      <c r="E993" s="25">
        <v>155.60000600000001</v>
      </c>
      <c r="F993" s="11">
        <f t="shared" si="62"/>
        <v>158.2713317489592</v>
      </c>
      <c r="G993" s="11">
        <f t="shared" si="63"/>
        <v>152.92868025104082</v>
      </c>
    </row>
    <row r="994" spans="1:7" x14ac:dyDescent="0.25">
      <c r="A994" s="24">
        <v>41354</v>
      </c>
      <c r="B994" s="25">
        <v>154.36000100000001</v>
      </c>
      <c r="C994" s="11">
        <f t="shared" si="60"/>
        <v>156.46625131250002</v>
      </c>
      <c r="D994" s="11">
        <f t="shared" si="61"/>
        <v>1.3372707857850241</v>
      </c>
      <c r="E994" s="25">
        <v>154.36000100000001</v>
      </c>
      <c r="F994" s="11">
        <f t="shared" si="62"/>
        <v>157.03454257157006</v>
      </c>
      <c r="G994" s="11">
        <f t="shared" si="63"/>
        <v>151.68545942842997</v>
      </c>
    </row>
    <row r="995" spans="1:7" x14ac:dyDescent="0.25">
      <c r="A995" s="24">
        <v>41353</v>
      </c>
      <c r="B995" s="25">
        <v>155.69000199999999</v>
      </c>
      <c r="C995" s="11">
        <f t="shared" si="60"/>
        <v>156.41875168750002</v>
      </c>
      <c r="D995" s="11">
        <f t="shared" si="61"/>
        <v>1.4002900225231765</v>
      </c>
      <c r="E995" s="25">
        <v>155.69000199999999</v>
      </c>
      <c r="F995" s="11">
        <f t="shared" si="62"/>
        <v>158.49058204504635</v>
      </c>
      <c r="G995" s="11">
        <f t="shared" si="63"/>
        <v>152.88942195495363</v>
      </c>
    </row>
    <row r="996" spans="1:7" x14ac:dyDescent="0.25">
      <c r="A996" s="24">
        <v>41352</v>
      </c>
      <c r="B996" s="25">
        <v>154.61000100000001</v>
      </c>
      <c r="C996" s="11">
        <f t="shared" si="60"/>
        <v>156.22437662499999</v>
      </c>
      <c r="D996" s="11">
        <f t="shared" si="61"/>
        <v>1.2561420796143421</v>
      </c>
      <c r="E996" s="25">
        <v>154.61000100000001</v>
      </c>
      <c r="F996" s="11">
        <f t="shared" si="62"/>
        <v>157.12228515922868</v>
      </c>
      <c r="G996" s="11">
        <f t="shared" si="63"/>
        <v>152.09771684077134</v>
      </c>
    </row>
    <row r="997" spans="1:7" x14ac:dyDescent="0.25">
      <c r="A997" s="24">
        <v>41351</v>
      </c>
      <c r="B997" s="25">
        <v>154.970001</v>
      </c>
      <c r="C997" s="11">
        <f t="shared" si="60"/>
        <v>155.9381265625</v>
      </c>
      <c r="D997" s="11">
        <f t="shared" si="61"/>
        <v>1.0382242238205848</v>
      </c>
      <c r="E997" s="25">
        <v>154.970001</v>
      </c>
      <c r="F997" s="11">
        <f t="shared" si="62"/>
        <v>157.04644944764118</v>
      </c>
      <c r="G997" s="11">
        <f t="shared" si="63"/>
        <v>152.89355255235881</v>
      </c>
    </row>
    <row r="998" spans="1:7" x14ac:dyDescent="0.25">
      <c r="A998" s="24">
        <v>41348</v>
      </c>
      <c r="B998" s="25">
        <v>155.83000200000001</v>
      </c>
      <c r="C998" s="11">
        <f t="shared" si="60"/>
        <v>155.70687675000002</v>
      </c>
      <c r="D998" s="11">
        <f t="shared" si="61"/>
        <v>0.76538291180101248</v>
      </c>
      <c r="E998" s="25">
        <v>155.83000200000001</v>
      </c>
      <c r="F998" s="11">
        <f t="shared" si="62"/>
        <v>157.36076782360203</v>
      </c>
      <c r="G998" s="11">
        <f t="shared" si="63"/>
        <v>154.29923617639798</v>
      </c>
    </row>
    <row r="999" spans="1:7" x14ac:dyDescent="0.25">
      <c r="A999" s="24">
        <v>41347</v>
      </c>
      <c r="B999" s="25">
        <v>156.729996</v>
      </c>
      <c r="C999" s="11">
        <f t="shared" si="60"/>
        <v>155.64937687500003</v>
      </c>
      <c r="D999" s="11">
        <f t="shared" si="61"/>
        <v>0.71467097173695715</v>
      </c>
      <c r="E999" s="25">
        <v>156.729996</v>
      </c>
      <c r="F999" s="11">
        <f t="shared" si="62"/>
        <v>158.1593379434739</v>
      </c>
      <c r="G999" s="11">
        <f t="shared" si="63"/>
        <v>155.3006540565261</v>
      </c>
    </row>
    <row r="1000" spans="1:7" x14ac:dyDescent="0.25">
      <c r="A1000" s="24">
        <v>41346</v>
      </c>
      <c r="B1000" s="25">
        <v>155.89999399999999</v>
      </c>
      <c r="C1000" s="11">
        <f t="shared" si="60"/>
        <v>155.6818761875</v>
      </c>
      <c r="D1000" s="11">
        <f t="shared" si="61"/>
        <v>0.75267749795435379</v>
      </c>
      <c r="E1000" s="25">
        <v>155.89999399999999</v>
      </c>
      <c r="F1000" s="11">
        <f t="shared" si="62"/>
        <v>157.4053489959087</v>
      </c>
      <c r="G1000" s="11">
        <f t="shared" si="63"/>
        <v>154.39463900409129</v>
      </c>
    </row>
    <row r="1001" spans="1:7" x14ac:dyDescent="0.25">
      <c r="A1001" s="24">
        <v>41345</v>
      </c>
      <c r="B1001" s="25">
        <v>155.679993</v>
      </c>
      <c r="C1001" s="11">
        <f t="shared" si="60"/>
        <v>155.7281255625</v>
      </c>
      <c r="D1001" s="11">
        <f t="shared" si="61"/>
        <v>0.74111861236646315</v>
      </c>
      <c r="E1001" s="25">
        <v>155.679993</v>
      </c>
      <c r="F1001" s="11">
        <f t="shared" si="62"/>
        <v>157.16223022473292</v>
      </c>
      <c r="G1001" s="11">
        <f t="shared" si="63"/>
        <v>154.19775577526707</v>
      </c>
    </row>
    <row r="1002" spans="1:7" x14ac:dyDescent="0.25">
      <c r="A1002" s="24">
        <v>41344</v>
      </c>
      <c r="B1002" s="25">
        <v>156.029999</v>
      </c>
      <c r="C1002" s="11">
        <f t="shared" si="60"/>
        <v>155.71687506249998</v>
      </c>
      <c r="D1002" s="11">
        <f t="shared" si="61"/>
        <v>0.74034912469243752</v>
      </c>
      <c r="E1002" s="25">
        <v>156.029999</v>
      </c>
      <c r="F1002" s="11">
        <f t="shared" si="62"/>
        <v>157.51069724938489</v>
      </c>
      <c r="G1002" s="11">
        <f t="shared" si="63"/>
        <v>154.54930075061512</v>
      </c>
    </row>
    <row r="1003" spans="1:7" x14ac:dyDescent="0.25">
      <c r="A1003" s="24">
        <v>41341</v>
      </c>
      <c r="B1003" s="25">
        <v>155.44000199999999</v>
      </c>
      <c r="C1003" s="11">
        <f t="shared" si="60"/>
        <v>155.76687525</v>
      </c>
      <c r="D1003" s="11">
        <f t="shared" si="61"/>
        <v>0.73224529019661799</v>
      </c>
      <c r="E1003" s="25">
        <v>155.44000199999999</v>
      </c>
      <c r="F1003" s="11">
        <f t="shared" si="62"/>
        <v>156.90449258039322</v>
      </c>
      <c r="G1003" s="11">
        <f t="shared" si="63"/>
        <v>153.97551141960676</v>
      </c>
    </row>
    <row r="1004" spans="1:7" x14ac:dyDescent="0.25">
      <c r="A1004" s="24">
        <v>41340</v>
      </c>
      <c r="B1004" s="25">
        <v>154.779999</v>
      </c>
      <c r="C1004" s="11">
        <f t="shared" si="60"/>
        <v>155.6806249375</v>
      </c>
      <c r="D1004" s="11">
        <f t="shared" si="61"/>
        <v>0.67928792380614134</v>
      </c>
      <c r="E1004" s="25">
        <v>154.779999</v>
      </c>
      <c r="F1004" s="11">
        <f t="shared" si="62"/>
        <v>156.13857484761229</v>
      </c>
      <c r="G1004" s="11">
        <f t="shared" si="63"/>
        <v>153.42142315238772</v>
      </c>
    </row>
    <row r="1005" spans="1:7" x14ac:dyDescent="0.25">
      <c r="A1005" s="24">
        <v>41339</v>
      </c>
      <c r="B1005" s="25">
        <v>154.5</v>
      </c>
      <c r="C1005" s="11">
        <f t="shared" si="60"/>
        <v>155.60124968749997</v>
      </c>
      <c r="D1005" s="11">
        <f t="shared" si="61"/>
        <v>0.70688807660399156</v>
      </c>
      <c r="E1005" s="25">
        <v>154.5</v>
      </c>
      <c r="F1005" s="11">
        <f t="shared" si="62"/>
        <v>155.91377615320798</v>
      </c>
      <c r="G1005" s="11">
        <f t="shared" si="63"/>
        <v>153.08622384679202</v>
      </c>
    </row>
    <row r="1006" spans="1:7" x14ac:dyDescent="0.25">
      <c r="A1006" s="24">
        <v>41338</v>
      </c>
      <c r="B1006" s="25">
        <v>154.28999300000001</v>
      </c>
      <c r="C1006" s="11">
        <f t="shared" si="60"/>
        <v>155.46562481249998</v>
      </c>
      <c r="D1006" s="11">
        <f t="shared" si="61"/>
        <v>0.69625586790682903</v>
      </c>
      <c r="E1006" s="25">
        <v>154.28999300000001</v>
      </c>
      <c r="F1006" s="11">
        <f t="shared" si="62"/>
        <v>155.68250473581367</v>
      </c>
      <c r="G1006" s="11">
        <f t="shared" si="63"/>
        <v>152.89748126418635</v>
      </c>
    </row>
    <row r="1007" spans="1:7" x14ac:dyDescent="0.25">
      <c r="A1007" s="24">
        <v>41337</v>
      </c>
      <c r="B1007" s="25">
        <v>152.91999799999999</v>
      </c>
      <c r="C1007" s="11">
        <f t="shared" si="60"/>
        <v>155.34687424999998</v>
      </c>
      <c r="D1007" s="11">
        <f t="shared" si="61"/>
        <v>0.72587162387513715</v>
      </c>
      <c r="E1007" s="25">
        <v>152.91999799999999</v>
      </c>
      <c r="F1007" s="11">
        <f t="shared" si="62"/>
        <v>154.37174124775026</v>
      </c>
      <c r="G1007" s="11">
        <f t="shared" si="63"/>
        <v>151.46825475224972</v>
      </c>
    </row>
    <row r="1008" spans="1:7" x14ac:dyDescent="0.25">
      <c r="A1008" s="24">
        <v>41334</v>
      </c>
      <c r="B1008" s="25">
        <v>152.11000100000001</v>
      </c>
      <c r="C1008" s="11">
        <f t="shared" si="60"/>
        <v>155.14249899999999</v>
      </c>
      <c r="D1008" s="11">
        <f t="shared" si="61"/>
        <v>0.90972157866019587</v>
      </c>
      <c r="E1008" s="25">
        <v>152.11000100000001</v>
      </c>
      <c r="F1008" s="11">
        <f t="shared" si="62"/>
        <v>153.9294441573204</v>
      </c>
      <c r="G1008" s="11">
        <f t="shared" si="63"/>
        <v>150.29055784267962</v>
      </c>
    </row>
    <row r="1009" spans="1:7" x14ac:dyDescent="0.25">
      <c r="A1009" s="24">
        <v>41333</v>
      </c>
      <c r="B1009" s="25">
        <v>151.61000100000001</v>
      </c>
      <c r="C1009" s="11">
        <f t="shared" si="60"/>
        <v>154.96499925000001</v>
      </c>
      <c r="D1009" s="11">
        <f t="shared" si="61"/>
        <v>1.1851522765788065</v>
      </c>
      <c r="E1009" s="25">
        <v>151.61000100000001</v>
      </c>
      <c r="F1009" s="11">
        <f t="shared" si="62"/>
        <v>153.98030555315762</v>
      </c>
      <c r="G1009" s="11">
        <f t="shared" si="63"/>
        <v>149.2396964468424</v>
      </c>
    </row>
    <row r="1010" spans="1:7" x14ac:dyDescent="0.25">
      <c r="A1010" s="24">
        <v>41332</v>
      </c>
      <c r="B1010" s="25">
        <v>151.91000399999999</v>
      </c>
      <c r="C1010" s="11">
        <f t="shared" si="60"/>
        <v>154.71562393750003</v>
      </c>
      <c r="D1010" s="11">
        <f t="shared" si="61"/>
        <v>1.4358867114412799</v>
      </c>
      <c r="E1010" s="25">
        <v>151.91000399999999</v>
      </c>
      <c r="F1010" s="11">
        <f t="shared" si="62"/>
        <v>154.78177742288256</v>
      </c>
      <c r="G1010" s="11">
        <f t="shared" si="63"/>
        <v>149.03823057711742</v>
      </c>
    </row>
    <row r="1011" spans="1:7" x14ac:dyDescent="0.25">
      <c r="A1011" s="24">
        <v>41331</v>
      </c>
      <c r="B1011" s="25">
        <v>150.020004</v>
      </c>
      <c r="C1011" s="11">
        <f t="shared" si="60"/>
        <v>154.56249912500002</v>
      </c>
      <c r="D1011" s="11">
        <f t="shared" si="61"/>
        <v>1.5978410423688518</v>
      </c>
      <c r="E1011" s="25">
        <v>150.020004</v>
      </c>
      <c r="F1011" s="11">
        <f t="shared" si="62"/>
        <v>153.21568608473771</v>
      </c>
      <c r="G1011" s="11">
        <f t="shared" si="63"/>
        <v>146.82432191526229</v>
      </c>
    </row>
    <row r="1012" spans="1:7" x14ac:dyDescent="0.25">
      <c r="A1012" s="24">
        <v>41330</v>
      </c>
      <c r="B1012" s="25">
        <v>149</v>
      </c>
      <c r="C1012" s="11">
        <f t="shared" si="60"/>
        <v>154.20812425</v>
      </c>
      <c r="D1012" s="11">
        <f t="shared" si="61"/>
        <v>1.9261383533760146</v>
      </c>
      <c r="E1012" s="25">
        <v>149</v>
      </c>
      <c r="F1012" s="11">
        <f t="shared" si="62"/>
        <v>152.85227670675204</v>
      </c>
      <c r="G1012" s="11">
        <f t="shared" si="63"/>
        <v>145.14772329324796</v>
      </c>
    </row>
    <row r="1013" spans="1:7" x14ac:dyDescent="0.25">
      <c r="A1013" s="24">
        <v>41327</v>
      </c>
      <c r="B1013" s="25">
        <v>151.88999899999999</v>
      </c>
      <c r="C1013" s="11">
        <f t="shared" si="60"/>
        <v>153.8574991875</v>
      </c>
      <c r="D1013" s="11">
        <f t="shared" si="61"/>
        <v>2.3187091333353047</v>
      </c>
      <c r="E1013" s="25">
        <v>151.88999899999999</v>
      </c>
      <c r="F1013" s="11">
        <f t="shared" si="62"/>
        <v>156.5274172666706</v>
      </c>
      <c r="G1013" s="11">
        <f t="shared" si="63"/>
        <v>147.25258073332938</v>
      </c>
    </row>
    <row r="1014" spans="1:7" x14ac:dyDescent="0.25">
      <c r="A1014" s="24">
        <v>41326</v>
      </c>
      <c r="B1014" s="25">
        <v>150.41999799999999</v>
      </c>
      <c r="C1014" s="11">
        <f t="shared" si="60"/>
        <v>153.66499906250002</v>
      </c>
      <c r="D1014" s="11">
        <f t="shared" si="61"/>
        <v>2.3478596864688623</v>
      </c>
      <c r="E1014" s="25">
        <v>150.41999799999999</v>
      </c>
      <c r="F1014" s="11">
        <f t="shared" si="62"/>
        <v>155.11571737293772</v>
      </c>
      <c r="G1014" s="11">
        <f t="shared" si="63"/>
        <v>145.72427862706226</v>
      </c>
    </row>
    <row r="1015" spans="1:7" x14ac:dyDescent="0.25">
      <c r="A1015" s="24">
        <v>41325</v>
      </c>
      <c r="B1015" s="25">
        <v>151.33999600000001</v>
      </c>
      <c r="C1015" s="11">
        <f t="shared" si="60"/>
        <v>153.3268738125</v>
      </c>
      <c r="D1015" s="11">
        <f t="shared" si="61"/>
        <v>2.4041659930410582</v>
      </c>
      <c r="E1015" s="25">
        <v>151.33999600000001</v>
      </c>
      <c r="F1015" s="11">
        <f t="shared" si="62"/>
        <v>156.14832798608214</v>
      </c>
      <c r="G1015" s="11">
        <f t="shared" si="63"/>
        <v>146.53166401391789</v>
      </c>
    </row>
    <row r="1016" spans="1:7" x14ac:dyDescent="0.25">
      <c r="A1016" s="24">
        <v>41324</v>
      </c>
      <c r="B1016" s="25">
        <v>153.25</v>
      </c>
      <c r="C1016" s="11">
        <f t="shared" si="60"/>
        <v>152.9899988125</v>
      </c>
      <c r="D1016" s="11">
        <f t="shared" si="61"/>
        <v>2.26937433962427</v>
      </c>
      <c r="E1016" s="25">
        <v>153.25</v>
      </c>
      <c r="F1016" s="11">
        <f t="shared" si="62"/>
        <v>157.78874867924853</v>
      </c>
      <c r="G1016" s="11">
        <f t="shared" si="63"/>
        <v>148.71125132075147</v>
      </c>
    </row>
    <row r="1017" spans="1:7" x14ac:dyDescent="0.25">
      <c r="A1017" s="24">
        <v>41320</v>
      </c>
      <c r="B1017" s="25">
        <v>152.11000100000001</v>
      </c>
      <c r="C1017" s="11">
        <f t="shared" si="60"/>
        <v>152.82437418750001</v>
      </c>
      <c r="D1017" s="11">
        <f t="shared" si="61"/>
        <v>2.1355955104513971</v>
      </c>
      <c r="E1017" s="25">
        <v>152.11000100000001</v>
      </c>
      <c r="F1017" s="11">
        <f t="shared" si="62"/>
        <v>156.3811920209028</v>
      </c>
      <c r="G1017" s="11">
        <f t="shared" si="63"/>
        <v>147.83880997909722</v>
      </c>
    </row>
    <row r="1018" spans="1:7" x14ac:dyDescent="0.25">
      <c r="A1018" s="24">
        <v>41319</v>
      </c>
      <c r="B1018" s="25">
        <v>152.28999300000001</v>
      </c>
      <c r="C1018" s="11">
        <f t="shared" si="60"/>
        <v>152.6012496875</v>
      </c>
      <c r="D1018" s="11">
        <f t="shared" si="61"/>
        <v>1.9995122794090472</v>
      </c>
      <c r="E1018" s="25">
        <v>152.28999300000001</v>
      </c>
      <c r="F1018" s="11">
        <f t="shared" si="62"/>
        <v>156.2890175588181</v>
      </c>
      <c r="G1018" s="11">
        <f t="shared" si="63"/>
        <v>148.29096844118192</v>
      </c>
    </row>
    <row r="1019" spans="1:7" x14ac:dyDescent="0.25">
      <c r="A1019" s="24">
        <v>41318</v>
      </c>
      <c r="B1019" s="25">
        <v>152.14999399999999</v>
      </c>
      <c r="C1019" s="11">
        <f t="shared" si="60"/>
        <v>152.36749931249997</v>
      </c>
      <c r="D1019" s="11">
        <f t="shared" si="61"/>
        <v>1.7783338907557158</v>
      </c>
      <c r="E1019" s="25">
        <v>152.14999399999999</v>
      </c>
      <c r="F1019" s="11">
        <f t="shared" si="62"/>
        <v>155.70666178151143</v>
      </c>
      <c r="G1019" s="11">
        <f t="shared" si="63"/>
        <v>148.59332621848856</v>
      </c>
    </row>
    <row r="1020" spans="1:7" x14ac:dyDescent="0.25">
      <c r="A1020" s="24">
        <v>41317</v>
      </c>
      <c r="B1020" s="25">
        <v>152.020004</v>
      </c>
      <c r="C1020" s="11">
        <f t="shared" si="60"/>
        <v>152.16187381249998</v>
      </c>
      <c r="D1020" s="11">
        <f t="shared" si="61"/>
        <v>1.5783450755231463</v>
      </c>
      <c r="E1020" s="25">
        <v>152.020004</v>
      </c>
      <c r="F1020" s="11">
        <f t="shared" si="62"/>
        <v>155.17669415104629</v>
      </c>
      <c r="G1020" s="11">
        <f t="shared" si="63"/>
        <v>148.86331384895371</v>
      </c>
    </row>
    <row r="1021" spans="1:7" x14ac:dyDescent="0.25">
      <c r="A1021" s="24">
        <v>41316</v>
      </c>
      <c r="B1021" s="25">
        <v>151.770004</v>
      </c>
      <c r="C1021" s="11">
        <f t="shared" si="60"/>
        <v>151.98937412499998</v>
      </c>
      <c r="D1021" s="11">
        <f t="shared" si="61"/>
        <v>1.415557532863472</v>
      </c>
      <c r="E1021" s="25">
        <v>151.770004</v>
      </c>
      <c r="F1021" s="11">
        <f t="shared" si="62"/>
        <v>154.60111906572695</v>
      </c>
      <c r="G1021" s="11">
        <f t="shared" si="63"/>
        <v>148.93888893427305</v>
      </c>
    </row>
    <row r="1022" spans="1:7" x14ac:dyDescent="0.25">
      <c r="A1022" s="24">
        <v>41313</v>
      </c>
      <c r="B1022" s="25">
        <v>151.800003</v>
      </c>
      <c r="C1022" s="11">
        <f t="shared" si="60"/>
        <v>151.81874937500001</v>
      </c>
      <c r="D1022" s="11">
        <f t="shared" si="61"/>
        <v>1.2472936840808531</v>
      </c>
      <c r="E1022" s="25">
        <v>151.800003</v>
      </c>
      <c r="F1022" s="11">
        <f t="shared" si="62"/>
        <v>154.29459036816172</v>
      </c>
      <c r="G1022" s="11">
        <f t="shared" si="63"/>
        <v>149.30541563183829</v>
      </c>
    </row>
    <row r="1023" spans="1:7" x14ac:dyDescent="0.25">
      <c r="A1023" s="24">
        <v>41312</v>
      </c>
      <c r="B1023" s="25">
        <v>150.96000699999999</v>
      </c>
      <c r="C1023" s="11">
        <f t="shared" si="60"/>
        <v>151.66312499999998</v>
      </c>
      <c r="D1023" s="11">
        <f t="shared" si="61"/>
        <v>1.0596202543108231</v>
      </c>
      <c r="E1023" s="25">
        <v>150.96000699999999</v>
      </c>
      <c r="F1023" s="11">
        <f t="shared" si="62"/>
        <v>153.07924750862165</v>
      </c>
      <c r="G1023" s="11">
        <f t="shared" si="63"/>
        <v>148.84076649137833</v>
      </c>
    </row>
    <row r="1024" spans="1:7" x14ac:dyDescent="0.25">
      <c r="A1024" s="24">
        <v>41311</v>
      </c>
      <c r="B1024" s="25">
        <v>151.16000399999999</v>
      </c>
      <c r="C1024" s="11">
        <f t="shared" si="60"/>
        <v>151.5406255625</v>
      </c>
      <c r="D1024" s="11">
        <f t="shared" si="61"/>
        <v>1.0170700939127704</v>
      </c>
      <c r="E1024" s="25">
        <v>151.16000399999999</v>
      </c>
      <c r="F1024" s="11">
        <f t="shared" si="62"/>
        <v>153.19414418782551</v>
      </c>
      <c r="G1024" s="11">
        <f t="shared" si="63"/>
        <v>149.12586381217446</v>
      </c>
    </row>
    <row r="1025" spans="1:7" x14ac:dyDescent="0.25">
      <c r="A1025" s="24">
        <v>41310</v>
      </c>
      <c r="B1025" s="25">
        <v>151.050003</v>
      </c>
      <c r="C1025" s="11">
        <f t="shared" si="60"/>
        <v>151.48125074999999</v>
      </c>
      <c r="D1025" s="11">
        <f t="shared" si="61"/>
        <v>1.0093150195466571</v>
      </c>
      <c r="E1025" s="25">
        <v>151.050003</v>
      </c>
      <c r="F1025" s="11">
        <f t="shared" si="62"/>
        <v>153.06863303909333</v>
      </c>
      <c r="G1025" s="11">
        <f t="shared" si="63"/>
        <v>149.03137296090668</v>
      </c>
    </row>
    <row r="1026" spans="1:7" x14ac:dyDescent="0.25">
      <c r="A1026" s="24">
        <v>41309</v>
      </c>
      <c r="B1026" s="25">
        <v>149.53999300000001</v>
      </c>
      <c r="C1026" s="11">
        <f t="shared" si="60"/>
        <v>151.44625087499998</v>
      </c>
      <c r="D1026" s="11">
        <f t="shared" si="61"/>
        <v>1.0142501422312538</v>
      </c>
      <c r="E1026" s="25">
        <v>149.53999300000001</v>
      </c>
      <c r="F1026" s="11">
        <f t="shared" si="62"/>
        <v>151.56849328446251</v>
      </c>
      <c r="G1026" s="11">
        <f t="shared" si="63"/>
        <v>147.51149271553751</v>
      </c>
    </row>
    <row r="1027" spans="1:7" x14ac:dyDescent="0.25">
      <c r="A1027" s="24">
        <v>41306</v>
      </c>
      <c r="B1027" s="25">
        <v>151.240005</v>
      </c>
      <c r="C1027" s="11">
        <f t="shared" si="60"/>
        <v>151.29812518749998</v>
      </c>
      <c r="D1027" s="11">
        <f t="shared" si="61"/>
        <v>1.1105026754143501</v>
      </c>
      <c r="E1027" s="25">
        <v>151.240005</v>
      </c>
      <c r="F1027" s="11">
        <f t="shared" si="62"/>
        <v>153.4610103508287</v>
      </c>
      <c r="G1027" s="11">
        <f t="shared" si="63"/>
        <v>149.01899964917129</v>
      </c>
    </row>
    <row r="1028" spans="1:7" x14ac:dyDescent="0.25">
      <c r="A1028" s="24">
        <v>41305</v>
      </c>
      <c r="B1028" s="25">
        <v>149.699997</v>
      </c>
      <c r="C1028" s="11">
        <f t="shared" si="60"/>
        <v>151.37437525000001</v>
      </c>
      <c r="D1028" s="11">
        <f t="shared" si="61"/>
        <v>1.0575128656520767</v>
      </c>
      <c r="E1028" s="25">
        <v>149.699997</v>
      </c>
      <c r="F1028" s="11">
        <f t="shared" si="62"/>
        <v>151.81502273130414</v>
      </c>
      <c r="G1028" s="11">
        <f t="shared" si="63"/>
        <v>147.58497126869585</v>
      </c>
    </row>
    <row r="1029" spans="1:7" x14ac:dyDescent="0.25">
      <c r="A1029" s="24">
        <v>41304</v>
      </c>
      <c r="B1029" s="25">
        <v>150.070007</v>
      </c>
      <c r="C1029" s="11">
        <f t="shared" si="60"/>
        <v>151.41812506250002</v>
      </c>
      <c r="D1029" s="11">
        <f t="shared" si="61"/>
        <v>0.9629905459575725</v>
      </c>
      <c r="E1029" s="25">
        <v>150.070007</v>
      </c>
      <c r="F1029" s="11">
        <f t="shared" si="62"/>
        <v>151.99598809191514</v>
      </c>
      <c r="G1029" s="11">
        <f t="shared" si="63"/>
        <v>148.14402590808487</v>
      </c>
    </row>
    <row r="1030" spans="1:7" x14ac:dyDescent="0.25">
      <c r="A1030" s="24">
        <v>41303</v>
      </c>
      <c r="B1030" s="25">
        <v>150.66000399999999</v>
      </c>
      <c r="C1030" s="11">
        <f t="shared" si="60"/>
        <v>151.30437556250001</v>
      </c>
      <c r="D1030" s="11">
        <f t="shared" si="61"/>
        <v>1.0098843495370466</v>
      </c>
      <c r="E1030" s="25">
        <v>150.66000399999999</v>
      </c>
      <c r="F1030" s="11">
        <f t="shared" si="62"/>
        <v>152.67977269907408</v>
      </c>
      <c r="G1030" s="11">
        <f t="shared" si="63"/>
        <v>148.64023530092589</v>
      </c>
    </row>
    <row r="1031" spans="1:7" x14ac:dyDescent="0.25">
      <c r="A1031" s="24">
        <v>41302</v>
      </c>
      <c r="B1031" s="25">
        <v>150.070007</v>
      </c>
      <c r="C1031" s="11">
        <f t="shared" si="60"/>
        <v>151.31937593750001</v>
      </c>
      <c r="D1031" s="11">
        <f t="shared" si="61"/>
        <v>0.99757996668941984</v>
      </c>
      <c r="E1031" s="25">
        <v>150.070007</v>
      </c>
      <c r="F1031" s="11">
        <f t="shared" si="62"/>
        <v>152.06516693337883</v>
      </c>
      <c r="G1031" s="11">
        <f t="shared" si="63"/>
        <v>148.07484706662117</v>
      </c>
    </row>
    <row r="1032" spans="1:7" x14ac:dyDescent="0.25">
      <c r="A1032" s="24">
        <v>41299</v>
      </c>
      <c r="B1032" s="25">
        <v>150.25</v>
      </c>
      <c r="C1032" s="11">
        <f t="shared" si="60"/>
        <v>151.24000162499999</v>
      </c>
      <c r="D1032" s="11">
        <f t="shared" si="61"/>
        <v>1.0452170396734439</v>
      </c>
      <c r="E1032" s="25">
        <v>150.25</v>
      </c>
      <c r="F1032" s="11">
        <f t="shared" si="62"/>
        <v>152.34043407934689</v>
      </c>
      <c r="G1032" s="11">
        <f t="shared" si="63"/>
        <v>148.15956592065311</v>
      </c>
    </row>
    <row r="1033" spans="1:7" x14ac:dyDescent="0.25">
      <c r="A1033" s="24">
        <v>41298</v>
      </c>
      <c r="B1033" s="25">
        <v>149.41000399999999</v>
      </c>
      <c r="C1033" s="11">
        <f t="shared" si="60"/>
        <v>151.05250162499999</v>
      </c>
      <c r="D1033" s="11">
        <f t="shared" si="61"/>
        <v>0.92248539827127751</v>
      </c>
      <c r="E1033" s="25">
        <v>149.41000399999999</v>
      </c>
      <c r="F1033" s="11">
        <f t="shared" si="62"/>
        <v>151.25497479654254</v>
      </c>
      <c r="G1033" s="11">
        <f t="shared" si="63"/>
        <v>147.56503320345743</v>
      </c>
    </row>
    <row r="1034" spans="1:7" x14ac:dyDescent="0.25">
      <c r="A1034" s="24">
        <v>41297</v>
      </c>
      <c r="B1034" s="25">
        <v>149.36999499999999</v>
      </c>
      <c r="C1034" s="11">
        <f t="shared" si="60"/>
        <v>150.88375181250001</v>
      </c>
      <c r="D1034" s="11">
        <f t="shared" si="61"/>
        <v>0.96223902722973698</v>
      </c>
      <c r="E1034" s="25">
        <v>149.36999499999999</v>
      </c>
      <c r="F1034" s="11">
        <f t="shared" si="62"/>
        <v>151.29447305445947</v>
      </c>
      <c r="G1034" s="11">
        <f t="shared" si="63"/>
        <v>147.4455169455405</v>
      </c>
    </row>
    <row r="1035" spans="1:7" x14ac:dyDescent="0.25">
      <c r="A1035" s="24">
        <v>41296</v>
      </c>
      <c r="B1035" s="25">
        <v>149.13000500000001</v>
      </c>
      <c r="C1035" s="11">
        <f t="shared" si="60"/>
        <v>150.70125193749999</v>
      </c>
      <c r="D1035" s="11">
        <f t="shared" si="61"/>
        <v>0.95462402102708988</v>
      </c>
      <c r="E1035" s="25">
        <v>149.13000500000001</v>
      </c>
      <c r="F1035" s="11">
        <f t="shared" si="62"/>
        <v>151.03925304205418</v>
      </c>
      <c r="G1035" s="11">
        <f t="shared" si="63"/>
        <v>147.22075695794584</v>
      </c>
    </row>
    <row r="1036" spans="1:7" x14ac:dyDescent="0.25">
      <c r="A1036" s="24">
        <v>41292</v>
      </c>
      <c r="B1036" s="25">
        <v>148.33000200000001</v>
      </c>
      <c r="C1036" s="11">
        <f t="shared" si="60"/>
        <v>150.512502625</v>
      </c>
      <c r="D1036" s="11">
        <f t="shared" si="61"/>
        <v>0.94761271450129636</v>
      </c>
      <c r="E1036" s="25">
        <v>148.33000200000001</v>
      </c>
      <c r="F1036" s="11">
        <f t="shared" si="62"/>
        <v>150.22522742900259</v>
      </c>
      <c r="G1036" s="11">
        <f t="shared" si="63"/>
        <v>146.43477657099743</v>
      </c>
    </row>
    <row r="1037" spans="1:7" x14ac:dyDescent="0.25">
      <c r="A1037" s="24">
        <v>41291</v>
      </c>
      <c r="B1037" s="25">
        <v>148</v>
      </c>
      <c r="C1037" s="11">
        <f t="shared" si="60"/>
        <v>150.28187750000001</v>
      </c>
      <c r="D1037" s="11">
        <f t="shared" si="61"/>
        <v>1.0036363637714587</v>
      </c>
      <c r="E1037" s="25">
        <v>148</v>
      </c>
      <c r="F1037" s="11">
        <f t="shared" si="62"/>
        <v>150.00727272754293</v>
      </c>
      <c r="G1037" s="11">
        <f t="shared" si="63"/>
        <v>145.99272727245707</v>
      </c>
    </row>
    <row r="1038" spans="1:7" x14ac:dyDescent="0.25">
      <c r="A1038" s="24">
        <v>41290</v>
      </c>
      <c r="B1038" s="25">
        <v>147.050003</v>
      </c>
      <c r="C1038" s="11">
        <f t="shared" si="60"/>
        <v>150.04625225000001</v>
      </c>
      <c r="D1038" s="11">
        <f t="shared" si="61"/>
        <v>1.0712430651745639</v>
      </c>
      <c r="E1038" s="25">
        <v>147.050003</v>
      </c>
      <c r="F1038" s="11">
        <f t="shared" si="62"/>
        <v>149.19248913034914</v>
      </c>
      <c r="G1038" s="11">
        <f t="shared" si="63"/>
        <v>144.90751686965086</v>
      </c>
    </row>
    <row r="1039" spans="1:7" x14ac:dyDescent="0.25">
      <c r="A1039" s="24">
        <v>41289</v>
      </c>
      <c r="B1039" s="25">
        <v>147.070007</v>
      </c>
      <c r="C1039" s="11">
        <f t="shared" si="60"/>
        <v>149.74937725000001</v>
      </c>
      <c r="D1039" s="11">
        <f t="shared" si="61"/>
        <v>1.2029169324401658</v>
      </c>
      <c r="E1039" s="25">
        <v>147.070007</v>
      </c>
      <c r="F1039" s="11">
        <f t="shared" si="62"/>
        <v>149.47584086488033</v>
      </c>
      <c r="G1039" s="11">
        <f t="shared" si="63"/>
        <v>144.66417313511968</v>
      </c>
    </row>
    <row r="1040" spans="1:7" x14ac:dyDescent="0.25">
      <c r="A1040" s="24">
        <v>41288</v>
      </c>
      <c r="B1040" s="25">
        <v>146.970001</v>
      </c>
      <c r="C1040" s="11">
        <f t="shared" si="60"/>
        <v>149.50625224999999</v>
      </c>
      <c r="D1040" s="11">
        <f t="shared" si="61"/>
        <v>1.3284773612490572</v>
      </c>
      <c r="E1040" s="25">
        <v>146.970001</v>
      </c>
      <c r="F1040" s="11">
        <f t="shared" si="62"/>
        <v>149.62695572249811</v>
      </c>
      <c r="G1040" s="11">
        <f t="shared" si="63"/>
        <v>144.31304627750188</v>
      </c>
    </row>
    <row r="1041" spans="1:7" x14ac:dyDescent="0.25">
      <c r="A1041" s="24">
        <v>41285</v>
      </c>
      <c r="B1041" s="25">
        <v>147.070007</v>
      </c>
      <c r="C1041" s="11">
        <f t="shared" si="60"/>
        <v>149.24437706249998</v>
      </c>
      <c r="D1041" s="11">
        <f t="shared" si="61"/>
        <v>1.3921972853853932</v>
      </c>
      <c r="E1041" s="25">
        <v>147.070007</v>
      </c>
      <c r="F1041" s="11">
        <f t="shared" si="62"/>
        <v>149.85440157077079</v>
      </c>
      <c r="G1041" s="11">
        <f t="shared" si="63"/>
        <v>144.28561242922922</v>
      </c>
    </row>
    <row r="1042" spans="1:7" x14ac:dyDescent="0.25">
      <c r="A1042" s="24">
        <v>41284</v>
      </c>
      <c r="B1042" s="25">
        <v>147.08000200000001</v>
      </c>
      <c r="C1042" s="11">
        <f t="shared" si="60"/>
        <v>148.99562731250001</v>
      </c>
      <c r="D1042" s="11">
        <f t="shared" si="61"/>
        <v>1.4035853222857371</v>
      </c>
      <c r="E1042" s="25">
        <v>147.08000200000001</v>
      </c>
      <c r="F1042" s="11">
        <f t="shared" si="62"/>
        <v>149.88717264457148</v>
      </c>
      <c r="G1042" s="11">
        <f t="shared" si="63"/>
        <v>144.27283135542854</v>
      </c>
    </row>
    <row r="1043" spans="1:7" x14ac:dyDescent="0.25">
      <c r="A1043" s="24">
        <v>41283</v>
      </c>
      <c r="B1043" s="25">
        <v>145.91999799999999</v>
      </c>
      <c r="C1043" s="11">
        <f t="shared" si="60"/>
        <v>148.84187787499999</v>
      </c>
      <c r="D1043" s="11">
        <f t="shared" si="61"/>
        <v>1.4729978605482905</v>
      </c>
      <c r="E1043" s="25">
        <v>145.91999799999999</v>
      </c>
      <c r="F1043" s="11">
        <f t="shared" si="62"/>
        <v>148.86599372109657</v>
      </c>
      <c r="G1043" s="11">
        <f t="shared" si="63"/>
        <v>142.97400227890341</v>
      </c>
    </row>
    <row r="1044" spans="1:7" x14ac:dyDescent="0.25">
      <c r="A1044" s="24">
        <v>41282</v>
      </c>
      <c r="B1044" s="25">
        <v>145.550003</v>
      </c>
      <c r="C1044" s="11">
        <f t="shared" ref="C1044:C1107" si="64">AVERAGE(B1028:B1043)</f>
        <v>148.50937743749998</v>
      </c>
      <c r="D1044" s="11">
        <f t="shared" ref="D1044:D1107" si="65">_xlfn.STDEV.S(B1028:B1043)</f>
        <v>1.4958454487672148</v>
      </c>
      <c r="E1044" s="25">
        <v>145.550003</v>
      </c>
      <c r="F1044" s="11">
        <f t="shared" ref="F1044:F1107" si="66">B1044+2*D1044</f>
        <v>148.54169389753443</v>
      </c>
      <c r="G1044" s="11">
        <f t="shared" ref="G1044:G1107" si="67">B1044-2*D1044</f>
        <v>142.55831210246558</v>
      </c>
    </row>
    <row r="1045" spans="1:7" x14ac:dyDescent="0.25">
      <c r="A1045" s="24">
        <v>41281</v>
      </c>
      <c r="B1045" s="25">
        <v>145.970001</v>
      </c>
      <c r="C1045" s="11">
        <f t="shared" si="64"/>
        <v>148.25000281249999</v>
      </c>
      <c r="D1045" s="11">
        <f t="shared" si="65"/>
        <v>1.6294625510718219</v>
      </c>
      <c r="E1045" s="25">
        <v>145.970001</v>
      </c>
      <c r="F1045" s="11">
        <f t="shared" si="66"/>
        <v>149.22892610214365</v>
      </c>
      <c r="G1045" s="11">
        <f t="shared" si="67"/>
        <v>142.71107589785635</v>
      </c>
    </row>
    <row r="1046" spans="1:7" x14ac:dyDescent="0.25">
      <c r="A1046" s="24">
        <v>41278</v>
      </c>
      <c r="B1046" s="25">
        <v>146.36999499999999</v>
      </c>
      <c r="C1046" s="11">
        <f t="shared" si="64"/>
        <v>147.99375243749998</v>
      </c>
      <c r="D1046" s="11">
        <f t="shared" si="65"/>
        <v>1.6464626329936518</v>
      </c>
      <c r="E1046" s="25">
        <v>146.36999499999999</v>
      </c>
      <c r="F1046" s="11">
        <f t="shared" si="66"/>
        <v>149.66292026598728</v>
      </c>
      <c r="G1046" s="11">
        <f t="shared" si="67"/>
        <v>143.0770697340127</v>
      </c>
    </row>
    <row r="1047" spans="1:7" x14ac:dyDescent="0.25">
      <c r="A1047" s="24">
        <v>41277</v>
      </c>
      <c r="B1047" s="25">
        <v>145.729996</v>
      </c>
      <c r="C1047" s="11">
        <f t="shared" si="64"/>
        <v>147.72562687500002</v>
      </c>
      <c r="D1047" s="11">
        <f t="shared" si="65"/>
        <v>1.5283982415743562</v>
      </c>
      <c r="E1047" s="25">
        <v>145.729996</v>
      </c>
      <c r="F1047" s="11">
        <f t="shared" si="66"/>
        <v>148.7867924831487</v>
      </c>
      <c r="G1047" s="11">
        <f t="shared" si="67"/>
        <v>142.6731995168513</v>
      </c>
    </row>
    <row r="1048" spans="1:7" x14ac:dyDescent="0.25">
      <c r="A1048" s="24">
        <v>41276</v>
      </c>
      <c r="B1048" s="25">
        <v>146.05999800000001</v>
      </c>
      <c r="C1048" s="11">
        <f t="shared" si="64"/>
        <v>147.4543761875</v>
      </c>
      <c r="D1048" s="11">
        <f t="shared" si="65"/>
        <v>1.46854148106127</v>
      </c>
      <c r="E1048" s="25">
        <v>146.05999800000001</v>
      </c>
      <c r="F1048" s="11">
        <f t="shared" si="66"/>
        <v>148.99708096212254</v>
      </c>
      <c r="G1048" s="11">
        <f t="shared" si="67"/>
        <v>143.12291503787748</v>
      </c>
    </row>
    <row r="1049" spans="1:7" x14ac:dyDescent="0.25">
      <c r="A1049" s="24">
        <v>41274</v>
      </c>
      <c r="B1049" s="25">
        <v>142.41000399999999</v>
      </c>
      <c r="C1049" s="11">
        <f t="shared" si="64"/>
        <v>147.19250106250001</v>
      </c>
      <c r="D1049" s="11">
        <f t="shared" si="65"/>
        <v>1.3007877601726041</v>
      </c>
      <c r="E1049" s="25">
        <v>142.41000399999999</v>
      </c>
      <c r="F1049" s="11">
        <f t="shared" si="66"/>
        <v>145.01157952034521</v>
      </c>
      <c r="G1049" s="11">
        <f t="shared" si="67"/>
        <v>139.80842847965476</v>
      </c>
    </row>
    <row r="1050" spans="1:7" x14ac:dyDescent="0.25">
      <c r="A1050" s="24">
        <v>41271</v>
      </c>
      <c r="B1050" s="25">
        <v>140.029999</v>
      </c>
      <c r="C1050" s="11">
        <f t="shared" si="64"/>
        <v>146.75500106249999</v>
      </c>
      <c r="D1050" s="11">
        <f t="shared" si="65"/>
        <v>1.6385601571750543</v>
      </c>
      <c r="E1050" s="25">
        <v>140.029999</v>
      </c>
      <c r="F1050" s="11">
        <f t="shared" si="66"/>
        <v>143.3071193143501</v>
      </c>
      <c r="G1050" s="11">
        <f t="shared" si="67"/>
        <v>136.7528786856499</v>
      </c>
    </row>
    <row r="1051" spans="1:7" x14ac:dyDescent="0.25">
      <c r="A1051" s="24">
        <v>41270</v>
      </c>
      <c r="B1051" s="25">
        <v>141.55999800000001</v>
      </c>
      <c r="C1051" s="11">
        <f t="shared" si="64"/>
        <v>146.17125131249998</v>
      </c>
      <c r="D1051" s="11">
        <f t="shared" si="65"/>
        <v>2.20919940170928</v>
      </c>
      <c r="E1051" s="25">
        <v>141.55999800000001</v>
      </c>
      <c r="F1051" s="11">
        <f t="shared" si="66"/>
        <v>145.97839680341858</v>
      </c>
      <c r="G1051" s="11">
        <f t="shared" si="67"/>
        <v>137.14159919658144</v>
      </c>
    </row>
    <row r="1052" spans="1:7" x14ac:dyDescent="0.25">
      <c r="A1052" s="24">
        <v>41269</v>
      </c>
      <c r="B1052" s="25">
        <v>141.75</v>
      </c>
      <c r="C1052" s="11">
        <f t="shared" si="64"/>
        <v>145.69812587500002</v>
      </c>
      <c r="D1052" s="11">
        <f t="shared" si="65"/>
        <v>2.3400327747374794</v>
      </c>
      <c r="E1052" s="25">
        <v>141.75</v>
      </c>
      <c r="F1052" s="11">
        <f t="shared" si="66"/>
        <v>146.43006554947496</v>
      </c>
      <c r="G1052" s="11">
        <f t="shared" si="67"/>
        <v>137.06993445052504</v>
      </c>
    </row>
    <row r="1053" spans="1:7" x14ac:dyDescent="0.25">
      <c r="A1053" s="24">
        <v>41267</v>
      </c>
      <c r="B1053" s="25">
        <v>142.35000600000001</v>
      </c>
      <c r="C1053" s="11">
        <f t="shared" si="64"/>
        <v>145.28687575000001</v>
      </c>
      <c r="D1053" s="11">
        <f t="shared" si="65"/>
        <v>2.4233750589509531</v>
      </c>
      <c r="E1053" s="25">
        <v>142.35000600000001</v>
      </c>
      <c r="F1053" s="11">
        <f t="shared" si="66"/>
        <v>147.19675611790191</v>
      </c>
      <c r="G1053" s="11">
        <f t="shared" si="67"/>
        <v>137.5032558820981</v>
      </c>
    </row>
    <row r="1054" spans="1:7" x14ac:dyDescent="0.25">
      <c r="A1054" s="24">
        <v>41264</v>
      </c>
      <c r="B1054" s="25">
        <v>142.78999300000001</v>
      </c>
      <c r="C1054" s="11">
        <f t="shared" si="64"/>
        <v>144.93375112500001</v>
      </c>
      <c r="D1054" s="11">
        <f t="shared" si="65"/>
        <v>2.4132993855606024</v>
      </c>
      <c r="E1054" s="25">
        <v>142.78999300000001</v>
      </c>
      <c r="F1054" s="11">
        <f t="shared" si="66"/>
        <v>147.61659177112122</v>
      </c>
      <c r="G1054" s="11">
        <f t="shared" si="67"/>
        <v>137.9633942288788</v>
      </c>
    </row>
    <row r="1055" spans="1:7" x14ac:dyDescent="0.25">
      <c r="A1055" s="24">
        <v>41263</v>
      </c>
      <c r="B1055" s="25">
        <v>145.11999499999999</v>
      </c>
      <c r="C1055" s="11">
        <f t="shared" si="64"/>
        <v>144.66750049999999</v>
      </c>
      <c r="D1055" s="11">
        <f t="shared" si="65"/>
        <v>2.399210362324292</v>
      </c>
      <c r="E1055" s="25">
        <v>145.11999499999999</v>
      </c>
      <c r="F1055" s="11">
        <f t="shared" si="66"/>
        <v>149.91841572464858</v>
      </c>
      <c r="G1055" s="11">
        <f t="shared" si="67"/>
        <v>140.3215742753514</v>
      </c>
    </row>
    <row r="1056" spans="1:7" x14ac:dyDescent="0.25">
      <c r="A1056" s="24">
        <v>41262</v>
      </c>
      <c r="B1056" s="25">
        <v>144.28999300000001</v>
      </c>
      <c r="C1056" s="11">
        <f t="shared" si="64"/>
        <v>144.54562475</v>
      </c>
      <c r="D1056" s="11">
        <f t="shared" si="65"/>
        <v>2.3171564478219548</v>
      </c>
      <c r="E1056" s="25">
        <v>144.28999300000001</v>
      </c>
      <c r="F1056" s="11">
        <f t="shared" si="66"/>
        <v>148.92430589564393</v>
      </c>
      <c r="G1056" s="11">
        <f t="shared" si="67"/>
        <v>139.65568010435609</v>
      </c>
    </row>
    <row r="1057" spans="1:7" x14ac:dyDescent="0.25">
      <c r="A1057" s="24">
        <v>41261</v>
      </c>
      <c r="B1057" s="25">
        <v>145.36999499999999</v>
      </c>
      <c r="C1057" s="11">
        <f t="shared" si="64"/>
        <v>144.37812425000001</v>
      </c>
      <c r="D1057" s="11">
        <f t="shared" si="65"/>
        <v>2.225264849634502</v>
      </c>
      <c r="E1057" s="25">
        <v>145.36999499999999</v>
      </c>
      <c r="F1057" s="11">
        <f t="shared" si="66"/>
        <v>149.82052469926899</v>
      </c>
      <c r="G1057" s="11">
        <f t="shared" si="67"/>
        <v>140.91946530073099</v>
      </c>
    </row>
    <row r="1058" spans="1:7" x14ac:dyDescent="0.25">
      <c r="A1058" s="24">
        <v>41260</v>
      </c>
      <c r="B1058" s="25">
        <v>143.770004</v>
      </c>
      <c r="C1058" s="11">
        <f t="shared" si="64"/>
        <v>144.27187350000003</v>
      </c>
      <c r="D1058" s="11">
        <f t="shared" si="65"/>
        <v>2.1265622031850979</v>
      </c>
      <c r="E1058" s="25">
        <v>143.770004</v>
      </c>
      <c r="F1058" s="11">
        <f t="shared" si="66"/>
        <v>148.0231284063702</v>
      </c>
      <c r="G1058" s="11">
        <f t="shared" si="67"/>
        <v>139.5168795936298</v>
      </c>
    </row>
    <row r="1059" spans="1:7" x14ac:dyDescent="0.25">
      <c r="A1059" s="24">
        <v>41257</v>
      </c>
      <c r="B1059" s="25">
        <v>142.10000600000001</v>
      </c>
      <c r="C1059" s="11">
        <f t="shared" si="64"/>
        <v>144.06499862500002</v>
      </c>
      <c r="D1059" s="11">
        <f t="shared" si="65"/>
        <v>1.9919092007460175</v>
      </c>
      <c r="E1059" s="25">
        <v>142.10000600000001</v>
      </c>
      <c r="F1059" s="11">
        <f t="shared" si="66"/>
        <v>146.08382440149205</v>
      </c>
      <c r="G1059" s="11">
        <f t="shared" si="67"/>
        <v>138.11618759850796</v>
      </c>
    </row>
    <row r="1060" spans="1:7" x14ac:dyDescent="0.25">
      <c r="A1060" s="24">
        <v>41256</v>
      </c>
      <c r="B1060" s="25">
        <v>142.63000500000001</v>
      </c>
      <c r="C1060" s="11">
        <f t="shared" si="64"/>
        <v>143.826249125</v>
      </c>
      <c r="D1060" s="11">
        <f t="shared" si="65"/>
        <v>1.9836613641664342</v>
      </c>
      <c r="E1060" s="25">
        <v>142.63000500000001</v>
      </c>
      <c r="F1060" s="11">
        <f t="shared" si="66"/>
        <v>146.59732772833289</v>
      </c>
      <c r="G1060" s="11">
        <f t="shared" si="67"/>
        <v>138.66268227166714</v>
      </c>
    </row>
    <row r="1061" spans="1:7" x14ac:dyDescent="0.25">
      <c r="A1061" s="24">
        <v>41255</v>
      </c>
      <c r="B1061" s="25">
        <v>143.509995</v>
      </c>
      <c r="C1061" s="11">
        <f t="shared" si="64"/>
        <v>143.64374925000001</v>
      </c>
      <c r="D1061" s="11">
        <f t="shared" si="65"/>
        <v>1.9485115589481592</v>
      </c>
      <c r="E1061" s="25">
        <v>143.509995</v>
      </c>
      <c r="F1061" s="11">
        <f t="shared" si="66"/>
        <v>147.40701811789631</v>
      </c>
      <c r="G1061" s="11">
        <f t="shared" si="67"/>
        <v>139.61297188210369</v>
      </c>
    </row>
    <row r="1062" spans="1:7" x14ac:dyDescent="0.25">
      <c r="A1062" s="24">
        <v>41254</v>
      </c>
      <c r="B1062" s="25">
        <v>143.44000199999999</v>
      </c>
      <c r="C1062" s="11">
        <f t="shared" si="64"/>
        <v>143.489998875</v>
      </c>
      <c r="D1062" s="11">
        <f t="shared" si="65"/>
        <v>1.8471360819808154</v>
      </c>
      <c r="E1062" s="25">
        <v>143.44000199999999</v>
      </c>
      <c r="F1062" s="11">
        <f t="shared" si="66"/>
        <v>147.13427416396163</v>
      </c>
      <c r="G1062" s="11">
        <f t="shared" si="67"/>
        <v>139.74572983603835</v>
      </c>
    </row>
    <row r="1063" spans="1:7" x14ac:dyDescent="0.25">
      <c r="A1063" s="24">
        <v>41253</v>
      </c>
      <c r="B1063" s="25">
        <v>142.470001</v>
      </c>
      <c r="C1063" s="11">
        <f t="shared" si="64"/>
        <v>143.30687431249999</v>
      </c>
      <c r="D1063" s="11">
        <f t="shared" si="65"/>
        <v>1.6802825933271526</v>
      </c>
      <c r="E1063" s="25">
        <v>142.470001</v>
      </c>
      <c r="F1063" s="11">
        <f t="shared" si="66"/>
        <v>145.83056618665429</v>
      </c>
      <c r="G1063" s="11">
        <f t="shared" si="67"/>
        <v>139.1094358133457</v>
      </c>
    </row>
    <row r="1064" spans="1:7" x14ac:dyDescent="0.25">
      <c r="A1064" s="24">
        <v>41250</v>
      </c>
      <c r="B1064" s="25">
        <v>142.41000399999999</v>
      </c>
      <c r="C1064" s="11">
        <f t="shared" si="64"/>
        <v>143.10312462499999</v>
      </c>
      <c r="D1064" s="11">
        <f t="shared" si="65"/>
        <v>1.5602320162465937</v>
      </c>
      <c r="E1064" s="25">
        <v>142.41000399999999</v>
      </c>
      <c r="F1064" s="11">
        <f t="shared" si="66"/>
        <v>145.53046803249316</v>
      </c>
      <c r="G1064" s="11">
        <f t="shared" si="67"/>
        <v>139.28953996750681</v>
      </c>
    </row>
    <row r="1065" spans="1:7" x14ac:dyDescent="0.25">
      <c r="A1065" s="24">
        <v>41249</v>
      </c>
      <c r="B1065" s="25">
        <v>141.979996</v>
      </c>
      <c r="C1065" s="11">
        <f t="shared" si="64"/>
        <v>142.87499999999997</v>
      </c>
      <c r="D1065" s="11">
        <f t="shared" si="65"/>
        <v>1.3520237103524448</v>
      </c>
      <c r="E1065" s="25">
        <v>141.979996</v>
      </c>
      <c r="F1065" s="11">
        <f t="shared" si="66"/>
        <v>144.68404342070488</v>
      </c>
      <c r="G1065" s="11">
        <f t="shared" si="67"/>
        <v>139.27594857929512</v>
      </c>
    </row>
    <row r="1066" spans="1:7" x14ac:dyDescent="0.25">
      <c r="A1066" s="24">
        <v>41248</v>
      </c>
      <c r="B1066" s="25">
        <v>141.5</v>
      </c>
      <c r="C1066" s="11">
        <f t="shared" si="64"/>
        <v>142.84812449999998</v>
      </c>
      <c r="D1066" s="11">
        <f t="shared" si="65"/>
        <v>1.3660838407731755</v>
      </c>
      <c r="E1066" s="25">
        <v>141.5</v>
      </c>
      <c r="F1066" s="11">
        <f t="shared" si="66"/>
        <v>144.23216768154634</v>
      </c>
      <c r="G1066" s="11">
        <f t="shared" si="67"/>
        <v>138.76783231845366</v>
      </c>
    </row>
    <row r="1067" spans="1:7" x14ac:dyDescent="0.25">
      <c r="A1067" s="24">
        <v>41247</v>
      </c>
      <c r="B1067" s="25">
        <v>141.25</v>
      </c>
      <c r="C1067" s="11">
        <f t="shared" si="64"/>
        <v>142.93999956249999</v>
      </c>
      <c r="D1067" s="11">
        <f t="shared" si="65"/>
        <v>1.2036978524619824</v>
      </c>
      <c r="E1067" s="25">
        <v>141.25</v>
      </c>
      <c r="F1067" s="11">
        <f t="shared" si="66"/>
        <v>143.65739570492397</v>
      </c>
      <c r="G1067" s="11">
        <f t="shared" si="67"/>
        <v>138.84260429507603</v>
      </c>
    </row>
    <row r="1068" spans="1:7" x14ac:dyDescent="0.25">
      <c r="A1068" s="24">
        <v>41246</v>
      </c>
      <c r="B1068" s="25">
        <v>141.449997</v>
      </c>
      <c r="C1068" s="11">
        <f t="shared" si="64"/>
        <v>142.92062468749998</v>
      </c>
      <c r="D1068" s="11">
        <f t="shared" si="65"/>
        <v>1.2296074125934491</v>
      </c>
      <c r="E1068" s="25">
        <v>141.449997</v>
      </c>
      <c r="F1068" s="11">
        <f t="shared" si="66"/>
        <v>143.9092118251869</v>
      </c>
      <c r="G1068" s="11">
        <f t="shared" si="67"/>
        <v>138.99078217481309</v>
      </c>
    </row>
    <row r="1069" spans="1:7" x14ac:dyDescent="0.25">
      <c r="A1069" s="24">
        <v>41243</v>
      </c>
      <c r="B1069" s="25">
        <v>142.14999399999999</v>
      </c>
      <c r="C1069" s="11">
        <f t="shared" si="64"/>
        <v>142.90187449999999</v>
      </c>
      <c r="D1069" s="11">
        <f t="shared" si="65"/>
        <v>1.2507537556830259</v>
      </c>
      <c r="E1069" s="25">
        <v>142.14999399999999</v>
      </c>
      <c r="F1069" s="11">
        <f t="shared" si="66"/>
        <v>144.65150151136604</v>
      </c>
      <c r="G1069" s="11">
        <f t="shared" si="67"/>
        <v>139.64848648863395</v>
      </c>
    </row>
    <row r="1070" spans="1:7" x14ac:dyDescent="0.25">
      <c r="A1070" s="24">
        <v>41242</v>
      </c>
      <c r="B1070" s="25">
        <v>142.11999499999999</v>
      </c>
      <c r="C1070" s="11">
        <f t="shared" si="64"/>
        <v>142.88937375</v>
      </c>
      <c r="D1070" s="11">
        <f t="shared" si="65"/>
        <v>1.2576178408750127</v>
      </c>
      <c r="E1070" s="25">
        <v>142.11999499999999</v>
      </c>
      <c r="F1070" s="11">
        <f t="shared" si="66"/>
        <v>144.63523068175002</v>
      </c>
      <c r="G1070" s="11">
        <f t="shared" si="67"/>
        <v>139.60475931824996</v>
      </c>
    </row>
    <row r="1071" spans="1:7" x14ac:dyDescent="0.25">
      <c r="A1071" s="24">
        <v>41241</v>
      </c>
      <c r="B1071" s="25">
        <v>141.46000699999999</v>
      </c>
      <c r="C1071" s="11">
        <f t="shared" si="64"/>
        <v>142.84749887499999</v>
      </c>
      <c r="D1071" s="11">
        <f t="shared" si="65"/>
        <v>1.2722172390564881</v>
      </c>
      <c r="E1071" s="25">
        <v>141.46000699999999</v>
      </c>
      <c r="F1071" s="11">
        <f t="shared" si="66"/>
        <v>144.00444147811297</v>
      </c>
      <c r="G1071" s="11">
        <f t="shared" si="67"/>
        <v>138.91557252188701</v>
      </c>
    </row>
    <row r="1072" spans="1:7" x14ac:dyDescent="0.25">
      <c r="A1072" s="24">
        <v>41240</v>
      </c>
      <c r="B1072" s="25">
        <v>140.33000200000001</v>
      </c>
      <c r="C1072" s="11">
        <f t="shared" si="64"/>
        <v>142.61874962499999</v>
      </c>
      <c r="D1072" s="11">
        <f t="shared" si="65"/>
        <v>1.1605092590562636</v>
      </c>
      <c r="E1072" s="25">
        <v>140.33000200000001</v>
      </c>
      <c r="F1072" s="11">
        <f t="shared" si="66"/>
        <v>142.65102051811255</v>
      </c>
      <c r="G1072" s="11">
        <f t="shared" si="67"/>
        <v>138.00898348188747</v>
      </c>
    </row>
    <row r="1073" spans="1:7" x14ac:dyDescent="0.25">
      <c r="A1073" s="24">
        <v>41239</v>
      </c>
      <c r="B1073" s="25">
        <v>141.050003</v>
      </c>
      <c r="C1073" s="11">
        <f t="shared" si="64"/>
        <v>142.37125018750001</v>
      </c>
      <c r="D1073" s="11">
        <f t="shared" si="65"/>
        <v>1.201858056865462</v>
      </c>
      <c r="E1073" s="25">
        <v>141.050003</v>
      </c>
      <c r="F1073" s="11">
        <f t="shared" si="66"/>
        <v>143.45371911373093</v>
      </c>
      <c r="G1073" s="11">
        <f t="shared" si="67"/>
        <v>138.64628688626908</v>
      </c>
    </row>
    <row r="1074" spans="1:7" x14ac:dyDescent="0.25">
      <c r="A1074" s="24">
        <v>41236</v>
      </c>
      <c r="B1074" s="25">
        <v>141.35000600000001</v>
      </c>
      <c r="C1074" s="11">
        <f t="shared" si="64"/>
        <v>142.10125068749997</v>
      </c>
      <c r="D1074" s="11">
        <f t="shared" si="65"/>
        <v>0.93999183800582053</v>
      </c>
      <c r="E1074" s="25">
        <v>141.35000600000001</v>
      </c>
      <c r="F1074" s="11">
        <f t="shared" si="66"/>
        <v>143.22998967601166</v>
      </c>
      <c r="G1074" s="11">
        <f t="shared" si="67"/>
        <v>139.47002232398836</v>
      </c>
    </row>
    <row r="1075" spans="1:7" x14ac:dyDescent="0.25">
      <c r="A1075" s="24">
        <v>41234</v>
      </c>
      <c r="B1075" s="25">
        <v>139.449997</v>
      </c>
      <c r="C1075" s="11">
        <f t="shared" si="64"/>
        <v>141.95000081249998</v>
      </c>
      <c r="D1075" s="11">
        <f t="shared" si="65"/>
        <v>0.84330209692930302</v>
      </c>
      <c r="E1075" s="25">
        <v>139.449997</v>
      </c>
      <c r="F1075" s="11">
        <f t="shared" si="66"/>
        <v>141.13660119385861</v>
      </c>
      <c r="G1075" s="11">
        <f t="shared" si="67"/>
        <v>137.76339280614138</v>
      </c>
    </row>
    <row r="1076" spans="1:7" x14ac:dyDescent="0.25">
      <c r="A1076" s="24">
        <v>41233</v>
      </c>
      <c r="B1076" s="25">
        <v>139.19000199999999</v>
      </c>
      <c r="C1076" s="11">
        <f t="shared" si="64"/>
        <v>141.78437524999998</v>
      </c>
      <c r="D1076" s="11">
        <f t="shared" si="65"/>
        <v>1.0474090151500182</v>
      </c>
      <c r="E1076" s="25">
        <v>139.19000199999999</v>
      </c>
      <c r="F1076" s="11">
        <f t="shared" si="66"/>
        <v>141.28482003030004</v>
      </c>
      <c r="G1076" s="11">
        <f t="shared" si="67"/>
        <v>137.09518396969995</v>
      </c>
    </row>
    <row r="1077" spans="1:7" x14ac:dyDescent="0.25">
      <c r="A1077" s="24">
        <v>41232</v>
      </c>
      <c r="B1077" s="25">
        <v>139.13000500000001</v>
      </c>
      <c r="C1077" s="11">
        <f t="shared" si="64"/>
        <v>141.56937506249997</v>
      </c>
      <c r="D1077" s="11">
        <f t="shared" si="65"/>
        <v>1.203662917140645</v>
      </c>
      <c r="E1077" s="25">
        <v>139.13000500000001</v>
      </c>
      <c r="F1077" s="11">
        <f t="shared" si="66"/>
        <v>141.53733083428131</v>
      </c>
      <c r="G1077" s="11">
        <f t="shared" si="67"/>
        <v>136.72267916571872</v>
      </c>
    </row>
    <row r="1078" spans="1:7" x14ac:dyDescent="0.25">
      <c r="A1078" s="24">
        <v>41229</v>
      </c>
      <c r="B1078" s="25">
        <v>136.36999499999999</v>
      </c>
      <c r="C1078" s="11">
        <f t="shared" si="64"/>
        <v>141.29562568749998</v>
      </c>
      <c r="D1078" s="11">
        <f t="shared" si="65"/>
        <v>1.230652057690971</v>
      </c>
      <c r="E1078" s="25">
        <v>136.36999499999999</v>
      </c>
      <c r="F1078" s="11">
        <f t="shared" si="66"/>
        <v>138.83129911538194</v>
      </c>
      <c r="G1078" s="11">
        <f t="shared" si="67"/>
        <v>133.90869088461804</v>
      </c>
    </row>
    <row r="1079" spans="1:7" x14ac:dyDescent="0.25">
      <c r="A1079" s="24">
        <v>41228</v>
      </c>
      <c r="B1079" s="25">
        <v>135.699997</v>
      </c>
      <c r="C1079" s="11">
        <f t="shared" si="64"/>
        <v>140.85375024999999</v>
      </c>
      <c r="D1079" s="11">
        <f t="shared" si="65"/>
        <v>1.617755498012869</v>
      </c>
      <c r="E1079" s="25">
        <v>135.699997</v>
      </c>
      <c r="F1079" s="11">
        <f t="shared" si="66"/>
        <v>138.93550799602573</v>
      </c>
      <c r="G1079" s="11">
        <f t="shared" si="67"/>
        <v>132.46448600397426</v>
      </c>
    </row>
    <row r="1080" spans="1:7" x14ac:dyDescent="0.25">
      <c r="A1080" s="24">
        <v>41227</v>
      </c>
      <c r="B1080" s="25">
        <v>135.929993</v>
      </c>
      <c r="C1080" s="11">
        <f t="shared" si="64"/>
        <v>140.43062500000002</v>
      </c>
      <c r="D1080" s="11">
        <f t="shared" si="65"/>
        <v>2.0056809186287499</v>
      </c>
      <c r="E1080" s="25">
        <v>135.929993</v>
      </c>
      <c r="F1080" s="11">
        <f t="shared" si="66"/>
        <v>139.94135483725751</v>
      </c>
      <c r="G1080" s="11">
        <f t="shared" si="67"/>
        <v>131.91863116274249</v>
      </c>
    </row>
    <row r="1081" spans="1:7" x14ac:dyDescent="0.25">
      <c r="A1081" s="24">
        <v>41226</v>
      </c>
      <c r="B1081" s="25">
        <v>137.78999300000001</v>
      </c>
      <c r="C1081" s="11">
        <f t="shared" si="64"/>
        <v>140.02562431250001</v>
      </c>
      <c r="D1081" s="11">
        <f t="shared" si="65"/>
        <v>2.2219312541727825</v>
      </c>
      <c r="E1081" s="25">
        <v>137.78999300000001</v>
      </c>
      <c r="F1081" s="11">
        <f t="shared" si="66"/>
        <v>142.23385550834558</v>
      </c>
      <c r="G1081" s="11">
        <f t="shared" si="67"/>
        <v>133.34613049165443</v>
      </c>
    </row>
    <row r="1082" spans="1:7" x14ac:dyDescent="0.25">
      <c r="A1082" s="24">
        <v>41225</v>
      </c>
      <c r="B1082" s="25">
        <v>138.270004</v>
      </c>
      <c r="C1082" s="11">
        <f t="shared" si="64"/>
        <v>139.763749125</v>
      </c>
      <c r="D1082" s="11">
        <f t="shared" si="65"/>
        <v>2.2231493925709049</v>
      </c>
      <c r="E1082" s="25">
        <v>138.270004</v>
      </c>
      <c r="F1082" s="11">
        <f t="shared" si="66"/>
        <v>142.71630278514181</v>
      </c>
      <c r="G1082" s="11">
        <f t="shared" si="67"/>
        <v>133.82370521485819</v>
      </c>
    </row>
    <row r="1083" spans="1:7" x14ac:dyDescent="0.25">
      <c r="A1083" s="24">
        <v>41222</v>
      </c>
      <c r="B1083" s="25">
        <v>138.16000399999999</v>
      </c>
      <c r="C1083" s="11">
        <f t="shared" si="64"/>
        <v>139.56187437499997</v>
      </c>
      <c r="D1083" s="11">
        <f t="shared" si="65"/>
        <v>2.2015229741832165</v>
      </c>
      <c r="E1083" s="25">
        <v>138.16000399999999</v>
      </c>
      <c r="F1083" s="11">
        <f t="shared" si="66"/>
        <v>142.56304994836643</v>
      </c>
      <c r="G1083" s="11">
        <f t="shared" si="67"/>
        <v>133.75695805163355</v>
      </c>
    </row>
    <row r="1084" spans="1:7" x14ac:dyDescent="0.25">
      <c r="A1084" s="24">
        <v>41221</v>
      </c>
      <c r="B1084" s="25">
        <v>138.03999300000001</v>
      </c>
      <c r="C1084" s="11">
        <f t="shared" si="64"/>
        <v>139.36874962499999</v>
      </c>
      <c r="D1084" s="11">
        <f t="shared" si="65"/>
        <v>2.17897940644036</v>
      </c>
      <c r="E1084" s="25">
        <v>138.03999300000001</v>
      </c>
      <c r="F1084" s="11">
        <f t="shared" si="66"/>
        <v>142.39795181288073</v>
      </c>
      <c r="G1084" s="11">
        <f t="shared" si="67"/>
        <v>133.68203418711929</v>
      </c>
    </row>
    <row r="1085" spans="1:7" x14ac:dyDescent="0.25">
      <c r="A1085" s="24">
        <v>41220</v>
      </c>
      <c r="B1085" s="25">
        <v>139.720001</v>
      </c>
      <c r="C1085" s="11">
        <f t="shared" si="64"/>
        <v>139.155624375</v>
      </c>
      <c r="D1085" s="11">
        <f t="shared" si="65"/>
        <v>2.1280118167419988</v>
      </c>
      <c r="E1085" s="25">
        <v>139.720001</v>
      </c>
      <c r="F1085" s="11">
        <f t="shared" si="66"/>
        <v>143.976024633484</v>
      </c>
      <c r="G1085" s="11">
        <f t="shared" si="67"/>
        <v>135.46397736651599</v>
      </c>
    </row>
    <row r="1086" spans="1:7" x14ac:dyDescent="0.25">
      <c r="A1086" s="24">
        <v>41219</v>
      </c>
      <c r="B1086" s="25">
        <v>142.96000699999999</v>
      </c>
      <c r="C1086" s="11">
        <f t="shared" si="64"/>
        <v>139.00374981250002</v>
      </c>
      <c r="D1086" s="11">
        <f t="shared" si="65"/>
        <v>1.9817455568744518</v>
      </c>
      <c r="E1086" s="25">
        <v>142.96000699999999</v>
      </c>
      <c r="F1086" s="11">
        <f t="shared" si="66"/>
        <v>146.92349811374891</v>
      </c>
      <c r="G1086" s="11">
        <f t="shared" si="67"/>
        <v>138.99651588625107</v>
      </c>
    </row>
    <row r="1087" spans="1:7" x14ac:dyDescent="0.25">
      <c r="A1087" s="24">
        <v>41218</v>
      </c>
      <c r="B1087" s="25">
        <v>141.85000600000001</v>
      </c>
      <c r="C1087" s="11">
        <f t="shared" si="64"/>
        <v>139.05625056250003</v>
      </c>
      <c r="D1087" s="11">
        <f t="shared" si="65"/>
        <v>2.0785670927812103</v>
      </c>
      <c r="E1087" s="25">
        <v>141.85000600000001</v>
      </c>
      <c r="F1087" s="11">
        <f t="shared" si="66"/>
        <v>146.00714018556243</v>
      </c>
      <c r="G1087" s="11">
        <f t="shared" si="67"/>
        <v>137.69287181443758</v>
      </c>
    </row>
    <row r="1088" spans="1:7" x14ac:dyDescent="0.25">
      <c r="A1088" s="24">
        <v>41215</v>
      </c>
      <c r="B1088" s="25">
        <v>141.55999800000001</v>
      </c>
      <c r="C1088" s="11">
        <f t="shared" si="64"/>
        <v>139.08062550000002</v>
      </c>
      <c r="D1088" s="11">
        <f t="shared" si="65"/>
        <v>2.1106734410353822</v>
      </c>
      <c r="E1088" s="25">
        <v>141.55999800000001</v>
      </c>
      <c r="F1088" s="11">
        <f t="shared" si="66"/>
        <v>145.78134488207078</v>
      </c>
      <c r="G1088" s="11">
        <f t="shared" si="67"/>
        <v>137.33865111792923</v>
      </c>
    </row>
    <row r="1089" spans="1:7" x14ac:dyDescent="0.25">
      <c r="A1089" s="24">
        <v>41214</v>
      </c>
      <c r="B1089" s="25">
        <v>142.83000200000001</v>
      </c>
      <c r="C1089" s="11">
        <f t="shared" si="64"/>
        <v>139.15750025</v>
      </c>
      <c r="D1089" s="11">
        <f t="shared" si="65"/>
        <v>2.1804575412878395</v>
      </c>
      <c r="E1089" s="25">
        <v>142.83000200000001</v>
      </c>
      <c r="F1089" s="11">
        <f t="shared" si="66"/>
        <v>147.19091708257568</v>
      </c>
      <c r="G1089" s="11">
        <f t="shared" si="67"/>
        <v>138.46908691742433</v>
      </c>
    </row>
    <row r="1090" spans="1:7" x14ac:dyDescent="0.25">
      <c r="A1090" s="24">
        <v>41213</v>
      </c>
      <c r="B1090" s="25">
        <v>141.35000600000001</v>
      </c>
      <c r="C1090" s="11">
        <f t="shared" si="64"/>
        <v>139.26875018750002</v>
      </c>
      <c r="D1090" s="11">
        <f t="shared" si="65"/>
        <v>2.3241285679852939</v>
      </c>
      <c r="E1090" s="25">
        <v>141.35000600000001</v>
      </c>
      <c r="F1090" s="11">
        <f t="shared" si="66"/>
        <v>145.9982631359706</v>
      </c>
      <c r="G1090" s="11">
        <f t="shared" si="67"/>
        <v>136.70174886402941</v>
      </c>
    </row>
    <row r="1091" spans="1:7" x14ac:dyDescent="0.25">
      <c r="A1091" s="24">
        <v>41208</v>
      </c>
      <c r="B1091" s="25">
        <v>141.35000600000001</v>
      </c>
      <c r="C1091" s="11">
        <f t="shared" si="64"/>
        <v>139.26875018749999</v>
      </c>
      <c r="D1091" s="11">
        <f t="shared" si="65"/>
        <v>2.3241285679852939</v>
      </c>
      <c r="E1091" s="25">
        <v>141.35000600000001</v>
      </c>
      <c r="F1091" s="11">
        <f t="shared" si="66"/>
        <v>145.9982631359706</v>
      </c>
      <c r="G1091" s="11">
        <f t="shared" si="67"/>
        <v>136.70174886402941</v>
      </c>
    </row>
    <row r="1092" spans="1:7" x14ac:dyDescent="0.25">
      <c r="A1092" s="24">
        <v>41207</v>
      </c>
      <c r="B1092" s="25">
        <v>141.429993</v>
      </c>
      <c r="C1092" s="11">
        <f t="shared" si="64"/>
        <v>139.38750074999999</v>
      </c>
      <c r="D1092" s="11">
        <f t="shared" si="65"/>
        <v>2.3818305596102505</v>
      </c>
      <c r="E1092" s="25">
        <v>141.429993</v>
      </c>
      <c r="F1092" s="11">
        <f t="shared" si="66"/>
        <v>146.1936541192205</v>
      </c>
      <c r="G1092" s="11">
        <f t="shared" si="67"/>
        <v>136.6663318807795</v>
      </c>
    </row>
    <row r="1093" spans="1:7" x14ac:dyDescent="0.25">
      <c r="A1093" s="24">
        <v>41206</v>
      </c>
      <c r="B1093" s="25">
        <v>141.020004</v>
      </c>
      <c r="C1093" s="11">
        <f t="shared" si="64"/>
        <v>139.52750018750001</v>
      </c>
      <c r="D1093" s="11">
        <f t="shared" si="65"/>
        <v>2.4346926373494271</v>
      </c>
      <c r="E1093" s="25">
        <v>141.020004</v>
      </c>
      <c r="F1093" s="11">
        <f t="shared" si="66"/>
        <v>145.88938927469886</v>
      </c>
      <c r="G1093" s="11">
        <f t="shared" si="67"/>
        <v>136.15061872530114</v>
      </c>
    </row>
    <row r="1094" spans="1:7" x14ac:dyDescent="0.25">
      <c r="A1094" s="24">
        <v>41205</v>
      </c>
      <c r="B1094" s="25">
        <v>141.41999799999999</v>
      </c>
      <c r="C1094" s="11">
        <f t="shared" si="64"/>
        <v>139.64562512500001</v>
      </c>
      <c r="D1094" s="11">
        <f t="shared" si="65"/>
        <v>2.4598405472434446</v>
      </c>
      <c r="E1094" s="25">
        <v>141.41999799999999</v>
      </c>
      <c r="F1094" s="11">
        <f t="shared" si="66"/>
        <v>146.33967909448688</v>
      </c>
      <c r="G1094" s="11">
        <f t="shared" si="67"/>
        <v>136.5003169055131</v>
      </c>
    </row>
    <row r="1095" spans="1:7" x14ac:dyDescent="0.25">
      <c r="A1095" s="24">
        <v>41204</v>
      </c>
      <c r="B1095" s="25">
        <v>143.41000399999999</v>
      </c>
      <c r="C1095" s="11">
        <f t="shared" si="64"/>
        <v>139.9612503125</v>
      </c>
      <c r="D1095" s="11">
        <f t="shared" si="65"/>
        <v>2.3321945460291476</v>
      </c>
      <c r="E1095" s="25">
        <v>143.41000399999999</v>
      </c>
      <c r="F1095" s="11">
        <f t="shared" si="66"/>
        <v>148.07439309205827</v>
      </c>
      <c r="G1095" s="11">
        <f t="shared" si="67"/>
        <v>138.7456149079417</v>
      </c>
    </row>
    <row r="1096" spans="1:7" x14ac:dyDescent="0.25">
      <c r="A1096" s="24">
        <v>41201</v>
      </c>
      <c r="B1096" s="25">
        <v>143.38999899999999</v>
      </c>
      <c r="C1096" s="11">
        <f t="shared" si="64"/>
        <v>140.44312575000001</v>
      </c>
      <c r="D1096" s="11">
        <f t="shared" si="65"/>
        <v>2.1849077816606806</v>
      </c>
      <c r="E1096" s="25">
        <v>143.38999899999999</v>
      </c>
      <c r="F1096" s="11">
        <f t="shared" si="66"/>
        <v>147.75981456332136</v>
      </c>
      <c r="G1096" s="11">
        <f t="shared" si="67"/>
        <v>139.02018343667862</v>
      </c>
    </row>
    <row r="1097" spans="1:7" x14ac:dyDescent="0.25">
      <c r="A1097" s="24">
        <v>41200</v>
      </c>
      <c r="B1097" s="25">
        <v>145.820007</v>
      </c>
      <c r="C1097" s="11">
        <f t="shared" si="64"/>
        <v>140.90937612499999</v>
      </c>
      <c r="D1097" s="11">
        <f t="shared" si="65"/>
        <v>1.9398418209201425</v>
      </c>
      <c r="E1097" s="25">
        <v>145.820007</v>
      </c>
      <c r="F1097" s="11">
        <f t="shared" si="66"/>
        <v>149.69969064184028</v>
      </c>
      <c r="G1097" s="11">
        <f t="shared" si="67"/>
        <v>141.94032335815973</v>
      </c>
    </row>
    <row r="1098" spans="1:7" x14ac:dyDescent="0.25">
      <c r="A1098" s="24">
        <v>41199</v>
      </c>
      <c r="B1098" s="25">
        <v>146.199997</v>
      </c>
      <c r="C1098" s="11">
        <f t="shared" si="64"/>
        <v>141.41125200000002</v>
      </c>
      <c r="D1098" s="11">
        <f t="shared" si="65"/>
        <v>2.1102680486977317</v>
      </c>
      <c r="E1098" s="25">
        <v>146.199997</v>
      </c>
      <c r="F1098" s="11">
        <f t="shared" si="66"/>
        <v>150.42053309739546</v>
      </c>
      <c r="G1098" s="11">
        <f t="shared" si="67"/>
        <v>141.97946090260453</v>
      </c>
    </row>
    <row r="1099" spans="1:7" x14ac:dyDescent="0.25">
      <c r="A1099" s="24">
        <v>41198</v>
      </c>
      <c r="B1099" s="25">
        <v>145.53999300000001</v>
      </c>
      <c r="C1099" s="11">
        <f t="shared" si="64"/>
        <v>141.90687656250003</v>
      </c>
      <c r="D1099" s="11">
        <f t="shared" si="65"/>
        <v>2.249930501542746</v>
      </c>
      <c r="E1099" s="25">
        <v>145.53999300000001</v>
      </c>
      <c r="F1099" s="11">
        <f t="shared" si="66"/>
        <v>150.03985400308551</v>
      </c>
      <c r="G1099" s="11">
        <f t="shared" si="67"/>
        <v>141.04013199691451</v>
      </c>
    </row>
    <row r="1100" spans="1:7" x14ac:dyDescent="0.25">
      <c r="A1100" s="24">
        <v>41197</v>
      </c>
      <c r="B1100" s="25">
        <v>144.08000200000001</v>
      </c>
      <c r="C1100" s="11">
        <f t="shared" si="64"/>
        <v>142.368125875</v>
      </c>
      <c r="D1100" s="11">
        <f t="shared" si="65"/>
        <v>2.186157589972197</v>
      </c>
      <c r="E1100" s="25">
        <v>144.08000200000001</v>
      </c>
      <c r="F1100" s="11">
        <f t="shared" si="66"/>
        <v>148.4523171799444</v>
      </c>
      <c r="G1100" s="11">
        <f t="shared" si="67"/>
        <v>139.70768682005561</v>
      </c>
    </row>
    <row r="1101" spans="1:7" x14ac:dyDescent="0.25">
      <c r="A1101" s="24">
        <v>41194</v>
      </c>
      <c r="B1101" s="25">
        <v>142.88999899999999</v>
      </c>
      <c r="C1101" s="11">
        <f t="shared" si="64"/>
        <v>142.74562643750002</v>
      </c>
      <c r="D1101" s="11">
        <f t="shared" si="65"/>
        <v>1.8904488710635181</v>
      </c>
      <c r="E1101" s="25">
        <v>142.88999899999999</v>
      </c>
      <c r="F1101" s="11">
        <f t="shared" si="66"/>
        <v>146.67089674212701</v>
      </c>
      <c r="G1101" s="11">
        <f t="shared" si="67"/>
        <v>139.10910125787296</v>
      </c>
    </row>
    <row r="1102" spans="1:7" x14ac:dyDescent="0.25">
      <c r="A1102" s="24">
        <v>41193</v>
      </c>
      <c r="B1102" s="25">
        <v>143.36000100000001</v>
      </c>
      <c r="C1102" s="11">
        <f t="shared" si="64"/>
        <v>142.94375131250001</v>
      </c>
      <c r="D1102" s="11">
        <f t="shared" si="65"/>
        <v>1.7096848189619713</v>
      </c>
      <c r="E1102" s="25">
        <v>143.36000100000001</v>
      </c>
      <c r="F1102" s="11">
        <f t="shared" si="66"/>
        <v>146.77937063792396</v>
      </c>
      <c r="G1102" s="11">
        <f t="shared" si="67"/>
        <v>139.94063136207606</v>
      </c>
    </row>
    <row r="1103" spans="1:7" x14ac:dyDescent="0.25">
      <c r="A1103" s="24">
        <v>41192</v>
      </c>
      <c r="B1103" s="25">
        <v>143.279999</v>
      </c>
      <c r="C1103" s="11">
        <f t="shared" si="64"/>
        <v>142.9687509375</v>
      </c>
      <c r="D1103" s="11">
        <f t="shared" si="65"/>
        <v>1.7128598416644396</v>
      </c>
      <c r="E1103" s="25">
        <v>143.279999</v>
      </c>
      <c r="F1103" s="11">
        <f t="shared" si="66"/>
        <v>146.70571868332888</v>
      </c>
      <c r="G1103" s="11">
        <f t="shared" si="67"/>
        <v>139.85427931667112</v>
      </c>
    </row>
    <row r="1104" spans="1:7" x14ac:dyDescent="0.25">
      <c r="A1104" s="24">
        <v>41191</v>
      </c>
      <c r="B1104" s="25">
        <v>144.199997</v>
      </c>
      <c r="C1104" s="11">
        <f t="shared" si="64"/>
        <v>143.05812549999999</v>
      </c>
      <c r="D1104" s="11">
        <f t="shared" si="65"/>
        <v>1.6877166563195378</v>
      </c>
      <c r="E1104" s="25">
        <v>144.199997</v>
      </c>
      <c r="F1104" s="11">
        <f t="shared" si="66"/>
        <v>147.57543031263907</v>
      </c>
      <c r="G1104" s="11">
        <f t="shared" si="67"/>
        <v>140.82456368736092</v>
      </c>
    </row>
    <row r="1105" spans="1:7" x14ac:dyDescent="0.25">
      <c r="A1105" s="24">
        <v>41190</v>
      </c>
      <c r="B1105" s="25">
        <v>145.63999899999999</v>
      </c>
      <c r="C1105" s="11">
        <f t="shared" si="64"/>
        <v>143.22312543749999</v>
      </c>
      <c r="D1105" s="11">
        <f t="shared" si="65"/>
        <v>1.6603151814546531</v>
      </c>
      <c r="E1105" s="25">
        <v>145.63999899999999</v>
      </c>
      <c r="F1105" s="11">
        <f t="shared" si="66"/>
        <v>148.96062936290929</v>
      </c>
      <c r="G1105" s="11">
        <f t="shared" si="67"/>
        <v>142.31936863709069</v>
      </c>
    </row>
    <row r="1106" spans="1:7" x14ac:dyDescent="0.25">
      <c r="A1106" s="24">
        <v>41187</v>
      </c>
      <c r="B1106" s="25">
        <v>146.13999899999999</v>
      </c>
      <c r="C1106" s="11">
        <f t="shared" si="64"/>
        <v>143.39875025000001</v>
      </c>
      <c r="D1106" s="11">
        <f t="shared" si="65"/>
        <v>1.7614941405954394</v>
      </c>
      <c r="E1106" s="25">
        <v>146.13999899999999</v>
      </c>
      <c r="F1106" s="11">
        <f t="shared" si="66"/>
        <v>149.66298728119088</v>
      </c>
      <c r="G1106" s="11">
        <f t="shared" si="67"/>
        <v>142.6170107188091</v>
      </c>
    </row>
    <row r="1107" spans="1:7" x14ac:dyDescent="0.25">
      <c r="A1107" s="24">
        <v>41186</v>
      </c>
      <c r="B1107" s="25">
        <v>146.13000500000001</v>
      </c>
      <c r="C1107" s="11">
        <f t="shared" si="64"/>
        <v>143.6981248125</v>
      </c>
      <c r="D1107" s="11">
        <f t="shared" si="65"/>
        <v>1.796775143769088</v>
      </c>
      <c r="E1107" s="25">
        <v>146.13000500000001</v>
      </c>
      <c r="F1107" s="11">
        <f t="shared" si="66"/>
        <v>149.72355528753818</v>
      </c>
      <c r="G1107" s="11">
        <f t="shared" si="67"/>
        <v>142.53645471246185</v>
      </c>
    </row>
    <row r="1108" spans="1:7" x14ac:dyDescent="0.25">
      <c r="A1108" s="24">
        <v>41185</v>
      </c>
      <c r="B1108" s="25">
        <v>145.08999600000001</v>
      </c>
      <c r="C1108" s="11">
        <f t="shared" ref="C1108:C1171" si="68">AVERAGE(B1092:B1107)</f>
        <v>143.99687475000002</v>
      </c>
      <c r="D1108" s="11">
        <f t="shared" ref="D1108:D1171" si="69">_xlfn.STDEV.S(B1092:B1107)</f>
        <v>1.7776082929081063</v>
      </c>
      <c r="E1108" s="25">
        <v>145.08999600000001</v>
      </c>
      <c r="F1108" s="11">
        <f t="shared" ref="F1108:F1171" si="70">B1108+2*D1108</f>
        <v>148.64521258581624</v>
      </c>
      <c r="G1108" s="11">
        <f t="shared" ref="G1108:G1171" si="71">B1108-2*D1108</f>
        <v>141.53477941418379</v>
      </c>
    </row>
    <row r="1109" spans="1:7" x14ac:dyDescent="0.25">
      <c r="A1109" s="24">
        <v>41184</v>
      </c>
      <c r="B1109" s="25">
        <v>144.5</v>
      </c>
      <c r="C1109" s="11">
        <f t="shared" si="68"/>
        <v>144.22562493750002</v>
      </c>
      <c r="D1109" s="11">
        <f t="shared" si="69"/>
        <v>1.6566467018539393</v>
      </c>
      <c r="E1109" s="25">
        <v>144.5</v>
      </c>
      <c r="F1109" s="11">
        <f t="shared" si="70"/>
        <v>147.81329340370789</v>
      </c>
      <c r="G1109" s="11">
        <f t="shared" si="71"/>
        <v>141.18670659629211</v>
      </c>
    </row>
    <row r="1110" spans="1:7" x14ac:dyDescent="0.25">
      <c r="A1110" s="24">
        <v>41183</v>
      </c>
      <c r="B1110" s="25">
        <v>144.35000600000001</v>
      </c>
      <c r="C1110" s="11">
        <f t="shared" si="68"/>
        <v>144.44312468749999</v>
      </c>
      <c r="D1110" s="11">
        <f t="shared" si="69"/>
        <v>1.419144160904394</v>
      </c>
      <c r="E1110" s="25">
        <v>144.35000600000001</v>
      </c>
      <c r="F1110" s="11">
        <f t="shared" si="70"/>
        <v>147.1882943218088</v>
      </c>
      <c r="G1110" s="11">
        <f t="shared" si="71"/>
        <v>141.51171767819122</v>
      </c>
    </row>
    <row r="1111" spans="1:7" x14ac:dyDescent="0.25">
      <c r="A1111" s="24">
        <v>41180</v>
      </c>
      <c r="B1111" s="25">
        <v>143.970001</v>
      </c>
      <c r="C1111" s="11">
        <f t="shared" si="68"/>
        <v>144.62625018750001</v>
      </c>
      <c r="D1111" s="11">
        <f t="shared" si="69"/>
        <v>1.1702526559883979</v>
      </c>
      <c r="E1111" s="25">
        <v>143.970001</v>
      </c>
      <c r="F1111" s="11">
        <f t="shared" si="70"/>
        <v>146.31050631197678</v>
      </c>
      <c r="G1111" s="11">
        <f t="shared" si="71"/>
        <v>141.62949568802321</v>
      </c>
    </row>
    <row r="1112" spans="1:7" x14ac:dyDescent="0.25">
      <c r="A1112" s="24">
        <v>41179</v>
      </c>
      <c r="B1112" s="25">
        <v>144.63999899999999</v>
      </c>
      <c r="C1112" s="11">
        <f t="shared" si="68"/>
        <v>144.66125</v>
      </c>
      <c r="D1112" s="11">
        <f t="shared" si="69"/>
        <v>1.1394202502502178</v>
      </c>
      <c r="E1112" s="25">
        <v>144.63999899999999</v>
      </c>
      <c r="F1112" s="11">
        <f t="shared" si="70"/>
        <v>146.91883950050041</v>
      </c>
      <c r="G1112" s="11">
        <f t="shared" si="71"/>
        <v>142.36115849949957</v>
      </c>
    </row>
    <row r="1113" spans="1:7" x14ac:dyDescent="0.25">
      <c r="A1113" s="24">
        <v>41178</v>
      </c>
      <c r="B1113" s="25">
        <v>143.28999300000001</v>
      </c>
      <c r="C1113" s="11">
        <f t="shared" si="68"/>
        <v>144.739375</v>
      </c>
      <c r="D1113" s="11">
        <f t="shared" si="69"/>
        <v>1.0881450225101432</v>
      </c>
      <c r="E1113" s="25">
        <v>143.28999300000001</v>
      </c>
      <c r="F1113" s="11">
        <f t="shared" si="70"/>
        <v>145.4662830450203</v>
      </c>
      <c r="G1113" s="11">
        <f t="shared" si="71"/>
        <v>141.11370295497971</v>
      </c>
    </row>
    <row r="1114" spans="1:7" x14ac:dyDescent="0.25">
      <c r="A1114" s="24">
        <v>41177</v>
      </c>
      <c r="B1114" s="25">
        <v>144.10000600000001</v>
      </c>
      <c r="C1114" s="11">
        <f t="shared" si="68"/>
        <v>144.58124912499997</v>
      </c>
      <c r="D1114" s="11">
        <f t="shared" si="69"/>
        <v>1.104348249276218</v>
      </c>
      <c r="E1114" s="25">
        <v>144.10000600000001</v>
      </c>
      <c r="F1114" s="11">
        <f t="shared" si="70"/>
        <v>146.30870249855244</v>
      </c>
      <c r="G1114" s="11">
        <f t="shared" si="71"/>
        <v>141.89130950144758</v>
      </c>
    </row>
    <row r="1115" spans="1:7" x14ac:dyDescent="0.25">
      <c r="A1115" s="24">
        <v>41176</v>
      </c>
      <c r="B1115" s="25">
        <v>145.64999399999999</v>
      </c>
      <c r="C1115" s="11">
        <f t="shared" si="68"/>
        <v>144.4499996875</v>
      </c>
      <c r="D1115" s="11">
        <f t="shared" si="69"/>
        <v>1.0207645324373105</v>
      </c>
      <c r="E1115" s="25">
        <v>145.64999399999999</v>
      </c>
      <c r="F1115" s="11">
        <f t="shared" si="70"/>
        <v>147.69152306487462</v>
      </c>
      <c r="G1115" s="11">
        <f t="shared" si="71"/>
        <v>143.60846493512537</v>
      </c>
    </row>
    <row r="1116" spans="1:7" x14ac:dyDescent="0.25">
      <c r="A1116" s="24">
        <v>41173</v>
      </c>
      <c r="B1116" s="25">
        <v>145.86999499999999</v>
      </c>
      <c r="C1116" s="11">
        <f t="shared" si="68"/>
        <v>144.45687475</v>
      </c>
      <c r="D1116" s="11">
        <f t="shared" si="69"/>
        <v>1.0289330436660085</v>
      </c>
      <c r="E1116" s="25">
        <v>145.86999499999999</v>
      </c>
      <c r="F1116" s="11">
        <f t="shared" si="70"/>
        <v>147.92786108733202</v>
      </c>
      <c r="G1116" s="11">
        <f t="shared" si="71"/>
        <v>143.81212891266796</v>
      </c>
    </row>
    <row r="1117" spans="1:7" x14ac:dyDescent="0.25">
      <c r="A1117" s="24">
        <v>41172</v>
      </c>
      <c r="B1117" s="25">
        <v>146.71000699999999</v>
      </c>
      <c r="C1117" s="11">
        <f t="shared" si="68"/>
        <v>144.56874931249999</v>
      </c>
      <c r="D1117" s="11">
        <f t="shared" si="69"/>
        <v>1.0812082504535179</v>
      </c>
      <c r="E1117" s="25">
        <v>146.71000699999999</v>
      </c>
      <c r="F1117" s="11">
        <f t="shared" si="70"/>
        <v>148.87242350090702</v>
      </c>
      <c r="G1117" s="11">
        <f t="shared" si="71"/>
        <v>144.54759049909296</v>
      </c>
    </row>
    <row r="1118" spans="1:7" x14ac:dyDescent="0.25">
      <c r="A1118" s="24">
        <v>41171</v>
      </c>
      <c r="B1118" s="25">
        <v>146.699997</v>
      </c>
      <c r="C1118" s="11">
        <f t="shared" si="68"/>
        <v>144.80749981250003</v>
      </c>
      <c r="D1118" s="11">
        <f t="shared" si="69"/>
        <v>1.1072465026748795</v>
      </c>
      <c r="E1118" s="25">
        <v>146.699997</v>
      </c>
      <c r="F1118" s="11">
        <f t="shared" si="70"/>
        <v>148.91449000534976</v>
      </c>
      <c r="G1118" s="11">
        <f t="shared" si="71"/>
        <v>144.48550399465023</v>
      </c>
    </row>
    <row r="1119" spans="1:7" x14ac:dyDescent="0.25">
      <c r="A1119" s="24">
        <v>41170</v>
      </c>
      <c r="B1119" s="25">
        <v>146.61999499999999</v>
      </c>
      <c r="C1119" s="11">
        <f t="shared" si="68"/>
        <v>145.01624956250001</v>
      </c>
      <c r="D1119" s="11">
        <f t="shared" si="69"/>
        <v>1.1307517183358395</v>
      </c>
      <c r="E1119" s="25">
        <v>146.61999499999999</v>
      </c>
      <c r="F1119" s="11">
        <f t="shared" si="70"/>
        <v>148.88149843667168</v>
      </c>
      <c r="G1119" s="11">
        <f t="shared" si="71"/>
        <v>144.3584915633283</v>
      </c>
    </row>
    <row r="1120" spans="1:7" x14ac:dyDescent="0.25">
      <c r="A1120" s="24">
        <v>41169</v>
      </c>
      <c r="B1120" s="25">
        <v>146.740005</v>
      </c>
      <c r="C1120" s="11">
        <f t="shared" si="68"/>
        <v>145.22499931249999</v>
      </c>
      <c r="D1120" s="11">
        <f t="shared" si="69"/>
        <v>1.0966373393336346</v>
      </c>
      <c r="E1120" s="25">
        <v>146.740005</v>
      </c>
      <c r="F1120" s="11">
        <f t="shared" si="70"/>
        <v>148.93327967866728</v>
      </c>
      <c r="G1120" s="11">
        <f t="shared" si="71"/>
        <v>144.54673032133272</v>
      </c>
    </row>
    <row r="1121" spans="1:7" x14ac:dyDescent="0.25">
      <c r="A1121" s="24">
        <v>41166</v>
      </c>
      <c r="B1121" s="25">
        <v>147.240005</v>
      </c>
      <c r="C1121" s="11">
        <f t="shared" si="68"/>
        <v>145.38374981249999</v>
      </c>
      <c r="D1121" s="11">
        <f t="shared" si="69"/>
        <v>1.1219205783784127</v>
      </c>
      <c r="E1121" s="25">
        <v>147.240005</v>
      </c>
      <c r="F1121" s="11">
        <f t="shared" si="70"/>
        <v>149.48384615675681</v>
      </c>
      <c r="G1121" s="11">
        <f t="shared" si="71"/>
        <v>144.99616384324318</v>
      </c>
    </row>
    <row r="1122" spans="1:7" x14ac:dyDescent="0.25">
      <c r="A1122" s="24">
        <v>41165</v>
      </c>
      <c r="B1122" s="25">
        <v>146.58999600000001</v>
      </c>
      <c r="C1122" s="11">
        <f t="shared" si="68"/>
        <v>145.48375018749999</v>
      </c>
      <c r="D1122" s="11">
        <f t="shared" si="69"/>
        <v>1.2138260511802692</v>
      </c>
      <c r="E1122" s="25">
        <v>146.58999600000001</v>
      </c>
      <c r="F1122" s="11">
        <f t="shared" si="70"/>
        <v>149.01764810236054</v>
      </c>
      <c r="G1122" s="11">
        <f t="shared" si="71"/>
        <v>144.16234389763949</v>
      </c>
    </row>
    <row r="1123" spans="1:7" x14ac:dyDescent="0.25">
      <c r="A1123" s="24">
        <v>41164</v>
      </c>
      <c r="B1123" s="25">
        <v>144.38999899999999</v>
      </c>
      <c r="C1123" s="11">
        <f t="shared" si="68"/>
        <v>145.511875</v>
      </c>
      <c r="D1123" s="11">
        <f t="shared" si="69"/>
        <v>1.2350726415984308</v>
      </c>
      <c r="E1123" s="25">
        <v>144.38999899999999</v>
      </c>
      <c r="F1123" s="11">
        <f t="shared" si="70"/>
        <v>146.86014428319686</v>
      </c>
      <c r="G1123" s="11">
        <f t="shared" si="71"/>
        <v>141.91985371680312</v>
      </c>
    </row>
    <row r="1124" spans="1:7" x14ac:dyDescent="0.25">
      <c r="A1124" s="24">
        <v>41163</v>
      </c>
      <c r="B1124" s="25">
        <v>143.91000399999999</v>
      </c>
      <c r="C1124" s="11">
        <f t="shared" si="68"/>
        <v>145.403124625</v>
      </c>
      <c r="D1124" s="11">
        <f t="shared" si="69"/>
        <v>1.2534847747472551</v>
      </c>
      <c r="E1124" s="25">
        <v>143.91000399999999</v>
      </c>
      <c r="F1124" s="11">
        <f t="shared" si="70"/>
        <v>146.41697354949449</v>
      </c>
      <c r="G1124" s="11">
        <f t="shared" si="71"/>
        <v>141.40303445050549</v>
      </c>
    </row>
    <row r="1125" spans="1:7" x14ac:dyDescent="0.25">
      <c r="A1125" s="24">
        <v>41162</v>
      </c>
      <c r="B1125" s="25">
        <v>143.509995</v>
      </c>
      <c r="C1125" s="11">
        <f t="shared" si="68"/>
        <v>145.32937512499998</v>
      </c>
      <c r="D1125" s="11">
        <f t="shared" si="69"/>
        <v>1.3067184612060265</v>
      </c>
      <c r="E1125" s="25">
        <v>143.509995</v>
      </c>
      <c r="F1125" s="11">
        <f t="shared" si="70"/>
        <v>146.12343192241207</v>
      </c>
      <c r="G1125" s="11">
        <f t="shared" si="71"/>
        <v>140.89655807758794</v>
      </c>
    </row>
    <row r="1126" spans="1:7" x14ac:dyDescent="0.25">
      <c r="A1126" s="24">
        <v>41159</v>
      </c>
      <c r="B1126" s="25">
        <v>144.33000200000001</v>
      </c>
      <c r="C1126" s="11">
        <f t="shared" si="68"/>
        <v>145.26749981250001</v>
      </c>
      <c r="D1126" s="11">
        <f t="shared" si="69"/>
        <v>1.3704919098721293</v>
      </c>
      <c r="E1126" s="25">
        <v>144.33000200000001</v>
      </c>
      <c r="F1126" s="11">
        <f t="shared" si="70"/>
        <v>147.07098581974427</v>
      </c>
      <c r="G1126" s="11">
        <f t="shared" si="71"/>
        <v>141.58901818025575</v>
      </c>
    </row>
    <row r="1127" spans="1:7" x14ac:dyDescent="0.25">
      <c r="A1127" s="24">
        <v>41158</v>
      </c>
      <c r="B1127" s="25">
        <v>143.770004</v>
      </c>
      <c r="C1127" s="11">
        <f t="shared" si="68"/>
        <v>145.26624956250001</v>
      </c>
      <c r="D1127" s="11">
        <f t="shared" si="69"/>
        <v>1.3713935337905956</v>
      </c>
      <c r="E1127" s="25">
        <v>143.770004</v>
      </c>
      <c r="F1127" s="11">
        <f t="shared" si="70"/>
        <v>146.51279106758119</v>
      </c>
      <c r="G1127" s="11">
        <f t="shared" si="71"/>
        <v>141.02721693241881</v>
      </c>
    </row>
    <row r="1128" spans="1:7" x14ac:dyDescent="0.25">
      <c r="A1128" s="24">
        <v>41157</v>
      </c>
      <c r="B1128" s="25">
        <v>140.91000399999999</v>
      </c>
      <c r="C1128" s="11">
        <f t="shared" si="68"/>
        <v>145.25374975</v>
      </c>
      <c r="D1128" s="11">
        <f t="shared" si="69"/>
        <v>1.3848416008183491</v>
      </c>
      <c r="E1128" s="25">
        <v>140.91000399999999</v>
      </c>
      <c r="F1128" s="11">
        <f t="shared" si="70"/>
        <v>143.67968720163668</v>
      </c>
      <c r="G1128" s="11">
        <f t="shared" si="71"/>
        <v>138.14032079836329</v>
      </c>
    </row>
    <row r="1129" spans="1:7" x14ac:dyDescent="0.25">
      <c r="A1129" s="24">
        <v>41156</v>
      </c>
      <c r="B1129" s="25">
        <v>141.029999</v>
      </c>
      <c r="C1129" s="11">
        <f t="shared" si="68"/>
        <v>145.02062506249999</v>
      </c>
      <c r="D1129" s="11">
        <f t="shared" si="69"/>
        <v>1.7585728518531332</v>
      </c>
      <c r="E1129" s="25">
        <v>141.029999</v>
      </c>
      <c r="F1129" s="11">
        <f t="shared" si="70"/>
        <v>144.54714470370627</v>
      </c>
      <c r="G1129" s="11">
        <f t="shared" si="71"/>
        <v>137.51285329629374</v>
      </c>
    </row>
    <row r="1130" spans="1:7" x14ac:dyDescent="0.25">
      <c r="A1130" s="24">
        <v>41152</v>
      </c>
      <c r="B1130" s="25">
        <v>141.16000399999999</v>
      </c>
      <c r="C1130" s="11">
        <f t="shared" si="68"/>
        <v>144.87937543749999</v>
      </c>
      <c r="D1130" s="11">
        <f t="shared" si="69"/>
        <v>1.9832542761678664</v>
      </c>
      <c r="E1130" s="25">
        <v>141.16000399999999</v>
      </c>
      <c r="F1130" s="11">
        <f t="shared" si="70"/>
        <v>145.12651255233573</v>
      </c>
      <c r="G1130" s="11">
        <f t="shared" si="71"/>
        <v>137.19349544766425</v>
      </c>
    </row>
    <row r="1131" spans="1:7" x14ac:dyDescent="0.25">
      <c r="A1131" s="24">
        <v>41151</v>
      </c>
      <c r="B1131" s="25">
        <v>140.490005</v>
      </c>
      <c r="C1131" s="11">
        <f t="shared" si="68"/>
        <v>144.69562531249997</v>
      </c>
      <c r="D1131" s="11">
        <f t="shared" si="69"/>
        <v>2.1861007035976709</v>
      </c>
      <c r="E1131" s="25">
        <v>140.490005</v>
      </c>
      <c r="F1131" s="11">
        <f t="shared" si="70"/>
        <v>144.86220640719534</v>
      </c>
      <c r="G1131" s="11">
        <f t="shared" si="71"/>
        <v>136.11780359280465</v>
      </c>
    </row>
    <row r="1132" spans="1:7" x14ac:dyDescent="0.25">
      <c r="A1132" s="24">
        <v>41150</v>
      </c>
      <c r="B1132" s="25">
        <v>141.509995</v>
      </c>
      <c r="C1132" s="11">
        <f t="shared" si="68"/>
        <v>144.37312600000001</v>
      </c>
      <c r="D1132" s="11">
        <f t="shared" si="69"/>
        <v>2.4055196806550012</v>
      </c>
      <c r="E1132" s="25">
        <v>141.509995</v>
      </c>
      <c r="F1132" s="11">
        <f t="shared" si="70"/>
        <v>146.32103436131001</v>
      </c>
      <c r="G1132" s="11">
        <f t="shared" si="71"/>
        <v>136.69895563868999</v>
      </c>
    </row>
    <row r="1133" spans="1:7" x14ac:dyDescent="0.25">
      <c r="A1133" s="24">
        <v>41149</v>
      </c>
      <c r="B1133" s="25">
        <v>141.39999399999999</v>
      </c>
      <c r="C1133" s="11">
        <f t="shared" si="68"/>
        <v>144.10062600000001</v>
      </c>
      <c r="D1133" s="11">
        <f t="shared" si="69"/>
        <v>2.4707175250694284</v>
      </c>
      <c r="E1133" s="25">
        <v>141.39999399999999</v>
      </c>
      <c r="F1133" s="11">
        <f t="shared" si="70"/>
        <v>146.34142905013886</v>
      </c>
      <c r="G1133" s="11">
        <f t="shared" si="71"/>
        <v>136.45855894986113</v>
      </c>
    </row>
    <row r="1134" spans="1:7" x14ac:dyDescent="0.25">
      <c r="A1134" s="24">
        <v>41148</v>
      </c>
      <c r="B1134" s="25">
        <v>141.53999300000001</v>
      </c>
      <c r="C1134" s="11">
        <f t="shared" si="68"/>
        <v>143.76875018749999</v>
      </c>
      <c r="D1134" s="11">
        <f t="shared" si="69"/>
        <v>2.4534187772409957</v>
      </c>
      <c r="E1134" s="25">
        <v>141.53999300000001</v>
      </c>
      <c r="F1134" s="11">
        <f t="shared" si="70"/>
        <v>146.44683055448201</v>
      </c>
      <c r="G1134" s="11">
        <f t="shared" si="71"/>
        <v>136.63315544551801</v>
      </c>
    </row>
    <row r="1135" spans="1:7" x14ac:dyDescent="0.25">
      <c r="A1135" s="24">
        <v>41145</v>
      </c>
      <c r="B1135" s="25">
        <v>141.509995</v>
      </c>
      <c r="C1135" s="11">
        <f t="shared" si="68"/>
        <v>143.4462499375</v>
      </c>
      <c r="D1135" s="11">
        <f t="shared" si="69"/>
        <v>2.3804761931571727</v>
      </c>
      <c r="E1135" s="25">
        <v>141.509995</v>
      </c>
      <c r="F1135" s="11">
        <f t="shared" si="70"/>
        <v>146.27094738631436</v>
      </c>
      <c r="G1135" s="11">
        <f t="shared" si="71"/>
        <v>136.74904261368565</v>
      </c>
    </row>
    <row r="1136" spans="1:7" x14ac:dyDescent="0.25">
      <c r="A1136" s="24">
        <v>41144</v>
      </c>
      <c r="B1136" s="25">
        <v>140.66000399999999</v>
      </c>
      <c r="C1136" s="11">
        <f t="shared" si="68"/>
        <v>143.12687493749999</v>
      </c>
      <c r="D1136" s="11">
        <f t="shared" si="69"/>
        <v>2.2663395274328901</v>
      </c>
      <c r="E1136" s="25">
        <v>140.66000399999999</v>
      </c>
      <c r="F1136" s="11">
        <f t="shared" si="70"/>
        <v>145.19268305486577</v>
      </c>
      <c r="G1136" s="11">
        <f t="shared" si="71"/>
        <v>136.12732494513421</v>
      </c>
    </row>
    <row r="1137" spans="1:7" x14ac:dyDescent="0.25">
      <c r="A1137" s="24">
        <v>41143</v>
      </c>
      <c r="B1137" s="25">
        <v>141.820007</v>
      </c>
      <c r="C1137" s="11">
        <f t="shared" si="68"/>
        <v>142.746874875</v>
      </c>
      <c r="D1137" s="11">
        <f t="shared" si="69"/>
        <v>2.1254766589765524</v>
      </c>
      <c r="E1137" s="25">
        <v>141.820007</v>
      </c>
      <c r="F1137" s="11">
        <f t="shared" si="70"/>
        <v>146.07096031795311</v>
      </c>
      <c r="G1137" s="11">
        <f t="shared" si="71"/>
        <v>137.5690536820469</v>
      </c>
    </row>
    <row r="1138" spans="1:7" x14ac:dyDescent="0.25">
      <c r="A1138" s="24">
        <v>41142</v>
      </c>
      <c r="B1138" s="25">
        <v>141.759995</v>
      </c>
      <c r="C1138" s="11">
        <f t="shared" si="68"/>
        <v>142.40812499999998</v>
      </c>
      <c r="D1138" s="11">
        <f t="shared" si="69"/>
        <v>1.7625664528434322</v>
      </c>
      <c r="E1138" s="25">
        <v>141.759995</v>
      </c>
      <c r="F1138" s="11">
        <f t="shared" si="70"/>
        <v>145.28512790568686</v>
      </c>
      <c r="G1138" s="11">
        <f t="shared" si="71"/>
        <v>138.23486209431314</v>
      </c>
    </row>
    <row r="1139" spans="1:7" x14ac:dyDescent="0.25">
      <c r="A1139" s="24">
        <v>41141</v>
      </c>
      <c r="B1139" s="25">
        <v>142.19000199999999</v>
      </c>
      <c r="C1139" s="11">
        <f t="shared" si="68"/>
        <v>142.1062499375</v>
      </c>
      <c r="D1139" s="11">
        <f t="shared" si="69"/>
        <v>1.3680540460290047</v>
      </c>
      <c r="E1139" s="25">
        <v>142.19000199999999</v>
      </c>
      <c r="F1139" s="11">
        <f t="shared" si="70"/>
        <v>144.926110092058</v>
      </c>
      <c r="G1139" s="11">
        <f t="shared" si="71"/>
        <v>139.45389390794199</v>
      </c>
    </row>
    <row r="1140" spans="1:7" x14ac:dyDescent="0.25">
      <c r="A1140" s="24">
        <v>41138</v>
      </c>
      <c r="B1140" s="25">
        <v>142.179993</v>
      </c>
      <c r="C1140" s="11">
        <f t="shared" si="68"/>
        <v>141.96875012499999</v>
      </c>
      <c r="D1140" s="11">
        <f t="shared" si="69"/>
        <v>1.2264469969617608</v>
      </c>
      <c r="E1140" s="25">
        <v>142.179993</v>
      </c>
      <c r="F1140" s="11">
        <f t="shared" si="70"/>
        <v>144.63288699392351</v>
      </c>
      <c r="G1140" s="11">
        <f t="shared" si="71"/>
        <v>139.72709900607649</v>
      </c>
    </row>
    <row r="1141" spans="1:7" x14ac:dyDescent="0.25">
      <c r="A1141" s="24">
        <v>41137</v>
      </c>
      <c r="B1141" s="25">
        <v>141.990005</v>
      </c>
      <c r="C1141" s="11">
        <f t="shared" si="68"/>
        <v>141.86062443750001</v>
      </c>
      <c r="D1141" s="11">
        <f t="shared" si="69"/>
        <v>1.1150988554571011</v>
      </c>
      <c r="E1141" s="25">
        <v>141.990005</v>
      </c>
      <c r="F1141" s="11">
        <f t="shared" si="70"/>
        <v>144.22020271091421</v>
      </c>
      <c r="G1141" s="11">
        <f t="shared" si="71"/>
        <v>139.75980728908578</v>
      </c>
    </row>
    <row r="1142" spans="1:7" x14ac:dyDescent="0.25">
      <c r="A1142" s="24">
        <v>41136</v>
      </c>
      <c r="B1142" s="25">
        <v>140.949997</v>
      </c>
      <c r="C1142" s="11">
        <f t="shared" si="68"/>
        <v>141.76562506250002</v>
      </c>
      <c r="D1142" s="11">
        <f t="shared" si="69"/>
        <v>1.0264371985702465</v>
      </c>
      <c r="E1142" s="25">
        <v>140.949997</v>
      </c>
      <c r="F1142" s="11">
        <f t="shared" si="70"/>
        <v>143.0028713971405</v>
      </c>
      <c r="G1142" s="11">
        <f t="shared" si="71"/>
        <v>138.8971226028595</v>
      </c>
    </row>
    <row r="1143" spans="1:7" x14ac:dyDescent="0.25">
      <c r="A1143" s="24">
        <v>41135</v>
      </c>
      <c r="B1143" s="25">
        <v>140.78999300000001</v>
      </c>
      <c r="C1143" s="11">
        <f t="shared" si="68"/>
        <v>141.55437475000002</v>
      </c>
      <c r="D1143" s="11">
        <f t="shared" si="69"/>
        <v>0.78225284852512345</v>
      </c>
      <c r="E1143" s="25">
        <v>140.78999300000001</v>
      </c>
      <c r="F1143" s="11">
        <f t="shared" si="70"/>
        <v>142.35449869705025</v>
      </c>
      <c r="G1143" s="11">
        <f t="shared" si="71"/>
        <v>139.22548730294977</v>
      </c>
    </row>
    <row r="1144" spans="1:7" x14ac:dyDescent="0.25">
      <c r="A1144" s="24">
        <v>41134</v>
      </c>
      <c r="B1144" s="25">
        <v>140.770004</v>
      </c>
      <c r="C1144" s="11">
        <f t="shared" si="68"/>
        <v>141.36812406250002</v>
      </c>
      <c r="D1144" s="11">
        <f t="shared" si="69"/>
        <v>0.5353522313489788</v>
      </c>
      <c r="E1144" s="25">
        <v>140.770004</v>
      </c>
      <c r="F1144" s="11">
        <f t="shared" si="70"/>
        <v>141.84070846269796</v>
      </c>
      <c r="G1144" s="11">
        <f t="shared" si="71"/>
        <v>139.69929953730204</v>
      </c>
    </row>
    <row r="1145" spans="1:7" x14ac:dyDescent="0.25">
      <c r="A1145" s="24">
        <v>41131</v>
      </c>
      <c r="B1145" s="25">
        <v>140.83999600000001</v>
      </c>
      <c r="C1145" s="11">
        <f t="shared" si="68"/>
        <v>141.3593740625</v>
      </c>
      <c r="D1145" s="11">
        <f t="shared" si="69"/>
        <v>0.54440663672509515</v>
      </c>
      <c r="E1145" s="25">
        <v>140.83999600000001</v>
      </c>
      <c r="F1145" s="11">
        <f t="shared" si="70"/>
        <v>141.92880927345021</v>
      </c>
      <c r="G1145" s="11">
        <f t="shared" si="71"/>
        <v>139.75118272654981</v>
      </c>
    </row>
    <row r="1146" spans="1:7" x14ac:dyDescent="0.25">
      <c r="A1146" s="24">
        <v>41130</v>
      </c>
      <c r="B1146" s="25">
        <v>140.61000100000001</v>
      </c>
      <c r="C1146" s="11">
        <f t="shared" si="68"/>
        <v>141.34749887500001</v>
      </c>
      <c r="D1146" s="11">
        <f t="shared" si="69"/>
        <v>0.55405704341783835</v>
      </c>
      <c r="E1146" s="25">
        <v>140.61000100000001</v>
      </c>
      <c r="F1146" s="11">
        <f t="shared" si="70"/>
        <v>141.7181150868357</v>
      </c>
      <c r="G1146" s="11">
        <f t="shared" si="71"/>
        <v>139.50188691316433</v>
      </c>
    </row>
    <row r="1147" spans="1:7" x14ac:dyDescent="0.25">
      <c r="A1147" s="24">
        <v>41129</v>
      </c>
      <c r="B1147" s="25">
        <v>140.490005</v>
      </c>
      <c r="C1147" s="11">
        <f t="shared" si="68"/>
        <v>141.31312368750002</v>
      </c>
      <c r="D1147" s="11">
        <f t="shared" si="69"/>
        <v>0.5827824317668594</v>
      </c>
      <c r="E1147" s="25">
        <v>140.490005</v>
      </c>
      <c r="F1147" s="11">
        <f t="shared" si="70"/>
        <v>141.65556986353371</v>
      </c>
      <c r="G1147" s="11">
        <f t="shared" si="71"/>
        <v>139.32444013646628</v>
      </c>
    </row>
    <row r="1148" spans="1:7" x14ac:dyDescent="0.25">
      <c r="A1148" s="24">
        <v>41128</v>
      </c>
      <c r="B1148" s="25">
        <v>140.320007</v>
      </c>
      <c r="C1148" s="11">
        <f t="shared" si="68"/>
        <v>141.3131236875</v>
      </c>
      <c r="D1148" s="11">
        <f t="shared" si="69"/>
        <v>0.5827824317668594</v>
      </c>
      <c r="E1148" s="25">
        <v>140.320007</v>
      </c>
      <c r="F1148" s="11">
        <f t="shared" si="70"/>
        <v>141.48557186353372</v>
      </c>
      <c r="G1148" s="11">
        <f t="shared" si="71"/>
        <v>139.15444213646629</v>
      </c>
    </row>
    <row r="1149" spans="1:7" x14ac:dyDescent="0.25">
      <c r="A1149" s="24">
        <v>41127</v>
      </c>
      <c r="B1149" s="25">
        <v>139.61999499999999</v>
      </c>
      <c r="C1149" s="11">
        <f t="shared" si="68"/>
        <v>141.23874943749996</v>
      </c>
      <c r="D1149" s="11">
        <f t="shared" si="69"/>
        <v>0.63000256179044789</v>
      </c>
      <c r="E1149" s="25">
        <v>139.61999499999999</v>
      </c>
      <c r="F1149" s="11">
        <f t="shared" si="70"/>
        <v>140.88000012358088</v>
      </c>
      <c r="G1149" s="11">
        <f t="shared" si="71"/>
        <v>138.35998987641909</v>
      </c>
    </row>
    <row r="1150" spans="1:7" x14ac:dyDescent="0.25">
      <c r="A1150" s="24">
        <v>41124</v>
      </c>
      <c r="B1150" s="25">
        <v>139.35000600000001</v>
      </c>
      <c r="C1150" s="11">
        <f t="shared" si="68"/>
        <v>141.12749949999997</v>
      </c>
      <c r="D1150" s="11">
        <f t="shared" si="69"/>
        <v>0.74609605102953569</v>
      </c>
      <c r="E1150" s="25">
        <v>139.35000600000001</v>
      </c>
      <c r="F1150" s="11">
        <f t="shared" si="70"/>
        <v>140.84219810205909</v>
      </c>
      <c r="G1150" s="11">
        <f t="shared" si="71"/>
        <v>137.85781389794093</v>
      </c>
    </row>
    <row r="1151" spans="1:7" x14ac:dyDescent="0.25">
      <c r="A1151" s="24">
        <v>41123</v>
      </c>
      <c r="B1151" s="25">
        <v>136.63999899999999</v>
      </c>
      <c r="C1151" s="11">
        <f t="shared" si="68"/>
        <v>140.99062531249999</v>
      </c>
      <c r="D1151" s="11">
        <f t="shared" si="69"/>
        <v>0.85788380425973831</v>
      </c>
      <c r="E1151" s="25">
        <v>136.63999899999999</v>
      </c>
      <c r="F1151" s="11">
        <f t="shared" si="70"/>
        <v>138.35576660851947</v>
      </c>
      <c r="G1151" s="11">
        <f t="shared" si="71"/>
        <v>134.9242313914805</v>
      </c>
    </row>
    <row r="1152" spans="1:7" x14ac:dyDescent="0.25">
      <c r="A1152" s="24">
        <v>41122</v>
      </c>
      <c r="B1152" s="25">
        <v>137.58999600000001</v>
      </c>
      <c r="C1152" s="11">
        <f t="shared" si="68"/>
        <v>140.68625056249999</v>
      </c>
      <c r="D1152" s="11">
        <f t="shared" si="69"/>
        <v>1.3715045253999958</v>
      </c>
      <c r="E1152" s="25">
        <v>137.58999600000001</v>
      </c>
      <c r="F1152" s="11">
        <f t="shared" si="70"/>
        <v>140.33300505080001</v>
      </c>
      <c r="G1152" s="11">
        <f t="shared" si="71"/>
        <v>134.84698694920002</v>
      </c>
    </row>
    <row r="1153" spans="1:7" x14ac:dyDescent="0.25">
      <c r="A1153" s="24">
        <v>41121</v>
      </c>
      <c r="B1153" s="25">
        <v>137.71000699999999</v>
      </c>
      <c r="C1153" s="11">
        <f t="shared" si="68"/>
        <v>140.49437506250001</v>
      </c>
      <c r="D1153" s="11">
        <f t="shared" si="69"/>
        <v>1.5750643174517229</v>
      </c>
      <c r="E1153" s="25">
        <v>137.71000699999999</v>
      </c>
      <c r="F1153" s="11">
        <f t="shared" si="70"/>
        <v>140.86013563490343</v>
      </c>
      <c r="G1153" s="11">
        <f t="shared" si="71"/>
        <v>134.55987836509655</v>
      </c>
    </row>
    <row r="1154" spans="1:7" x14ac:dyDescent="0.25">
      <c r="A1154" s="24">
        <v>41120</v>
      </c>
      <c r="B1154" s="25">
        <v>138.679993</v>
      </c>
      <c r="C1154" s="11">
        <f t="shared" si="68"/>
        <v>140.2375000625</v>
      </c>
      <c r="D1154" s="11">
        <f t="shared" si="69"/>
        <v>1.6763464893510727</v>
      </c>
      <c r="E1154" s="25">
        <v>138.679993</v>
      </c>
      <c r="F1154" s="11">
        <f t="shared" si="70"/>
        <v>142.03268597870215</v>
      </c>
      <c r="G1154" s="11">
        <f t="shared" si="71"/>
        <v>135.32730002129784</v>
      </c>
    </row>
    <row r="1155" spans="1:7" x14ac:dyDescent="0.25">
      <c r="A1155" s="24">
        <v>41117</v>
      </c>
      <c r="B1155" s="25">
        <v>138.679993</v>
      </c>
      <c r="C1155" s="11">
        <f t="shared" si="68"/>
        <v>140.04499993749999</v>
      </c>
      <c r="D1155" s="11">
        <f t="shared" si="69"/>
        <v>1.6666733319283853</v>
      </c>
      <c r="E1155" s="25">
        <v>138.679993</v>
      </c>
      <c r="F1155" s="11">
        <f t="shared" si="70"/>
        <v>142.01333966385675</v>
      </c>
      <c r="G1155" s="11">
        <f t="shared" si="71"/>
        <v>135.34664633614324</v>
      </c>
    </row>
    <row r="1156" spans="1:7" x14ac:dyDescent="0.25">
      <c r="A1156" s="24">
        <v>41116</v>
      </c>
      <c r="B1156" s="25">
        <v>136.16999799999999</v>
      </c>
      <c r="C1156" s="11">
        <f t="shared" si="68"/>
        <v>139.82562437500002</v>
      </c>
      <c r="D1156" s="11">
        <f t="shared" si="69"/>
        <v>1.5949754402071075</v>
      </c>
      <c r="E1156" s="25">
        <v>136.16999799999999</v>
      </c>
      <c r="F1156" s="11">
        <f t="shared" si="70"/>
        <v>139.35994888041421</v>
      </c>
      <c r="G1156" s="11">
        <f t="shared" si="71"/>
        <v>132.98004711958578</v>
      </c>
    </row>
    <row r="1157" spans="1:7" x14ac:dyDescent="0.25">
      <c r="A1157" s="24">
        <v>41115</v>
      </c>
      <c r="B1157" s="25">
        <v>133.96000699999999</v>
      </c>
      <c r="C1157" s="11">
        <f t="shared" si="68"/>
        <v>139.44999968749997</v>
      </c>
      <c r="D1157" s="11">
        <f t="shared" si="69"/>
        <v>1.7072834152617542</v>
      </c>
      <c r="E1157" s="25">
        <v>133.96000699999999</v>
      </c>
      <c r="F1157" s="11">
        <f t="shared" si="70"/>
        <v>137.3745738305235</v>
      </c>
      <c r="G1157" s="11">
        <f t="shared" si="71"/>
        <v>130.54544016947648</v>
      </c>
    </row>
    <row r="1158" spans="1:7" x14ac:dyDescent="0.25">
      <c r="A1158" s="24">
        <v>41114</v>
      </c>
      <c r="B1158" s="25">
        <v>133.929993</v>
      </c>
      <c r="C1158" s="11">
        <f t="shared" si="68"/>
        <v>138.9481248125</v>
      </c>
      <c r="D1158" s="11">
        <f t="shared" si="69"/>
        <v>2.0555711027869723</v>
      </c>
      <c r="E1158" s="25">
        <v>133.929993</v>
      </c>
      <c r="F1158" s="11">
        <f t="shared" si="70"/>
        <v>138.04113520557394</v>
      </c>
      <c r="G1158" s="11">
        <f t="shared" si="71"/>
        <v>129.81885079442606</v>
      </c>
    </row>
    <row r="1159" spans="1:7" x14ac:dyDescent="0.25">
      <c r="A1159" s="24">
        <v>41113</v>
      </c>
      <c r="B1159" s="25">
        <v>135.08999600000001</v>
      </c>
      <c r="C1159" s="11">
        <f t="shared" si="68"/>
        <v>138.5093745625</v>
      </c>
      <c r="D1159" s="11">
        <f t="shared" si="69"/>
        <v>2.3305895463269986</v>
      </c>
      <c r="E1159" s="25">
        <v>135.08999600000001</v>
      </c>
      <c r="F1159" s="11">
        <f t="shared" si="70"/>
        <v>139.75117509265402</v>
      </c>
      <c r="G1159" s="11">
        <f t="shared" si="71"/>
        <v>130.428816907346</v>
      </c>
    </row>
    <row r="1160" spans="1:7" x14ac:dyDescent="0.25">
      <c r="A1160" s="24">
        <v>41110</v>
      </c>
      <c r="B1160" s="25">
        <v>136.470001</v>
      </c>
      <c r="C1160" s="11">
        <f t="shared" si="68"/>
        <v>138.15312475000002</v>
      </c>
      <c r="D1160" s="11">
        <f t="shared" si="69"/>
        <v>2.3935332451621836</v>
      </c>
      <c r="E1160" s="25">
        <v>136.470001</v>
      </c>
      <c r="F1160" s="11">
        <f t="shared" si="70"/>
        <v>141.25706749032437</v>
      </c>
      <c r="G1160" s="11">
        <f t="shared" si="71"/>
        <v>131.68293450967562</v>
      </c>
    </row>
    <row r="1161" spans="1:7" x14ac:dyDescent="0.25">
      <c r="A1161" s="24">
        <v>41109</v>
      </c>
      <c r="B1161" s="25">
        <v>137.729996</v>
      </c>
      <c r="C1161" s="11">
        <f t="shared" si="68"/>
        <v>137.8843745625</v>
      </c>
      <c r="D1161" s="11">
        <f t="shared" si="69"/>
        <v>2.3204057529044664</v>
      </c>
      <c r="E1161" s="25">
        <v>137.729996</v>
      </c>
      <c r="F1161" s="11">
        <f t="shared" si="70"/>
        <v>142.37080750580893</v>
      </c>
      <c r="G1161" s="11">
        <f t="shared" si="71"/>
        <v>133.08918449419107</v>
      </c>
    </row>
    <row r="1162" spans="1:7" x14ac:dyDescent="0.25">
      <c r="A1162" s="24">
        <v>41108</v>
      </c>
      <c r="B1162" s="25">
        <v>137.36999499999999</v>
      </c>
      <c r="C1162" s="11">
        <f t="shared" si="68"/>
        <v>137.68999956249999</v>
      </c>
      <c r="D1162" s="11">
        <f t="shared" si="69"/>
        <v>2.1824736925551864</v>
      </c>
      <c r="E1162" s="25">
        <v>137.36999499999999</v>
      </c>
      <c r="F1162" s="11">
        <f t="shared" si="70"/>
        <v>141.73494238511037</v>
      </c>
      <c r="G1162" s="11">
        <f t="shared" si="71"/>
        <v>133.00504761488961</v>
      </c>
    </row>
    <row r="1163" spans="1:7" x14ac:dyDescent="0.25">
      <c r="A1163" s="24">
        <v>41107</v>
      </c>
      <c r="B1163" s="25">
        <v>136.36000100000001</v>
      </c>
      <c r="C1163" s="11">
        <f t="shared" si="68"/>
        <v>137.48749918749999</v>
      </c>
      <c r="D1163" s="11">
        <f t="shared" si="69"/>
        <v>2.0390808938579572</v>
      </c>
      <c r="E1163" s="25">
        <v>136.36000100000001</v>
      </c>
      <c r="F1163" s="11">
        <f t="shared" si="70"/>
        <v>140.43816278771592</v>
      </c>
      <c r="G1163" s="11">
        <f t="shared" si="71"/>
        <v>132.2818392122841</v>
      </c>
    </row>
    <row r="1164" spans="1:7" x14ac:dyDescent="0.25">
      <c r="A1164" s="24">
        <v>41106</v>
      </c>
      <c r="B1164" s="25">
        <v>135.429993</v>
      </c>
      <c r="C1164" s="11">
        <f t="shared" si="68"/>
        <v>137.22937393749999</v>
      </c>
      <c r="D1164" s="11">
        <f t="shared" si="69"/>
        <v>1.8895840118778693</v>
      </c>
      <c r="E1164" s="25">
        <v>135.429993</v>
      </c>
      <c r="F1164" s="11">
        <f t="shared" si="70"/>
        <v>139.20916102375574</v>
      </c>
      <c r="G1164" s="11">
        <f t="shared" si="71"/>
        <v>131.65082497624425</v>
      </c>
    </row>
    <row r="1165" spans="1:7" x14ac:dyDescent="0.25">
      <c r="A1165" s="24">
        <v>41103</v>
      </c>
      <c r="B1165" s="25">
        <v>135.75</v>
      </c>
      <c r="C1165" s="11">
        <f t="shared" si="68"/>
        <v>136.92374806249998</v>
      </c>
      <c r="D1165" s="11">
        <f t="shared" si="69"/>
        <v>1.7464088924203847</v>
      </c>
      <c r="E1165" s="25">
        <v>135.75</v>
      </c>
      <c r="F1165" s="11">
        <f t="shared" si="70"/>
        <v>139.24281778484078</v>
      </c>
      <c r="G1165" s="11">
        <f t="shared" si="71"/>
        <v>132.25718221515922</v>
      </c>
    </row>
    <row r="1166" spans="1:7" x14ac:dyDescent="0.25">
      <c r="A1166" s="24">
        <v>41102</v>
      </c>
      <c r="B1166" s="25">
        <v>133.509995</v>
      </c>
      <c r="C1166" s="11">
        <f t="shared" si="68"/>
        <v>136.68187337499998</v>
      </c>
      <c r="D1166" s="11">
        <f t="shared" si="69"/>
        <v>1.6108184964559225</v>
      </c>
      <c r="E1166" s="25">
        <v>133.509995</v>
      </c>
      <c r="F1166" s="11">
        <f t="shared" si="70"/>
        <v>136.73163199291184</v>
      </c>
      <c r="G1166" s="11">
        <f t="shared" si="71"/>
        <v>130.28835800708816</v>
      </c>
    </row>
    <row r="1167" spans="1:7" x14ac:dyDescent="0.25">
      <c r="A1167" s="24">
        <v>41101</v>
      </c>
      <c r="B1167" s="25">
        <v>134.16000399999999</v>
      </c>
      <c r="C1167" s="11">
        <f t="shared" si="68"/>
        <v>136.31687268749999</v>
      </c>
      <c r="D1167" s="11">
        <f t="shared" si="69"/>
        <v>1.6274994340821014</v>
      </c>
      <c r="E1167" s="25">
        <v>134.16000399999999</v>
      </c>
      <c r="F1167" s="11">
        <f t="shared" si="70"/>
        <v>137.41500286816418</v>
      </c>
      <c r="G1167" s="11">
        <f t="shared" si="71"/>
        <v>130.90500513183579</v>
      </c>
    </row>
    <row r="1168" spans="1:7" x14ac:dyDescent="0.25">
      <c r="A1168" s="24">
        <v>41100</v>
      </c>
      <c r="B1168" s="25">
        <v>134.13999899999999</v>
      </c>
      <c r="C1168" s="11">
        <f t="shared" si="68"/>
        <v>136.16187299999999</v>
      </c>
      <c r="D1168" s="11">
        <f t="shared" si="69"/>
        <v>1.7106448996474986</v>
      </c>
      <c r="E1168" s="25">
        <v>134.13999899999999</v>
      </c>
      <c r="F1168" s="11">
        <f t="shared" si="70"/>
        <v>137.561288799295</v>
      </c>
      <c r="G1168" s="11">
        <f t="shared" si="71"/>
        <v>130.71870920070498</v>
      </c>
    </row>
    <row r="1169" spans="1:7" x14ac:dyDescent="0.25">
      <c r="A1169" s="24">
        <v>41099</v>
      </c>
      <c r="B1169" s="25">
        <v>135.320007</v>
      </c>
      <c r="C1169" s="11">
        <f t="shared" si="68"/>
        <v>135.94624818749998</v>
      </c>
      <c r="D1169" s="11">
        <f t="shared" si="69"/>
        <v>1.7358787170161867</v>
      </c>
      <c r="E1169" s="25">
        <v>135.320007</v>
      </c>
      <c r="F1169" s="11">
        <f t="shared" si="70"/>
        <v>138.79176443403239</v>
      </c>
      <c r="G1169" s="11">
        <f t="shared" si="71"/>
        <v>131.84824956596762</v>
      </c>
    </row>
    <row r="1170" spans="1:7" x14ac:dyDescent="0.25">
      <c r="A1170" s="24">
        <v>41096</v>
      </c>
      <c r="B1170" s="25">
        <v>135.490005</v>
      </c>
      <c r="C1170" s="11">
        <f t="shared" si="68"/>
        <v>135.79687318750001</v>
      </c>
      <c r="D1170" s="11">
        <f t="shared" si="69"/>
        <v>1.6757774400577274</v>
      </c>
      <c r="E1170" s="25">
        <v>135.490005</v>
      </c>
      <c r="F1170" s="11">
        <f t="shared" si="70"/>
        <v>138.84155988011545</v>
      </c>
      <c r="G1170" s="11">
        <f t="shared" si="71"/>
        <v>132.13845011988454</v>
      </c>
    </row>
    <row r="1171" spans="1:7" x14ac:dyDescent="0.25">
      <c r="A1171" s="24">
        <v>41095</v>
      </c>
      <c r="B1171" s="25">
        <v>136.78999300000001</v>
      </c>
      <c r="C1171" s="11">
        <f t="shared" si="68"/>
        <v>135.59749893750001</v>
      </c>
      <c r="D1171" s="11">
        <f t="shared" si="69"/>
        <v>1.4892780621351844</v>
      </c>
      <c r="E1171" s="25">
        <v>136.78999300000001</v>
      </c>
      <c r="F1171" s="11">
        <f t="shared" si="70"/>
        <v>139.76854912427038</v>
      </c>
      <c r="G1171" s="11">
        <f t="shared" si="71"/>
        <v>133.81143687572964</v>
      </c>
    </row>
    <row r="1172" spans="1:7" x14ac:dyDescent="0.25">
      <c r="A1172" s="24">
        <v>41093</v>
      </c>
      <c r="B1172" s="25">
        <v>137.41000399999999</v>
      </c>
      <c r="C1172" s="11">
        <f t="shared" ref="C1172:C1235" si="72">AVERAGE(B1156:B1171)</f>
        <v>135.47937393750001</v>
      </c>
      <c r="D1172" s="11">
        <f t="shared" ref="D1172:D1235" si="73">_xlfn.STDEV.S(B1156:B1171)</f>
        <v>1.2901228207450379</v>
      </c>
      <c r="E1172" s="25">
        <v>137.41000399999999</v>
      </c>
      <c r="F1172" s="11">
        <f t="shared" ref="F1172:F1235" si="74">B1172+2*D1172</f>
        <v>139.99024964149007</v>
      </c>
      <c r="G1172" s="11">
        <f t="shared" ref="G1172:G1235" si="75">B1172-2*D1172</f>
        <v>134.82975835850991</v>
      </c>
    </row>
    <row r="1173" spans="1:7" x14ac:dyDescent="0.25">
      <c r="A1173" s="24">
        <v>41092</v>
      </c>
      <c r="B1173" s="25">
        <v>136.509995</v>
      </c>
      <c r="C1173" s="11">
        <f t="shared" si="72"/>
        <v>135.55687431250004</v>
      </c>
      <c r="D1173" s="11">
        <f t="shared" si="73"/>
        <v>1.3691974121513539</v>
      </c>
      <c r="E1173" s="25">
        <v>136.509995</v>
      </c>
      <c r="F1173" s="11">
        <f t="shared" si="74"/>
        <v>139.24838982430271</v>
      </c>
      <c r="G1173" s="11">
        <f t="shared" si="75"/>
        <v>133.7716001756973</v>
      </c>
    </row>
    <row r="1174" spans="1:7" x14ac:dyDescent="0.25">
      <c r="A1174" s="24">
        <v>41089</v>
      </c>
      <c r="B1174" s="25">
        <v>136.10000600000001</v>
      </c>
      <c r="C1174" s="11">
        <f t="shared" si="72"/>
        <v>135.71624856250003</v>
      </c>
      <c r="D1174" s="11">
        <f t="shared" si="73"/>
        <v>1.3183973783304725</v>
      </c>
      <c r="E1174" s="25">
        <v>136.10000600000001</v>
      </c>
      <c r="F1174" s="11">
        <f t="shared" si="74"/>
        <v>138.73680075666095</v>
      </c>
      <c r="G1174" s="11">
        <f t="shared" si="75"/>
        <v>133.46321124333906</v>
      </c>
    </row>
    <row r="1175" spans="1:7" x14ac:dyDescent="0.25">
      <c r="A1175" s="24">
        <v>41088</v>
      </c>
      <c r="B1175" s="25">
        <v>132.78999300000001</v>
      </c>
      <c r="C1175" s="11">
        <f t="shared" si="72"/>
        <v>135.85187437500002</v>
      </c>
      <c r="D1175" s="11">
        <f t="shared" si="73"/>
        <v>1.2311194301080557</v>
      </c>
      <c r="E1175" s="25">
        <v>132.78999300000001</v>
      </c>
      <c r="F1175" s="11">
        <f t="shared" si="74"/>
        <v>135.25223186021611</v>
      </c>
      <c r="G1175" s="11">
        <f t="shared" si="75"/>
        <v>130.32775413978391</v>
      </c>
    </row>
    <row r="1176" spans="1:7" x14ac:dyDescent="0.25">
      <c r="A1176" s="24">
        <v>41087</v>
      </c>
      <c r="B1176" s="25">
        <v>133.16999799999999</v>
      </c>
      <c r="C1176" s="11">
        <f t="shared" si="72"/>
        <v>135.7081241875</v>
      </c>
      <c r="D1176" s="11">
        <f t="shared" si="73"/>
        <v>1.442194133987571</v>
      </c>
      <c r="E1176" s="25">
        <v>133.16999799999999</v>
      </c>
      <c r="F1176" s="11">
        <f t="shared" si="74"/>
        <v>136.05438626797513</v>
      </c>
      <c r="G1176" s="11">
        <f t="shared" si="75"/>
        <v>130.28560973202485</v>
      </c>
    </row>
    <row r="1177" spans="1:7" x14ac:dyDescent="0.25">
      <c r="A1177" s="24">
        <v>41086</v>
      </c>
      <c r="B1177" s="25">
        <v>131.979996</v>
      </c>
      <c r="C1177" s="11">
        <f t="shared" si="72"/>
        <v>135.50187400000002</v>
      </c>
      <c r="D1177" s="11">
        <f t="shared" si="73"/>
        <v>1.5573451946687991</v>
      </c>
      <c r="E1177" s="25">
        <v>131.979996</v>
      </c>
      <c r="F1177" s="11">
        <f t="shared" si="74"/>
        <v>135.0946863893376</v>
      </c>
      <c r="G1177" s="11">
        <f t="shared" si="75"/>
        <v>128.8653056106624</v>
      </c>
    </row>
    <row r="1178" spans="1:7" x14ac:dyDescent="0.25">
      <c r="A1178" s="24">
        <v>41085</v>
      </c>
      <c r="B1178" s="25">
        <v>131.320007</v>
      </c>
      <c r="C1178" s="11">
        <f t="shared" si="72"/>
        <v>135.14249900000002</v>
      </c>
      <c r="D1178" s="11">
        <f t="shared" si="73"/>
        <v>1.6683834807055999</v>
      </c>
      <c r="E1178" s="25">
        <v>131.320007</v>
      </c>
      <c r="F1178" s="11">
        <f t="shared" si="74"/>
        <v>134.6567739614112</v>
      </c>
      <c r="G1178" s="11">
        <f t="shared" si="75"/>
        <v>127.9832400385888</v>
      </c>
    </row>
    <row r="1179" spans="1:7" x14ac:dyDescent="0.25">
      <c r="A1179" s="24">
        <v>41082</v>
      </c>
      <c r="B1179" s="25">
        <v>133.46000699999999</v>
      </c>
      <c r="C1179" s="11">
        <f t="shared" si="72"/>
        <v>134.76437475</v>
      </c>
      <c r="D1179" s="11">
        <f t="shared" si="73"/>
        <v>1.8095047400768534</v>
      </c>
      <c r="E1179" s="25">
        <v>133.46000699999999</v>
      </c>
      <c r="F1179" s="11">
        <f t="shared" si="74"/>
        <v>137.07901648015368</v>
      </c>
      <c r="G1179" s="11">
        <f t="shared" si="75"/>
        <v>129.8409975198463</v>
      </c>
    </row>
    <row r="1180" spans="1:7" x14ac:dyDescent="0.25">
      <c r="A1180" s="24">
        <v>41081</v>
      </c>
      <c r="B1180" s="25">
        <v>132.44000199999999</v>
      </c>
      <c r="C1180" s="11">
        <f t="shared" si="72"/>
        <v>134.58312512500001</v>
      </c>
      <c r="D1180" s="11">
        <f t="shared" si="73"/>
        <v>1.7840840850505102</v>
      </c>
      <c r="E1180" s="25">
        <v>132.44000199999999</v>
      </c>
      <c r="F1180" s="11">
        <f t="shared" si="74"/>
        <v>136.00817017010101</v>
      </c>
      <c r="G1180" s="11">
        <f t="shared" si="75"/>
        <v>128.87183382989897</v>
      </c>
    </row>
    <row r="1181" spans="1:7" x14ac:dyDescent="0.25">
      <c r="A1181" s="24">
        <v>41080</v>
      </c>
      <c r="B1181" s="25">
        <v>135.479996</v>
      </c>
      <c r="C1181" s="11">
        <f t="shared" si="72"/>
        <v>134.39625068750001</v>
      </c>
      <c r="D1181" s="11">
        <f t="shared" si="73"/>
        <v>1.8450181387167166</v>
      </c>
      <c r="E1181" s="25">
        <v>135.479996</v>
      </c>
      <c r="F1181" s="11">
        <f t="shared" si="74"/>
        <v>139.17003227743342</v>
      </c>
      <c r="G1181" s="11">
        <f t="shared" si="75"/>
        <v>131.78995972256658</v>
      </c>
    </row>
    <row r="1182" spans="1:7" x14ac:dyDescent="0.25">
      <c r="A1182" s="24">
        <v>41079</v>
      </c>
      <c r="B1182" s="25">
        <v>135.699997</v>
      </c>
      <c r="C1182" s="11">
        <f t="shared" si="72"/>
        <v>134.37937543749999</v>
      </c>
      <c r="D1182" s="11">
        <f t="shared" si="73"/>
        <v>1.8330064429633257</v>
      </c>
      <c r="E1182" s="25">
        <v>135.699997</v>
      </c>
      <c r="F1182" s="11">
        <f t="shared" si="74"/>
        <v>139.36600988592664</v>
      </c>
      <c r="G1182" s="11">
        <f t="shared" si="75"/>
        <v>132.03398411407335</v>
      </c>
    </row>
    <row r="1183" spans="1:7" x14ac:dyDescent="0.25">
      <c r="A1183" s="24">
        <v>41078</v>
      </c>
      <c r="B1183" s="25">
        <v>134.39999399999999</v>
      </c>
      <c r="C1183" s="11">
        <f t="shared" si="72"/>
        <v>134.51625056250001</v>
      </c>
      <c r="D1183" s="11">
        <f t="shared" si="73"/>
        <v>1.8454837029517577</v>
      </c>
      <c r="E1183" s="25">
        <v>134.39999399999999</v>
      </c>
      <c r="F1183" s="11">
        <f t="shared" si="74"/>
        <v>138.0909614059035</v>
      </c>
      <c r="G1183" s="11">
        <f t="shared" si="75"/>
        <v>130.70902659409649</v>
      </c>
    </row>
    <row r="1184" spans="1:7" x14ac:dyDescent="0.25">
      <c r="A1184" s="24">
        <v>41075</v>
      </c>
      <c r="B1184" s="25">
        <v>134.13999899999999</v>
      </c>
      <c r="C1184" s="11">
        <f t="shared" si="72"/>
        <v>134.53124993750001</v>
      </c>
      <c r="D1184" s="11">
        <f t="shared" si="73"/>
        <v>1.84336930181182</v>
      </c>
      <c r="E1184" s="25">
        <v>134.13999899999999</v>
      </c>
      <c r="F1184" s="11">
        <f t="shared" si="74"/>
        <v>137.82673760362363</v>
      </c>
      <c r="G1184" s="11">
        <f t="shared" si="75"/>
        <v>130.45326039637635</v>
      </c>
    </row>
    <row r="1185" spans="1:7" x14ac:dyDescent="0.25">
      <c r="A1185" s="24">
        <v>41074</v>
      </c>
      <c r="B1185" s="25">
        <v>133.470001</v>
      </c>
      <c r="C1185" s="11">
        <f t="shared" si="72"/>
        <v>134.53124993750001</v>
      </c>
      <c r="D1185" s="11">
        <f t="shared" si="73"/>
        <v>1.8433693018118202</v>
      </c>
      <c r="E1185" s="25">
        <v>133.470001</v>
      </c>
      <c r="F1185" s="11">
        <f t="shared" si="74"/>
        <v>137.15673960362363</v>
      </c>
      <c r="G1185" s="11">
        <f t="shared" si="75"/>
        <v>129.78326239637636</v>
      </c>
    </row>
    <row r="1186" spans="1:7" x14ac:dyDescent="0.25">
      <c r="A1186" s="24">
        <v>41073</v>
      </c>
      <c r="B1186" s="25">
        <v>132.070007</v>
      </c>
      <c r="C1186" s="11">
        <f t="shared" si="72"/>
        <v>134.4156245625</v>
      </c>
      <c r="D1186" s="11">
        <f t="shared" si="73"/>
        <v>1.8486095623311398</v>
      </c>
      <c r="E1186" s="25">
        <v>132.070007</v>
      </c>
      <c r="F1186" s="11">
        <f t="shared" si="74"/>
        <v>135.76722612466227</v>
      </c>
      <c r="G1186" s="11">
        <f t="shared" si="75"/>
        <v>128.37278787533774</v>
      </c>
    </row>
    <row r="1187" spans="1:7" x14ac:dyDescent="0.25">
      <c r="A1187" s="24">
        <v>41072</v>
      </c>
      <c r="B1187" s="25">
        <v>132.91999799999999</v>
      </c>
      <c r="C1187" s="11">
        <f t="shared" si="72"/>
        <v>134.20187468749998</v>
      </c>
      <c r="D1187" s="11">
        <f t="shared" si="73"/>
        <v>1.9127112343330417</v>
      </c>
      <c r="E1187" s="25">
        <v>132.91999799999999</v>
      </c>
      <c r="F1187" s="11">
        <f t="shared" si="74"/>
        <v>136.74542046866608</v>
      </c>
      <c r="G1187" s="11">
        <f t="shared" si="75"/>
        <v>129.0945755313339</v>
      </c>
    </row>
    <row r="1188" spans="1:7" x14ac:dyDescent="0.25">
      <c r="A1188" s="24">
        <v>41071</v>
      </c>
      <c r="B1188" s="25">
        <v>131.41000399999999</v>
      </c>
      <c r="C1188" s="11">
        <f t="shared" si="72"/>
        <v>133.95999999999998</v>
      </c>
      <c r="D1188" s="11">
        <f t="shared" si="73"/>
        <v>1.8052841253823717</v>
      </c>
      <c r="E1188" s="25">
        <v>131.41000399999999</v>
      </c>
      <c r="F1188" s="11">
        <f t="shared" si="74"/>
        <v>135.02057225076473</v>
      </c>
      <c r="G1188" s="11">
        <f t="shared" si="75"/>
        <v>127.79943574923524</v>
      </c>
    </row>
    <row r="1189" spans="1:7" x14ac:dyDescent="0.25">
      <c r="A1189" s="24">
        <v>41068</v>
      </c>
      <c r="B1189" s="25">
        <v>133.10000600000001</v>
      </c>
      <c r="C1189" s="11">
        <f t="shared" si="72"/>
        <v>133.58500000000001</v>
      </c>
      <c r="D1189" s="11">
        <f t="shared" si="73"/>
        <v>1.6580252028716589</v>
      </c>
      <c r="E1189" s="25">
        <v>133.10000600000001</v>
      </c>
      <c r="F1189" s="11">
        <f t="shared" si="74"/>
        <v>136.41605640574332</v>
      </c>
      <c r="G1189" s="11">
        <f t="shared" si="75"/>
        <v>129.7839555942567</v>
      </c>
    </row>
    <row r="1190" spans="1:7" x14ac:dyDescent="0.25">
      <c r="A1190" s="24">
        <v>41067</v>
      </c>
      <c r="B1190" s="25">
        <v>132.050003</v>
      </c>
      <c r="C1190" s="11">
        <f t="shared" si="72"/>
        <v>133.37187568750002</v>
      </c>
      <c r="D1190" s="11">
        <f t="shared" si="73"/>
        <v>1.4648910191345852</v>
      </c>
      <c r="E1190" s="25">
        <v>132.050003</v>
      </c>
      <c r="F1190" s="11">
        <f t="shared" si="74"/>
        <v>134.97978503826917</v>
      </c>
      <c r="G1190" s="11">
        <f t="shared" si="75"/>
        <v>129.12022096173084</v>
      </c>
    </row>
    <row r="1191" spans="1:7" x14ac:dyDescent="0.25">
      <c r="A1191" s="24">
        <v>41066</v>
      </c>
      <c r="B1191" s="25">
        <v>131.970001</v>
      </c>
      <c r="C1191" s="11">
        <f t="shared" si="72"/>
        <v>133.1187505</v>
      </c>
      <c r="D1191" s="11">
        <f t="shared" si="73"/>
        <v>1.303024177323505</v>
      </c>
      <c r="E1191" s="25">
        <v>131.970001</v>
      </c>
      <c r="F1191" s="11">
        <f t="shared" si="74"/>
        <v>134.57604935464701</v>
      </c>
      <c r="G1191" s="11">
        <f t="shared" si="75"/>
        <v>129.36395264535298</v>
      </c>
    </row>
    <row r="1192" spans="1:7" x14ac:dyDescent="0.25">
      <c r="A1192" s="24">
        <v>41065</v>
      </c>
      <c r="B1192" s="25">
        <v>129.070007</v>
      </c>
      <c r="C1192" s="11">
        <f t="shared" si="72"/>
        <v>133.06750100000002</v>
      </c>
      <c r="D1192" s="11">
        <f t="shared" si="73"/>
        <v>1.3326064645469284</v>
      </c>
      <c r="E1192" s="25">
        <v>129.070007</v>
      </c>
      <c r="F1192" s="11">
        <f t="shared" si="74"/>
        <v>131.73521992909386</v>
      </c>
      <c r="G1192" s="11">
        <f t="shared" si="75"/>
        <v>126.40479407090615</v>
      </c>
    </row>
    <row r="1193" spans="1:7" x14ac:dyDescent="0.25">
      <c r="A1193" s="24">
        <v>41064</v>
      </c>
      <c r="B1193" s="25">
        <v>128.10000600000001</v>
      </c>
      <c r="C1193" s="11">
        <f t="shared" si="72"/>
        <v>132.81125156249999</v>
      </c>
      <c r="D1193" s="11">
        <f t="shared" si="73"/>
        <v>1.6644605151581067</v>
      </c>
      <c r="E1193" s="25">
        <v>128.10000600000001</v>
      </c>
      <c r="F1193" s="11">
        <f t="shared" si="74"/>
        <v>131.42892703031623</v>
      </c>
      <c r="G1193" s="11">
        <f t="shared" si="75"/>
        <v>124.7710849696838</v>
      </c>
    </row>
    <row r="1194" spans="1:7" x14ac:dyDescent="0.25">
      <c r="A1194" s="24">
        <v>41061</v>
      </c>
      <c r="B1194" s="25">
        <v>128.16000399999999</v>
      </c>
      <c r="C1194" s="11">
        <f t="shared" si="72"/>
        <v>132.5687521875</v>
      </c>
      <c r="D1194" s="11">
        <f t="shared" si="73"/>
        <v>2.0350329381083454</v>
      </c>
      <c r="E1194" s="25">
        <v>128.16000399999999</v>
      </c>
      <c r="F1194" s="11">
        <f t="shared" si="74"/>
        <v>132.23006987621667</v>
      </c>
      <c r="G1194" s="11">
        <f t="shared" si="75"/>
        <v>124.0899381237833</v>
      </c>
    </row>
    <row r="1195" spans="1:7" x14ac:dyDescent="0.25">
      <c r="A1195" s="24">
        <v>41060</v>
      </c>
      <c r="B1195" s="25">
        <v>131.470001</v>
      </c>
      <c r="C1195" s="11">
        <f t="shared" si="72"/>
        <v>132.371252</v>
      </c>
      <c r="D1195" s="11">
        <f t="shared" si="73"/>
        <v>2.3003475207059174</v>
      </c>
      <c r="E1195" s="25">
        <v>131.470001</v>
      </c>
      <c r="F1195" s="11">
        <f t="shared" si="74"/>
        <v>136.07069604141182</v>
      </c>
      <c r="G1195" s="11">
        <f t="shared" si="75"/>
        <v>126.86930595858816</v>
      </c>
    </row>
    <row r="1196" spans="1:7" x14ac:dyDescent="0.25">
      <c r="A1196" s="24">
        <v>41059</v>
      </c>
      <c r="B1196" s="25">
        <v>131.759995</v>
      </c>
      <c r="C1196" s="11">
        <f t="shared" si="72"/>
        <v>132.246876625</v>
      </c>
      <c r="D1196" s="11">
        <f t="shared" si="73"/>
        <v>2.2913364209960045</v>
      </c>
      <c r="E1196" s="25">
        <v>131.759995</v>
      </c>
      <c r="F1196" s="11">
        <f t="shared" si="74"/>
        <v>136.34266784199201</v>
      </c>
      <c r="G1196" s="11">
        <f t="shared" si="75"/>
        <v>127.177322158008</v>
      </c>
    </row>
    <row r="1197" spans="1:7" x14ac:dyDescent="0.25">
      <c r="A1197" s="24">
        <v>41058</v>
      </c>
      <c r="B1197" s="25">
        <v>133.699997</v>
      </c>
      <c r="C1197" s="11">
        <f t="shared" si="72"/>
        <v>132.20437618749997</v>
      </c>
      <c r="D1197" s="11">
        <f t="shared" si="73"/>
        <v>2.2938206065286559</v>
      </c>
      <c r="E1197" s="25">
        <v>133.699997</v>
      </c>
      <c r="F1197" s="11">
        <f t="shared" si="74"/>
        <v>138.28763821305731</v>
      </c>
      <c r="G1197" s="11">
        <f t="shared" si="75"/>
        <v>129.11235578694269</v>
      </c>
    </row>
    <row r="1198" spans="1:7" x14ac:dyDescent="0.25">
      <c r="A1198" s="24">
        <v>41054</v>
      </c>
      <c r="B1198" s="25">
        <v>132.10000600000001</v>
      </c>
      <c r="C1198" s="11">
        <f t="shared" si="72"/>
        <v>132.09312624999998</v>
      </c>
      <c r="D1198" s="11">
        <f t="shared" si="73"/>
        <v>2.1638448235378451</v>
      </c>
      <c r="E1198" s="25">
        <v>132.10000600000001</v>
      </c>
      <c r="F1198" s="11">
        <f t="shared" si="74"/>
        <v>136.42769564707569</v>
      </c>
      <c r="G1198" s="11">
        <f t="shared" si="75"/>
        <v>127.77231635292432</v>
      </c>
    </row>
    <row r="1199" spans="1:7" x14ac:dyDescent="0.25">
      <c r="A1199" s="24">
        <v>41053</v>
      </c>
      <c r="B1199" s="25">
        <v>132.529999</v>
      </c>
      <c r="C1199" s="11">
        <f t="shared" si="72"/>
        <v>131.86812681249998</v>
      </c>
      <c r="D1199" s="11">
        <f t="shared" si="73"/>
        <v>1.9393108927145981</v>
      </c>
      <c r="E1199" s="25">
        <v>132.529999</v>
      </c>
      <c r="F1199" s="11">
        <f t="shared" si="74"/>
        <v>136.40862078542921</v>
      </c>
      <c r="G1199" s="11">
        <f t="shared" si="75"/>
        <v>128.6513772145708</v>
      </c>
    </row>
    <row r="1200" spans="1:7" x14ac:dyDescent="0.25">
      <c r="A1200" s="24">
        <v>41052</v>
      </c>
      <c r="B1200" s="25">
        <v>132.270004</v>
      </c>
      <c r="C1200" s="11">
        <f t="shared" si="72"/>
        <v>131.75125212499998</v>
      </c>
      <c r="D1200" s="11">
        <f t="shared" si="73"/>
        <v>1.8298099962421912</v>
      </c>
      <c r="E1200" s="25">
        <v>132.270004</v>
      </c>
      <c r="F1200" s="11">
        <f t="shared" si="74"/>
        <v>135.92962399248438</v>
      </c>
      <c r="G1200" s="11">
        <f t="shared" si="75"/>
        <v>128.61038400751562</v>
      </c>
    </row>
    <row r="1201" spans="1:7" x14ac:dyDescent="0.25">
      <c r="A1201" s="24">
        <v>41051</v>
      </c>
      <c r="B1201" s="25">
        <v>132.199997</v>
      </c>
      <c r="C1201" s="11">
        <f t="shared" si="72"/>
        <v>131.63437743750001</v>
      </c>
      <c r="D1201" s="11">
        <f t="shared" si="73"/>
        <v>1.7237073635811844</v>
      </c>
      <c r="E1201" s="25">
        <v>132.199997</v>
      </c>
      <c r="F1201" s="11">
        <f t="shared" si="74"/>
        <v>135.64741172716236</v>
      </c>
      <c r="G1201" s="11">
        <f t="shared" si="75"/>
        <v>128.75258227283763</v>
      </c>
    </row>
    <row r="1202" spans="1:7" x14ac:dyDescent="0.25">
      <c r="A1202" s="24">
        <v>41050</v>
      </c>
      <c r="B1202" s="25">
        <v>131.970001</v>
      </c>
      <c r="C1202" s="11">
        <f t="shared" si="72"/>
        <v>131.55500218749998</v>
      </c>
      <c r="D1202" s="11">
        <f t="shared" si="73"/>
        <v>1.6616680549021914</v>
      </c>
      <c r="E1202" s="25">
        <v>131.970001</v>
      </c>
      <c r="F1202" s="11">
        <f t="shared" si="74"/>
        <v>135.29333710980438</v>
      </c>
      <c r="G1202" s="11">
        <f t="shared" si="75"/>
        <v>128.64666489019561</v>
      </c>
    </row>
    <row r="1203" spans="1:7" x14ac:dyDescent="0.25">
      <c r="A1203" s="24">
        <v>41047</v>
      </c>
      <c r="B1203" s="25">
        <v>129.740005</v>
      </c>
      <c r="C1203" s="11">
        <f t="shared" si="72"/>
        <v>131.5487518125</v>
      </c>
      <c r="D1203" s="11">
        <f t="shared" si="73"/>
        <v>1.6597887386193151</v>
      </c>
      <c r="E1203" s="25">
        <v>129.740005</v>
      </c>
      <c r="F1203" s="11">
        <f t="shared" si="74"/>
        <v>133.05958247723862</v>
      </c>
      <c r="G1203" s="11">
        <f t="shared" si="75"/>
        <v>126.42042752276137</v>
      </c>
    </row>
    <row r="1204" spans="1:7" x14ac:dyDescent="0.25">
      <c r="A1204" s="24">
        <v>41046</v>
      </c>
      <c r="B1204" s="25">
        <v>130.86000100000001</v>
      </c>
      <c r="C1204" s="11">
        <f t="shared" si="72"/>
        <v>131.35000224999996</v>
      </c>
      <c r="D1204" s="11">
        <f t="shared" si="73"/>
        <v>1.6749667968889224</v>
      </c>
      <c r="E1204" s="25">
        <v>130.86000100000001</v>
      </c>
      <c r="F1204" s="11">
        <f t="shared" si="74"/>
        <v>134.20993459377786</v>
      </c>
      <c r="G1204" s="11">
        <f t="shared" si="75"/>
        <v>127.51006740622216</v>
      </c>
    </row>
    <row r="1205" spans="1:7" x14ac:dyDescent="0.25">
      <c r="A1205" s="24">
        <v>41045</v>
      </c>
      <c r="B1205" s="25">
        <v>132.83000200000001</v>
      </c>
      <c r="C1205" s="11">
        <f t="shared" si="72"/>
        <v>131.31562706249997</v>
      </c>
      <c r="D1205" s="11">
        <f t="shared" si="73"/>
        <v>1.6792915394882646</v>
      </c>
      <c r="E1205" s="25">
        <v>132.83000200000001</v>
      </c>
      <c r="F1205" s="11">
        <f t="shared" si="74"/>
        <v>136.18858507897653</v>
      </c>
      <c r="G1205" s="11">
        <f t="shared" si="75"/>
        <v>129.47141892102348</v>
      </c>
    </row>
    <row r="1206" spans="1:7" x14ac:dyDescent="0.25">
      <c r="A1206" s="24">
        <v>41044</v>
      </c>
      <c r="B1206" s="25">
        <v>133.33999600000001</v>
      </c>
      <c r="C1206" s="11">
        <f t="shared" si="72"/>
        <v>131.2987518125</v>
      </c>
      <c r="D1206" s="11">
        <f t="shared" si="73"/>
        <v>1.6614264552423312</v>
      </c>
      <c r="E1206" s="25">
        <v>133.33999600000001</v>
      </c>
      <c r="F1206" s="11">
        <f t="shared" si="74"/>
        <v>136.66284891048468</v>
      </c>
      <c r="G1206" s="11">
        <f t="shared" si="75"/>
        <v>130.01714308951534</v>
      </c>
    </row>
    <row r="1207" spans="1:7" x14ac:dyDescent="0.25">
      <c r="A1207" s="24">
        <v>41043</v>
      </c>
      <c r="B1207" s="25">
        <v>134.11000100000001</v>
      </c>
      <c r="C1207" s="11">
        <f t="shared" si="72"/>
        <v>131.37937637499999</v>
      </c>
      <c r="D1207" s="11">
        <f t="shared" si="73"/>
        <v>1.7301900157249748</v>
      </c>
      <c r="E1207" s="25">
        <v>134.11000100000001</v>
      </c>
      <c r="F1207" s="11">
        <f t="shared" si="74"/>
        <v>137.57038103144995</v>
      </c>
      <c r="G1207" s="11">
        <f t="shared" si="75"/>
        <v>130.64962096855007</v>
      </c>
    </row>
    <row r="1208" spans="1:7" x14ac:dyDescent="0.25">
      <c r="A1208" s="24">
        <v>41040</v>
      </c>
      <c r="B1208" s="25">
        <v>135.61000100000001</v>
      </c>
      <c r="C1208" s="11">
        <f t="shared" si="72"/>
        <v>131.51312637499998</v>
      </c>
      <c r="D1208" s="11">
        <f t="shared" si="73"/>
        <v>1.8569618691600513</v>
      </c>
      <c r="E1208" s="25">
        <v>135.61000100000001</v>
      </c>
      <c r="F1208" s="11">
        <f t="shared" si="74"/>
        <v>139.3239247383201</v>
      </c>
      <c r="G1208" s="11">
        <f t="shared" si="75"/>
        <v>131.89607726167992</v>
      </c>
    </row>
    <row r="1209" spans="1:7" x14ac:dyDescent="0.25">
      <c r="A1209" s="24">
        <v>41039</v>
      </c>
      <c r="B1209" s="25">
        <v>136.020004</v>
      </c>
      <c r="C1209" s="11">
        <f t="shared" si="72"/>
        <v>131.92187599999997</v>
      </c>
      <c r="D1209" s="11">
        <f t="shared" si="73"/>
        <v>1.9977811036277593</v>
      </c>
      <c r="E1209" s="25">
        <v>136.020004</v>
      </c>
      <c r="F1209" s="11">
        <f t="shared" si="74"/>
        <v>140.01556620725552</v>
      </c>
      <c r="G1209" s="11">
        <f t="shared" si="75"/>
        <v>132.02444179274448</v>
      </c>
    </row>
    <row r="1210" spans="1:7" x14ac:dyDescent="0.25">
      <c r="A1210" s="24">
        <v>41038</v>
      </c>
      <c r="B1210" s="25">
        <v>135.740005</v>
      </c>
      <c r="C1210" s="11">
        <f t="shared" si="72"/>
        <v>132.41687587499999</v>
      </c>
      <c r="D1210" s="11">
        <f t="shared" si="73"/>
        <v>1.9686629110078067</v>
      </c>
      <c r="E1210" s="25">
        <v>135.740005</v>
      </c>
      <c r="F1210" s="11">
        <f t="shared" si="74"/>
        <v>139.67733082201562</v>
      </c>
      <c r="G1210" s="11">
        <f t="shared" si="75"/>
        <v>131.80267917798437</v>
      </c>
    </row>
    <row r="1211" spans="1:7" x14ac:dyDescent="0.25">
      <c r="A1211" s="24">
        <v>41037</v>
      </c>
      <c r="B1211" s="25">
        <v>136.550003</v>
      </c>
      <c r="C1211" s="11">
        <f t="shared" si="72"/>
        <v>132.8906259375</v>
      </c>
      <c r="D1211" s="11">
        <f t="shared" si="73"/>
        <v>1.7788705767316328</v>
      </c>
      <c r="E1211" s="25">
        <v>136.550003</v>
      </c>
      <c r="F1211" s="11">
        <f t="shared" si="74"/>
        <v>140.10774415346327</v>
      </c>
      <c r="G1211" s="11">
        <f t="shared" si="75"/>
        <v>132.99226184653673</v>
      </c>
    </row>
    <row r="1212" spans="1:7" x14ac:dyDescent="0.25">
      <c r="A1212" s="24">
        <v>41036</v>
      </c>
      <c r="B1212" s="25">
        <v>137.10000600000001</v>
      </c>
      <c r="C1212" s="11">
        <f t="shared" si="72"/>
        <v>133.20812606249999</v>
      </c>
      <c r="D1212" s="11">
        <f t="shared" si="73"/>
        <v>1.9532139656461427</v>
      </c>
      <c r="E1212" s="25">
        <v>137.10000600000001</v>
      </c>
      <c r="F1212" s="11">
        <f t="shared" si="74"/>
        <v>141.00643393129229</v>
      </c>
      <c r="G1212" s="11">
        <f t="shared" si="75"/>
        <v>133.19357806870772</v>
      </c>
    </row>
    <row r="1213" spans="1:7" x14ac:dyDescent="0.25">
      <c r="A1213" s="24">
        <v>41033</v>
      </c>
      <c r="B1213" s="25">
        <v>137</v>
      </c>
      <c r="C1213" s="11">
        <f t="shared" si="72"/>
        <v>133.54187675</v>
      </c>
      <c r="D1213" s="11">
        <f t="shared" si="73"/>
        <v>2.1368681984804625</v>
      </c>
      <c r="E1213" s="25">
        <v>137</v>
      </c>
      <c r="F1213" s="11">
        <f t="shared" si="74"/>
        <v>141.27373639696091</v>
      </c>
      <c r="G1213" s="11">
        <f t="shared" si="75"/>
        <v>132.72626360303909</v>
      </c>
    </row>
    <row r="1214" spans="1:7" x14ac:dyDescent="0.25">
      <c r="A1214" s="24">
        <v>41032</v>
      </c>
      <c r="B1214" s="25">
        <v>139.25</v>
      </c>
      <c r="C1214" s="11">
        <f t="shared" si="72"/>
        <v>133.74812693749999</v>
      </c>
      <c r="D1214" s="11">
        <f t="shared" si="73"/>
        <v>2.3057330522907025</v>
      </c>
      <c r="E1214" s="25">
        <v>139.25</v>
      </c>
      <c r="F1214" s="11">
        <f t="shared" si="74"/>
        <v>143.86146610458141</v>
      </c>
      <c r="G1214" s="11">
        <f t="shared" si="75"/>
        <v>134.63853389541859</v>
      </c>
    </row>
    <row r="1215" spans="1:7" x14ac:dyDescent="0.25">
      <c r="A1215" s="24">
        <v>41031</v>
      </c>
      <c r="B1215" s="25">
        <v>140.320007</v>
      </c>
      <c r="C1215" s="11">
        <f t="shared" si="72"/>
        <v>134.19500156250001</v>
      </c>
      <c r="D1215" s="11">
        <f t="shared" si="73"/>
        <v>2.6344541156265113</v>
      </c>
      <c r="E1215" s="25">
        <v>140.320007</v>
      </c>
      <c r="F1215" s="11">
        <f t="shared" si="74"/>
        <v>145.58891523125303</v>
      </c>
      <c r="G1215" s="11">
        <f t="shared" si="75"/>
        <v>135.05109876874698</v>
      </c>
    </row>
    <row r="1216" spans="1:7" x14ac:dyDescent="0.25">
      <c r="A1216" s="24">
        <v>41030</v>
      </c>
      <c r="B1216" s="25">
        <v>140.740005</v>
      </c>
      <c r="C1216" s="11">
        <f t="shared" si="72"/>
        <v>134.68187706250001</v>
      </c>
      <c r="D1216" s="11">
        <f t="shared" si="73"/>
        <v>3.0006212839609394</v>
      </c>
      <c r="E1216" s="25">
        <v>140.740005</v>
      </c>
      <c r="F1216" s="11">
        <f t="shared" si="74"/>
        <v>146.74124756792187</v>
      </c>
      <c r="G1216" s="11">
        <f t="shared" si="75"/>
        <v>134.73876243207812</v>
      </c>
    </row>
    <row r="1217" spans="1:7" x14ac:dyDescent="0.25">
      <c r="A1217" s="24">
        <v>41029</v>
      </c>
      <c r="B1217" s="25">
        <v>139.86999499999999</v>
      </c>
      <c r="C1217" s="11">
        <f t="shared" si="72"/>
        <v>135.21125212499999</v>
      </c>
      <c r="D1217" s="11">
        <f t="shared" si="73"/>
        <v>3.2808118555742234</v>
      </c>
      <c r="E1217" s="25">
        <v>139.86999499999999</v>
      </c>
      <c r="F1217" s="11">
        <f t="shared" si="74"/>
        <v>146.43161871114845</v>
      </c>
      <c r="G1217" s="11">
        <f t="shared" si="75"/>
        <v>133.30837128885153</v>
      </c>
    </row>
    <row r="1218" spans="1:7" x14ac:dyDescent="0.25">
      <c r="A1218" s="24">
        <v>41026</v>
      </c>
      <c r="B1218" s="25">
        <v>140.38999899999999</v>
      </c>
      <c r="C1218" s="11">
        <f t="shared" si="72"/>
        <v>135.69062700000001</v>
      </c>
      <c r="D1218" s="11">
        <f t="shared" si="73"/>
        <v>3.3706114172374302</v>
      </c>
      <c r="E1218" s="25">
        <v>140.38999899999999</v>
      </c>
      <c r="F1218" s="11">
        <f t="shared" si="74"/>
        <v>147.13122183447484</v>
      </c>
      <c r="G1218" s="11">
        <f t="shared" si="75"/>
        <v>133.64877616552513</v>
      </c>
    </row>
    <row r="1219" spans="1:7" x14ac:dyDescent="0.25">
      <c r="A1219" s="24">
        <v>41025</v>
      </c>
      <c r="B1219" s="25">
        <v>140.16000399999999</v>
      </c>
      <c r="C1219" s="11">
        <f t="shared" si="72"/>
        <v>136.216876875</v>
      </c>
      <c r="D1219" s="11">
        <f t="shared" si="73"/>
        <v>3.4080819273962821</v>
      </c>
      <c r="E1219" s="25">
        <v>140.16000399999999</v>
      </c>
      <c r="F1219" s="11">
        <f t="shared" si="74"/>
        <v>146.97616785479255</v>
      </c>
      <c r="G1219" s="11">
        <f t="shared" si="75"/>
        <v>133.34384014520742</v>
      </c>
    </row>
    <row r="1220" spans="1:7" x14ac:dyDescent="0.25">
      <c r="A1220" s="24">
        <v>41024</v>
      </c>
      <c r="B1220" s="25">
        <v>139.19000199999999</v>
      </c>
      <c r="C1220" s="11">
        <f t="shared" si="72"/>
        <v>136.86812681249998</v>
      </c>
      <c r="D1220" s="11">
        <f t="shared" si="73"/>
        <v>3.0663517399772413</v>
      </c>
      <c r="E1220" s="25">
        <v>139.19000199999999</v>
      </c>
      <c r="F1220" s="11">
        <f t="shared" si="74"/>
        <v>145.32270547995446</v>
      </c>
      <c r="G1220" s="11">
        <f t="shared" si="75"/>
        <v>133.05729852004552</v>
      </c>
    </row>
    <row r="1221" spans="1:7" x14ac:dyDescent="0.25">
      <c r="A1221" s="24">
        <v>41023</v>
      </c>
      <c r="B1221" s="25">
        <v>137.30999800000001</v>
      </c>
      <c r="C1221" s="11">
        <f t="shared" si="72"/>
        <v>137.38875187499997</v>
      </c>
      <c r="D1221" s="11">
        <f t="shared" si="73"/>
        <v>2.6582502542734288</v>
      </c>
      <c r="E1221" s="25">
        <v>137.30999800000001</v>
      </c>
      <c r="F1221" s="11">
        <f t="shared" si="74"/>
        <v>142.62649850854686</v>
      </c>
      <c r="G1221" s="11">
        <f t="shared" si="75"/>
        <v>131.99349749145316</v>
      </c>
    </row>
    <row r="1222" spans="1:7" x14ac:dyDescent="0.25">
      <c r="A1222" s="24">
        <v>41022</v>
      </c>
      <c r="B1222" s="25">
        <v>136.78999300000001</v>
      </c>
      <c r="C1222" s="11">
        <f t="shared" si="72"/>
        <v>137.66875162500003</v>
      </c>
      <c r="D1222" s="11">
        <f t="shared" si="73"/>
        <v>2.3659250510133143</v>
      </c>
      <c r="E1222" s="25">
        <v>136.78999300000001</v>
      </c>
      <c r="F1222" s="11">
        <f t="shared" si="74"/>
        <v>141.52184310202665</v>
      </c>
      <c r="G1222" s="11">
        <f t="shared" si="75"/>
        <v>132.05814289797337</v>
      </c>
    </row>
    <row r="1223" spans="1:7" x14ac:dyDescent="0.25">
      <c r="A1223" s="24">
        <v>41019</v>
      </c>
      <c r="B1223" s="25">
        <v>137.949997</v>
      </c>
      <c r="C1223" s="11">
        <f t="shared" si="72"/>
        <v>137.88437643750001</v>
      </c>
      <c r="D1223" s="11">
        <f t="shared" si="73"/>
        <v>2.0857325924636583</v>
      </c>
      <c r="E1223" s="25">
        <v>137.949997</v>
      </c>
      <c r="F1223" s="11">
        <f t="shared" si="74"/>
        <v>142.12146218492731</v>
      </c>
      <c r="G1223" s="11">
        <f t="shared" si="75"/>
        <v>133.77853181507268</v>
      </c>
    </row>
    <row r="1224" spans="1:7" x14ac:dyDescent="0.25">
      <c r="A1224" s="24">
        <v>41018</v>
      </c>
      <c r="B1224" s="25">
        <v>137.720001</v>
      </c>
      <c r="C1224" s="11">
        <f t="shared" si="72"/>
        <v>138.12437618750002</v>
      </c>
      <c r="D1224" s="11">
        <f t="shared" si="73"/>
        <v>1.8274026147147793</v>
      </c>
      <c r="E1224" s="25">
        <v>137.720001</v>
      </c>
      <c r="F1224" s="11">
        <f t="shared" si="74"/>
        <v>141.37480622942957</v>
      </c>
      <c r="G1224" s="11">
        <f t="shared" si="75"/>
        <v>134.06519577057043</v>
      </c>
    </row>
    <row r="1225" spans="1:7" x14ac:dyDescent="0.25">
      <c r="A1225" s="24">
        <v>41017</v>
      </c>
      <c r="B1225" s="25">
        <v>138.61000100000001</v>
      </c>
      <c r="C1225" s="11">
        <f t="shared" si="72"/>
        <v>138.25625118750003</v>
      </c>
      <c r="D1225" s="11">
        <f t="shared" si="73"/>
        <v>1.705953989272986</v>
      </c>
      <c r="E1225" s="25">
        <v>138.61000100000001</v>
      </c>
      <c r="F1225" s="11">
        <f t="shared" si="74"/>
        <v>142.02190897854598</v>
      </c>
      <c r="G1225" s="11">
        <f t="shared" si="75"/>
        <v>135.19809302145404</v>
      </c>
    </row>
    <row r="1226" spans="1:7" x14ac:dyDescent="0.25">
      <c r="A1226" s="24">
        <v>41016</v>
      </c>
      <c r="B1226" s="25">
        <v>139.08000200000001</v>
      </c>
      <c r="C1226" s="11">
        <f t="shared" si="72"/>
        <v>138.418126</v>
      </c>
      <c r="D1226" s="11">
        <f t="shared" si="73"/>
        <v>1.5991511783909573</v>
      </c>
      <c r="E1226" s="25">
        <v>139.08000200000001</v>
      </c>
      <c r="F1226" s="11">
        <f t="shared" si="74"/>
        <v>142.27830435678192</v>
      </c>
      <c r="G1226" s="11">
        <f t="shared" si="75"/>
        <v>135.8816996432181</v>
      </c>
    </row>
    <row r="1227" spans="1:7" x14ac:dyDescent="0.25">
      <c r="A1227" s="24">
        <v>41015</v>
      </c>
      <c r="B1227" s="25">
        <v>137.050003</v>
      </c>
      <c r="C1227" s="11">
        <f t="shared" si="72"/>
        <v>138.6268758125</v>
      </c>
      <c r="D1227" s="11">
        <f t="shared" si="73"/>
        <v>1.4359153032467304</v>
      </c>
      <c r="E1227" s="25">
        <v>137.050003</v>
      </c>
      <c r="F1227" s="11">
        <f t="shared" si="74"/>
        <v>139.92183360649346</v>
      </c>
      <c r="G1227" s="11">
        <f t="shared" si="75"/>
        <v>134.17817239350654</v>
      </c>
    </row>
    <row r="1228" spans="1:7" x14ac:dyDescent="0.25">
      <c r="A1228" s="24">
        <v>41012</v>
      </c>
      <c r="B1228" s="25">
        <v>137.13999899999999</v>
      </c>
      <c r="C1228" s="11">
        <f t="shared" si="72"/>
        <v>138.6581258125</v>
      </c>
      <c r="D1228" s="11">
        <f t="shared" si="73"/>
        <v>1.3924868295959389</v>
      </c>
      <c r="E1228" s="25">
        <v>137.13999899999999</v>
      </c>
      <c r="F1228" s="11">
        <f t="shared" si="74"/>
        <v>139.92497265919187</v>
      </c>
      <c r="G1228" s="11">
        <f t="shared" si="75"/>
        <v>134.35502534080811</v>
      </c>
    </row>
    <row r="1229" spans="1:7" x14ac:dyDescent="0.25">
      <c r="A1229" s="24">
        <v>41011</v>
      </c>
      <c r="B1229" s="25">
        <v>138.78999300000001</v>
      </c>
      <c r="C1229" s="11">
        <f t="shared" si="72"/>
        <v>138.660625375</v>
      </c>
      <c r="D1229" s="11">
        <f t="shared" si="73"/>
        <v>1.3895362598770287</v>
      </c>
      <c r="E1229" s="25">
        <v>138.78999300000001</v>
      </c>
      <c r="F1229" s="11">
        <f t="shared" si="74"/>
        <v>141.56906551975408</v>
      </c>
      <c r="G1229" s="11">
        <f t="shared" si="75"/>
        <v>136.01092048024594</v>
      </c>
    </row>
    <row r="1230" spans="1:7" x14ac:dyDescent="0.25">
      <c r="A1230" s="24">
        <v>41010</v>
      </c>
      <c r="B1230" s="25">
        <v>137</v>
      </c>
      <c r="C1230" s="11">
        <f t="shared" si="72"/>
        <v>138.77249993749999</v>
      </c>
      <c r="D1230" s="11">
        <f t="shared" si="73"/>
        <v>1.3170919969196484</v>
      </c>
      <c r="E1230" s="25">
        <v>137</v>
      </c>
      <c r="F1230" s="11">
        <f t="shared" si="74"/>
        <v>139.63418399383929</v>
      </c>
      <c r="G1230" s="11">
        <f t="shared" si="75"/>
        <v>134.36581600616071</v>
      </c>
    </row>
    <row r="1231" spans="1:7" x14ac:dyDescent="0.25">
      <c r="A1231" s="24">
        <v>41009</v>
      </c>
      <c r="B1231" s="25">
        <v>135.89999399999999</v>
      </c>
      <c r="C1231" s="11">
        <f t="shared" si="72"/>
        <v>138.63187493749999</v>
      </c>
      <c r="D1231" s="11">
        <f t="shared" si="73"/>
        <v>1.381263030562893</v>
      </c>
      <c r="E1231" s="25">
        <v>135.89999399999999</v>
      </c>
      <c r="F1231" s="11">
        <f t="shared" si="74"/>
        <v>138.66252006112578</v>
      </c>
      <c r="G1231" s="11">
        <f t="shared" si="75"/>
        <v>133.13746793887421</v>
      </c>
    </row>
    <row r="1232" spans="1:7" x14ac:dyDescent="0.25">
      <c r="A1232" s="24">
        <v>41008</v>
      </c>
      <c r="B1232" s="25">
        <v>138.220001</v>
      </c>
      <c r="C1232" s="11">
        <f t="shared" si="72"/>
        <v>138.35562412499999</v>
      </c>
      <c r="D1232" s="11">
        <f t="shared" si="73"/>
        <v>1.4608368562282292</v>
      </c>
      <c r="E1232" s="25">
        <v>138.220001</v>
      </c>
      <c r="F1232" s="11">
        <f t="shared" si="74"/>
        <v>141.14167471245645</v>
      </c>
      <c r="G1232" s="11">
        <f t="shared" si="75"/>
        <v>135.29832728754354</v>
      </c>
    </row>
    <row r="1233" spans="1:7" x14ac:dyDescent="0.25">
      <c r="A1233" s="24">
        <v>41004</v>
      </c>
      <c r="B1233" s="25">
        <v>139.78999300000001</v>
      </c>
      <c r="C1233" s="11">
        <f t="shared" si="72"/>
        <v>138.19812387499999</v>
      </c>
      <c r="D1233" s="11">
        <f t="shared" si="73"/>
        <v>1.3152156989809602</v>
      </c>
      <c r="E1233" s="25">
        <v>139.78999300000001</v>
      </c>
      <c r="F1233" s="11">
        <f t="shared" si="74"/>
        <v>142.42042439796194</v>
      </c>
      <c r="G1233" s="11">
        <f t="shared" si="75"/>
        <v>137.15956160203808</v>
      </c>
    </row>
    <row r="1234" spans="1:7" x14ac:dyDescent="0.25">
      <c r="A1234" s="24">
        <v>41003</v>
      </c>
      <c r="B1234" s="25">
        <v>139.86000100000001</v>
      </c>
      <c r="C1234" s="11">
        <f t="shared" si="72"/>
        <v>138.19312375000001</v>
      </c>
      <c r="D1234" s="11">
        <f t="shared" si="73"/>
        <v>1.3085712120530282</v>
      </c>
      <c r="E1234" s="25">
        <v>139.86000100000001</v>
      </c>
      <c r="F1234" s="11">
        <f t="shared" si="74"/>
        <v>142.47714342410606</v>
      </c>
      <c r="G1234" s="11">
        <f t="shared" si="75"/>
        <v>137.24285857589396</v>
      </c>
    </row>
    <row r="1235" spans="1:7" x14ac:dyDescent="0.25">
      <c r="A1235" s="24">
        <v>41002</v>
      </c>
      <c r="B1235" s="25">
        <v>141.259995</v>
      </c>
      <c r="C1235" s="11">
        <f t="shared" si="72"/>
        <v>138.15999887500001</v>
      </c>
      <c r="D1235" s="11">
        <f t="shared" si="73"/>
        <v>1.2548583463274197</v>
      </c>
      <c r="E1235" s="25">
        <v>141.259995</v>
      </c>
      <c r="F1235" s="11">
        <f t="shared" si="74"/>
        <v>143.76971169265485</v>
      </c>
      <c r="G1235" s="11">
        <f t="shared" si="75"/>
        <v>138.75027830734516</v>
      </c>
    </row>
    <row r="1236" spans="1:7" x14ac:dyDescent="0.25">
      <c r="A1236" s="24">
        <v>41001</v>
      </c>
      <c r="B1236" s="25">
        <v>141.83999600000001</v>
      </c>
      <c r="C1236" s="11">
        <f t="shared" ref="C1236:C1260" si="76">AVERAGE(B1220:B1235)</f>
        <v>138.22874831250002</v>
      </c>
      <c r="D1236" s="11">
        <f t="shared" ref="D1236:D1260" si="77">_xlfn.STDEV.S(B1220:B1235)</f>
        <v>1.3941394897378467</v>
      </c>
      <c r="E1236" s="25">
        <v>141.83999600000001</v>
      </c>
      <c r="F1236" s="11">
        <f t="shared" ref="F1236:F1260" si="78">B1236+2*D1236</f>
        <v>144.62827497947572</v>
      </c>
      <c r="G1236" s="11">
        <f t="shared" ref="G1236:G1260" si="79">B1236-2*D1236</f>
        <v>139.05171702052431</v>
      </c>
    </row>
    <row r="1237" spans="1:7" x14ac:dyDescent="0.25">
      <c r="A1237" s="24">
        <v>40998</v>
      </c>
      <c r="B1237" s="25">
        <v>140.80999800000001</v>
      </c>
      <c r="C1237" s="11">
        <f t="shared" si="76"/>
        <v>138.39437293750001</v>
      </c>
      <c r="D1237" s="11">
        <f t="shared" si="77"/>
        <v>1.6499004151551522</v>
      </c>
      <c r="E1237" s="25">
        <v>140.80999800000001</v>
      </c>
      <c r="F1237" s="11">
        <f t="shared" si="78"/>
        <v>144.10979883031033</v>
      </c>
      <c r="G1237" s="11">
        <f t="shared" si="79"/>
        <v>137.51019716968969</v>
      </c>
    </row>
    <row r="1238" spans="1:7" x14ac:dyDescent="0.25">
      <c r="A1238" s="24">
        <v>40997</v>
      </c>
      <c r="B1238" s="25">
        <v>140.229996</v>
      </c>
      <c r="C1238" s="11">
        <f t="shared" si="76"/>
        <v>138.61312293750004</v>
      </c>
      <c r="D1238" s="11">
        <f t="shared" si="77"/>
        <v>1.7267758228644345</v>
      </c>
      <c r="E1238" s="25">
        <v>140.229996</v>
      </c>
      <c r="F1238" s="11">
        <f t="shared" si="78"/>
        <v>143.68354764572888</v>
      </c>
      <c r="G1238" s="11">
        <f t="shared" si="79"/>
        <v>136.77644435427112</v>
      </c>
    </row>
    <row r="1239" spans="1:7" x14ac:dyDescent="0.25">
      <c r="A1239" s="24">
        <v>40996</v>
      </c>
      <c r="B1239" s="25">
        <v>140.470001</v>
      </c>
      <c r="C1239" s="11">
        <f t="shared" si="76"/>
        <v>138.82812312499999</v>
      </c>
      <c r="D1239" s="11">
        <f t="shared" si="77"/>
        <v>1.6985718624316135</v>
      </c>
      <c r="E1239" s="25">
        <v>140.470001</v>
      </c>
      <c r="F1239" s="11">
        <f t="shared" si="78"/>
        <v>143.86714472486324</v>
      </c>
      <c r="G1239" s="11">
        <f t="shared" si="79"/>
        <v>137.07285727513676</v>
      </c>
    </row>
    <row r="1240" spans="1:7" x14ac:dyDescent="0.25">
      <c r="A1240" s="24">
        <v>40995</v>
      </c>
      <c r="B1240" s="25">
        <v>141.16999799999999</v>
      </c>
      <c r="C1240" s="11">
        <f t="shared" si="76"/>
        <v>138.98562337500002</v>
      </c>
      <c r="D1240" s="11">
        <f t="shared" si="77"/>
        <v>1.7282930265182073</v>
      </c>
      <c r="E1240" s="25">
        <v>141.16999799999999</v>
      </c>
      <c r="F1240" s="11">
        <f t="shared" si="78"/>
        <v>144.6265840530364</v>
      </c>
      <c r="G1240" s="11">
        <f t="shared" si="79"/>
        <v>137.71341194696359</v>
      </c>
    </row>
    <row r="1241" spans="1:7" x14ac:dyDescent="0.25">
      <c r="A1241" s="24">
        <v>40994</v>
      </c>
      <c r="B1241" s="25">
        <v>141.61000100000001</v>
      </c>
      <c r="C1241" s="11">
        <f t="shared" si="76"/>
        <v>139.2012481875</v>
      </c>
      <c r="D1241" s="11">
        <f t="shared" si="77"/>
        <v>1.7744621595038235</v>
      </c>
      <c r="E1241" s="25">
        <v>141.61000100000001</v>
      </c>
      <c r="F1241" s="11">
        <f t="shared" si="78"/>
        <v>145.15892531900766</v>
      </c>
      <c r="G1241" s="11">
        <f t="shared" si="79"/>
        <v>138.06107668099236</v>
      </c>
    </row>
    <row r="1242" spans="1:7" x14ac:dyDescent="0.25">
      <c r="A1242" s="24">
        <v>40991</v>
      </c>
      <c r="B1242" s="25">
        <v>139.64999399999999</v>
      </c>
      <c r="C1242" s="11">
        <f t="shared" si="76"/>
        <v>139.3887481875</v>
      </c>
      <c r="D1242" s="11">
        <f t="shared" si="77"/>
        <v>1.8640593017688509</v>
      </c>
      <c r="E1242" s="25">
        <v>139.64999399999999</v>
      </c>
      <c r="F1242" s="11">
        <f t="shared" si="78"/>
        <v>143.37811260353769</v>
      </c>
      <c r="G1242" s="11">
        <f t="shared" si="79"/>
        <v>135.9218753964623</v>
      </c>
    </row>
    <row r="1243" spans="1:7" x14ac:dyDescent="0.25">
      <c r="A1243" s="24">
        <v>40990</v>
      </c>
      <c r="B1243" s="25">
        <v>139.199997</v>
      </c>
      <c r="C1243" s="11">
        <f t="shared" si="76"/>
        <v>139.42437268749998</v>
      </c>
      <c r="D1243" s="11">
        <f t="shared" si="77"/>
        <v>1.8632118450659989</v>
      </c>
      <c r="E1243" s="25">
        <v>139.199997</v>
      </c>
      <c r="F1243" s="11">
        <f t="shared" si="78"/>
        <v>142.92642069013201</v>
      </c>
      <c r="G1243" s="11">
        <f t="shared" si="79"/>
        <v>135.47357330986799</v>
      </c>
    </row>
    <row r="1244" spans="1:7" x14ac:dyDescent="0.25">
      <c r="A1244" s="24">
        <v>40989</v>
      </c>
      <c r="B1244" s="25">
        <v>140.21000699999999</v>
      </c>
      <c r="C1244" s="11">
        <f t="shared" si="76"/>
        <v>139.5587473125</v>
      </c>
      <c r="D1244" s="11">
        <f t="shared" si="77"/>
        <v>1.7549393929256487</v>
      </c>
      <c r="E1244" s="25">
        <v>140.21000699999999</v>
      </c>
      <c r="F1244" s="11">
        <f t="shared" si="78"/>
        <v>143.71988578585129</v>
      </c>
      <c r="G1244" s="11">
        <f t="shared" si="79"/>
        <v>136.70012821414869</v>
      </c>
    </row>
    <row r="1245" spans="1:7" x14ac:dyDescent="0.25">
      <c r="A1245" s="24">
        <v>40988</v>
      </c>
      <c r="B1245" s="25">
        <v>140.44000199999999</v>
      </c>
      <c r="C1245" s="11">
        <f t="shared" si="76"/>
        <v>139.75062281250001</v>
      </c>
      <c r="D1245" s="11">
        <f t="shared" si="77"/>
        <v>1.6367023869958883</v>
      </c>
      <c r="E1245" s="25">
        <v>140.44000199999999</v>
      </c>
      <c r="F1245" s="11">
        <f t="shared" si="78"/>
        <v>143.71340677399178</v>
      </c>
      <c r="G1245" s="11">
        <f t="shared" si="79"/>
        <v>137.16659722600821</v>
      </c>
    </row>
    <row r="1246" spans="1:7" x14ac:dyDescent="0.25">
      <c r="A1246" s="24">
        <v>40987</v>
      </c>
      <c r="B1246" s="25">
        <v>140.85000600000001</v>
      </c>
      <c r="C1246" s="11">
        <f t="shared" si="76"/>
        <v>139.85374837499998</v>
      </c>
      <c r="D1246" s="11">
        <f t="shared" si="77"/>
        <v>1.6240729966190954</v>
      </c>
      <c r="E1246" s="25">
        <v>140.85000600000001</v>
      </c>
      <c r="F1246" s="11">
        <f t="shared" si="78"/>
        <v>144.09815199323819</v>
      </c>
      <c r="G1246" s="11">
        <f t="shared" si="79"/>
        <v>137.60186000676183</v>
      </c>
    </row>
    <row r="1247" spans="1:7" x14ac:dyDescent="0.25">
      <c r="A1247" s="24">
        <v>40984</v>
      </c>
      <c r="B1247" s="25">
        <v>140.300003</v>
      </c>
      <c r="C1247" s="11">
        <f t="shared" si="76"/>
        <v>140.09437374999999</v>
      </c>
      <c r="D1247" s="11">
        <f t="shared" si="77"/>
        <v>1.4488256579097236</v>
      </c>
      <c r="E1247" s="25">
        <v>140.300003</v>
      </c>
      <c r="F1247" s="11">
        <f t="shared" si="78"/>
        <v>143.19765431581945</v>
      </c>
      <c r="G1247" s="11">
        <f t="shared" si="79"/>
        <v>137.40235168418056</v>
      </c>
    </row>
    <row r="1248" spans="1:7" x14ac:dyDescent="0.25">
      <c r="A1248" s="24">
        <v>40983</v>
      </c>
      <c r="B1248" s="25">
        <v>140.720001</v>
      </c>
      <c r="C1248" s="11">
        <f t="shared" si="76"/>
        <v>140.36937431249999</v>
      </c>
      <c r="D1248" s="11">
        <f t="shared" si="77"/>
        <v>0.9210824703034115</v>
      </c>
      <c r="E1248" s="25">
        <v>140.720001</v>
      </c>
      <c r="F1248" s="11">
        <f t="shared" si="78"/>
        <v>142.56216594060683</v>
      </c>
      <c r="G1248" s="11">
        <f t="shared" si="79"/>
        <v>138.87783605939316</v>
      </c>
    </row>
    <row r="1249" spans="1:7" x14ac:dyDescent="0.25">
      <c r="A1249" s="24">
        <v>40982</v>
      </c>
      <c r="B1249" s="25">
        <v>139.91000399999999</v>
      </c>
      <c r="C1249" s="11">
        <f t="shared" si="76"/>
        <v>140.52562431249999</v>
      </c>
      <c r="D1249" s="11">
        <f t="shared" si="77"/>
        <v>0.72288321758559315</v>
      </c>
      <c r="E1249" s="25">
        <v>139.91000399999999</v>
      </c>
      <c r="F1249" s="11">
        <f t="shared" si="78"/>
        <v>141.35577043517117</v>
      </c>
      <c r="G1249" s="11">
        <f t="shared" si="79"/>
        <v>138.46423756482881</v>
      </c>
    </row>
    <row r="1250" spans="1:7" x14ac:dyDescent="0.25">
      <c r="A1250" s="24">
        <v>40981</v>
      </c>
      <c r="B1250" s="25">
        <v>140.05999800000001</v>
      </c>
      <c r="C1250" s="11">
        <f t="shared" si="76"/>
        <v>140.53312499999998</v>
      </c>
      <c r="D1250" s="11">
        <f t="shared" si="77"/>
        <v>0.7153244937429023</v>
      </c>
      <c r="E1250" s="25">
        <v>140.05999800000001</v>
      </c>
      <c r="F1250" s="11">
        <f t="shared" si="78"/>
        <v>141.4906469874858</v>
      </c>
      <c r="G1250" s="11">
        <f t="shared" si="79"/>
        <v>138.62934901251421</v>
      </c>
    </row>
    <row r="1251" spans="1:7" x14ac:dyDescent="0.25">
      <c r="A1251" s="24">
        <v>40980</v>
      </c>
      <c r="B1251" s="25">
        <v>137.58000200000001</v>
      </c>
      <c r="C1251" s="11">
        <f t="shared" si="76"/>
        <v>140.54562481249999</v>
      </c>
      <c r="D1251" s="11">
        <f t="shared" si="77"/>
        <v>0.70444258266048143</v>
      </c>
      <c r="E1251" s="25">
        <v>137.58000200000001</v>
      </c>
      <c r="F1251" s="11">
        <f t="shared" si="78"/>
        <v>138.98888716532096</v>
      </c>
      <c r="G1251" s="11">
        <f t="shared" si="79"/>
        <v>136.17111683467905</v>
      </c>
    </row>
    <row r="1252" spans="1:7" x14ac:dyDescent="0.25">
      <c r="A1252" s="24">
        <v>40977</v>
      </c>
      <c r="B1252" s="25">
        <v>137.570007</v>
      </c>
      <c r="C1252" s="11">
        <f t="shared" si="76"/>
        <v>140.31562525000001</v>
      </c>
      <c r="D1252" s="11">
        <f t="shared" si="77"/>
        <v>0.99605178597664801</v>
      </c>
      <c r="E1252" s="25">
        <v>137.570007</v>
      </c>
      <c r="F1252" s="11">
        <f t="shared" si="78"/>
        <v>139.5621105719533</v>
      </c>
      <c r="G1252" s="11">
        <f t="shared" si="79"/>
        <v>135.57790342804671</v>
      </c>
    </row>
    <row r="1253" spans="1:7" x14ac:dyDescent="0.25">
      <c r="A1253" s="24">
        <v>40976</v>
      </c>
      <c r="B1253" s="25">
        <v>137.03999300000001</v>
      </c>
      <c r="C1253" s="11">
        <f t="shared" si="76"/>
        <v>140.04875093749999</v>
      </c>
      <c r="D1253" s="11">
        <f t="shared" si="77"/>
        <v>1.1241871261116902</v>
      </c>
      <c r="E1253" s="25">
        <v>137.03999300000001</v>
      </c>
      <c r="F1253" s="11">
        <f t="shared" si="78"/>
        <v>139.2883672522234</v>
      </c>
      <c r="G1253" s="11">
        <f t="shared" si="79"/>
        <v>134.79161874777662</v>
      </c>
    </row>
    <row r="1254" spans="1:7" x14ac:dyDescent="0.25">
      <c r="A1254" s="24">
        <v>40975</v>
      </c>
      <c r="B1254" s="25">
        <v>135.69000199999999</v>
      </c>
      <c r="C1254" s="11">
        <f t="shared" si="76"/>
        <v>139.813125625</v>
      </c>
      <c r="D1254" s="11">
        <f t="shared" si="77"/>
        <v>1.3302072281611279</v>
      </c>
      <c r="E1254" s="25">
        <v>135.69000199999999</v>
      </c>
      <c r="F1254" s="11">
        <f t="shared" si="78"/>
        <v>138.35041645632225</v>
      </c>
      <c r="G1254" s="11">
        <f t="shared" si="79"/>
        <v>133.02958754367774</v>
      </c>
    </row>
    <row r="1255" spans="1:7" x14ac:dyDescent="0.25">
      <c r="A1255" s="24">
        <v>40974</v>
      </c>
      <c r="B1255" s="25">
        <v>134.75</v>
      </c>
      <c r="C1255" s="11">
        <f t="shared" si="76"/>
        <v>139.52937599999998</v>
      </c>
      <c r="D1255" s="11">
        <f t="shared" si="77"/>
        <v>1.6749112408375548</v>
      </c>
      <c r="E1255" s="25">
        <v>134.75</v>
      </c>
      <c r="F1255" s="11">
        <f t="shared" si="78"/>
        <v>138.09982248167512</v>
      </c>
      <c r="G1255" s="11">
        <f t="shared" si="79"/>
        <v>131.40017751832488</v>
      </c>
    </row>
    <row r="1256" spans="1:7" x14ac:dyDescent="0.25">
      <c r="A1256" s="24">
        <v>40973</v>
      </c>
      <c r="B1256" s="25">
        <v>136.75</v>
      </c>
      <c r="C1256" s="11">
        <f t="shared" si="76"/>
        <v>139.17187593749998</v>
      </c>
      <c r="D1256" s="11">
        <f t="shared" si="77"/>
        <v>2.0329399698304078</v>
      </c>
      <c r="E1256" s="25">
        <v>136.75</v>
      </c>
      <c r="F1256" s="11">
        <f t="shared" si="78"/>
        <v>140.81587993966082</v>
      </c>
      <c r="G1256" s="11">
        <f t="shared" si="79"/>
        <v>132.68412006033918</v>
      </c>
    </row>
    <row r="1257" spans="1:7" x14ac:dyDescent="0.25">
      <c r="A1257" s="24">
        <v>40970</v>
      </c>
      <c r="B1257" s="25">
        <v>137.30999800000001</v>
      </c>
      <c r="C1257" s="11">
        <f t="shared" si="76"/>
        <v>138.89562606250001</v>
      </c>
      <c r="D1257" s="11">
        <f t="shared" si="77"/>
        <v>2.0436020682282701</v>
      </c>
      <c r="E1257" s="25">
        <v>137.30999800000001</v>
      </c>
      <c r="F1257" s="11">
        <f t="shared" si="78"/>
        <v>141.39720213645654</v>
      </c>
      <c r="G1257" s="11">
        <f t="shared" si="79"/>
        <v>133.22279386354347</v>
      </c>
    </row>
    <row r="1258" spans="1:7" x14ac:dyDescent="0.25">
      <c r="A1258" s="24">
        <v>40969</v>
      </c>
      <c r="B1258" s="25">
        <v>137.729996</v>
      </c>
      <c r="C1258" s="11">
        <f t="shared" si="76"/>
        <v>138.62687587500002</v>
      </c>
      <c r="D1258" s="11">
        <f t="shared" si="77"/>
        <v>1.9431143325044233</v>
      </c>
      <c r="E1258" s="25">
        <v>137.729996</v>
      </c>
      <c r="F1258" s="11">
        <f t="shared" si="78"/>
        <v>141.61622466500884</v>
      </c>
      <c r="G1258" s="11">
        <f t="shared" si="79"/>
        <v>133.84376733499116</v>
      </c>
    </row>
    <row r="1259" spans="1:7" x14ac:dyDescent="0.25">
      <c r="A1259" s="24">
        <v>40968</v>
      </c>
      <c r="B1259" s="25">
        <v>137.020004</v>
      </c>
      <c r="C1259" s="11">
        <f t="shared" si="76"/>
        <v>138.50687600000001</v>
      </c>
      <c r="D1259" s="11">
        <f t="shared" si="77"/>
        <v>1.9349870444051716</v>
      </c>
      <c r="E1259" s="25">
        <v>137.020004</v>
      </c>
      <c r="F1259" s="11">
        <f t="shared" si="78"/>
        <v>140.88997808881035</v>
      </c>
      <c r="G1259" s="11">
        <f t="shared" si="79"/>
        <v>133.15002991118965</v>
      </c>
    </row>
    <row r="1260" spans="1:7" x14ac:dyDescent="0.25">
      <c r="A1260" s="24">
        <v>40967</v>
      </c>
      <c r="B1260" s="25">
        <v>137.55999800000001</v>
      </c>
      <c r="C1260" s="11">
        <f t="shared" si="76"/>
        <v>138.37062643749999</v>
      </c>
      <c r="D1260" s="11">
        <f t="shared" si="77"/>
        <v>1.9595232661964468</v>
      </c>
      <c r="E1260" s="25">
        <v>137.55999800000001</v>
      </c>
      <c r="F1260" s="11">
        <f t="shared" si="78"/>
        <v>141.47904453239289</v>
      </c>
      <c r="G1260" s="11">
        <f t="shared" si="79"/>
        <v>133.64095146760712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'SPY Bollinger Bands'!B1238:B1238</xm:f>
              <xm:sqref>A1238</xm:sqref>
            </x14:sparkline>
            <x14:sparkline>
              <xm:f>'SPY Bollinger Bands'!B1239:B1239</xm:f>
              <xm:sqref>A1239</xm:sqref>
            </x14:sparkline>
            <x14:sparkline>
              <xm:f>'SPY Bollinger Bands'!B1240:B1240</xm:f>
              <xm:sqref>A1240</xm:sqref>
            </x14:sparkline>
            <x14:sparkline>
              <xm:f>'SPY Bollinger Bands'!B1241:B1241</xm:f>
              <xm:sqref>A1241</xm:sqref>
            </x14:sparkline>
            <x14:sparkline>
              <xm:f>'SPY Bollinger Bands'!B1242:B1242</xm:f>
              <xm:sqref>A1242</xm:sqref>
            </x14:sparkline>
            <x14:sparkline>
              <xm:f>'SPY Bollinger Bands'!B1243:B1243</xm:f>
              <xm:sqref>A1243</xm:sqref>
            </x14:sparkline>
            <x14:sparkline>
              <xm:f>'SPY Bollinger Bands'!B1244:B1244</xm:f>
              <xm:sqref>A1244</xm:sqref>
            </x14:sparkline>
            <x14:sparkline>
              <xm:f>'SPY Bollinger Bands'!B1245:B1245</xm:f>
              <xm:sqref>A1245</xm:sqref>
            </x14:sparkline>
            <x14:sparkline>
              <xm:f>'SPY Bollinger Bands'!B1246:B1246</xm:f>
              <xm:sqref>A1246</xm:sqref>
            </x14:sparkline>
            <x14:sparkline>
              <xm:f>'SPY Bollinger Bands'!B1247:B1247</xm:f>
              <xm:sqref>A1247</xm:sqref>
            </x14:sparkline>
            <x14:sparkline>
              <xm:f>'SPY Bollinger Bands'!B1248:B1248</xm:f>
              <xm:sqref>A1248</xm:sqref>
            </x14:sparkline>
            <x14:sparkline>
              <xm:f>'SPY Bollinger Bands'!B1249:B1249</xm:f>
              <xm:sqref>A1249</xm:sqref>
            </x14:sparkline>
            <x14:sparkline>
              <xm:f>'SPY Bollinger Bands'!B1250:B1250</xm:f>
              <xm:sqref>A1250</xm:sqref>
            </x14:sparkline>
            <x14:sparkline>
              <xm:f>'SPY Bollinger Bands'!B1251:B1251</xm:f>
              <xm:sqref>A1251</xm:sqref>
            </x14:sparkline>
            <x14:sparkline>
              <xm:f>'SPY Bollinger Bands'!B1252:B1252</xm:f>
              <xm:sqref>A1252</xm:sqref>
            </x14:sparkline>
            <x14:sparkline>
              <xm:f>'SPY Bollinger Bands'!B1253:B1253</xm:f>
              <xm:sqref>A1253</xm:sqref>
            </x14:sparkline>
            <x14:sparkline>
              <xm:f>'SPY Bollinger Bands'!B1254:B1254</xm:f>
              <xm:sqref>A1254</xm:sqref>
            </x14:sparkline>
            <x14:sparkline>
              <xm:f>'SPY Bollinger Bands'!B1255:B1255</xm:f>
              <xm:sqref>A1255</xm:sqref>
            </x14:sparkline>
            <x14:sparkline>
              <xm:f>'SPY Bollinger Bands'!B1256:B1256</xm:f>
              <xm:sqref>A1256</xm:sqref>
            </x14:sparkline>
            <x14:sparkline>
              <xm:f>'SPY Bollinger Bands'!B1257:B1257</xm:f>
              <xm:sqref>A1257</xm:sqref>
            </x14:sparkline>
            <x14:sparkline>
              <xm:f>'SPY Bollinger Bands'!B1258:B1258</xm:f>
              <xm:sqref>A1258</xm:sqref>
            </x14:sparkline>
            <x14:sparkline>
              <xm:f>'SPY Bollinger Bands'!B1259:B1259</xm:f>
              <xm:sqref>A1259</xm:sqref>
            </x14:sparkline>
            <x14:sparkline>
              <xm:f>'SPY Bollinger Bands'!B1260:B1260</xm:f>
              <xm:sqref>A1260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61"/>
  <sheetViews>
    <sheetView topLeftCell="B1" workbookViewId="0">
      <pane ySplit="2" topLeftCell="A5" activePane="bottomLeft" state="frozen"/>
      <selection pane="bottomLeft" activeCell="D19" sqref="D19:I19"/>
    </sheetView>
  </sheetViews>
  <sheetFormatPr defaultRowHeight="15" x14ac:dyDescent="0.25"/>
  <cols>
    <col min="1" max="1" width="10.42578125" style="3" bestFit="1" customWidth="1"/>
    <col min="2" max="2" width="9.140625" style="3"/>
    <col min="3" max="3" width="12.7109375" bestFit="1" customWidth="1"/>
    <col min="5" max="5" width="23.5703125" bestFit="1" customWidth="1"/>
    <col min="6" max="6" width="22.28515625" bestFit="1" customWidth="1"/>
    <col min="7" max="7" width="23" bestFit="1" customWidth="1"/>
    <col min="10" max="10" width="13.28515625" bestFit="1" customWidth="1"/>
  </cols>
  <sheetData>
    <row r="1" spans="1:26" s="5" customFormat="1" x14ac:dyDescent="0.25">
      <c r="A1" s="5" t="s">
        <v>4</v>
      </c>
    </row>
    <row r="2" spans="1:26" s="5" customFormat="1" x14ac:dyDescent="0.25">
      <c r="A2" s="5" t="s">
        <v>2</v>
      </c>
      <c r="B2" s="5" t="s">
        <v>3</v>
      </c>
      <c r="C2" s="5" t="s">
        <v>37</v>
      </c>
      <c r="E2" s="26" t="s">
        <v>33</v>
      </c>
      <c r="F2" s="26" t="s">
        <v>34</v>
      </c>
      <c r="G2" s="26" t="s">
        <v>35</v>
      </c>
      <c r="J2" s="5" t="s">
        <v>40</v>
      </c>
    </row>
    <row r="3" spans="1:26" s="30" customFormat="1" x14ac:dyDescent="0.25"/>
    <row r="4" spans="1:26" x14ac:dyDescent="0.25">
      <c r="A4" s="4">
        <v>42793</v>
      </c>
      <c r="B4" s="3">
        <v>24.57</v>
      </c>
      <c r="E4" s="32">
        <f>AVERAGE(C5:C1261)</f>
        <v>-8.8082421030986392E-4</v>
      </c>
      <c r="F4" s="31">
        <f>_xlfn.STDEV.S(C5:C1261)</f>
        <v>1.7827285086816927E-2</v>
      </c>
      <c r="G4">
        <f>_xlfn.VAR.S(C5:C1261)</f>
        <v>3.1781209356664515E-4</v>
      </c>
    </row>
    <row r="5" spans="1:26" x14ac:dyDescent="0.25">
      <c r="A5" s="4">
        <v>42790</v>
      </c>
      <c r="B5" s="3">
        <v>24.23</v>
      </c>
      <c r="C5">
        <f>LN(B5/B4)</f>
        <v>-1.3934651704653408E-2</v>
      </c>
      <c r="E5" s="33"/>
      <c r="F5" s="33"/>
      <c r="G5" s="33"/>
      <c r="J5" t="s">
        <v>41</v>
      </c>
    </row>
    <row r="6" spans="1:26" x14ac:dyDescent="0.25">
      <c r="A6" s="4">
        <v>42789</v>
      </c>
      <c r="B6" s="3">
        <v>24.58</v>
      </c>
      <c r="C6">
        <f t="shared" ref="C6:C69" si="0">LN(B6/B5)</f>
        <v>1.4341569309454339E-2</v>
      </c>
      <c r="E6" s="33" t="s">
        <v>38</v>
      </c>
      <c r="F6" s="33"/>
      <c r="G6" s="33"/>
      <c r="J6">
        <v>0</v>
      </c>
      <c r="K6">
        <f>$G$7</f>
        <v>100</v>
      </c>
      <c r="L6">
        <f t="shared" ref="L6:Z6" si="1">$G$7</f>
        <v>100</v>
      </c>
      <c r="M6">
        <f t="shared" si="1"/>
        <v>100</v>
      </c>
      <c r="N6">
        <f t="shared" si="1"/>
        <v>100</v>
      </c>
      <c r="O6">
        <f t="shared" si="1"/>
        <v>100</v>
      </c>
      <c r="P6">
        <f t="shared" si="1"/>
        <v>100</v>
      </c>
      <c r="Q6">
        <f t="shared" si="1"/>
        <v>100</v>
      </c>
      <c r="R6">
        <f t="shared" si="1"/>
        <v>100</v>
      </c>
      <c r="S6">
        <f t="shared" si="1"/>
        <v>100</v>
      </c>
      <c r="T6">
        <f t="shared" si="1"/>
        <v>100</v>
      </c>
      <c r="U6">
        <f t="shared" si="1"/>
        <v>100</v>
      </c>
      <c r="V6">
        <f t="shared" si="1"/>
        <v>100</v>
      </c>
      <c r="W6">
        <f t="shared" si="1"/>
        <v>100</v>
      </c>
      <c r="X6">
        <f t="shared" si="1"/>
        <v>100</v>
      </c>
      <c r="Y6">
        <f t="shared" si="1"/>
        <v>100</v>
      </c>
      <c r="Z6">
        <f t="shared" si="1"/>
        <v>100</v>
      </c>
    </row>
    <row r="7" spans="1:26" x14ac:dyDescent="0.25">
      <c r="A7" s="4">
        <v>42788</v>
      </c>
      <c r="B7" s="3">
        <v>24.790001</v>
      </c>
      <c r="C7">
        <f t="shared" si="0"/>
        <v>8.5072822480560199E-3</v>
      </c>
      <c r="E7" t="s">
        <v>39</v>
      </c>
      <c r="G7">
        <v>100</v>
      </c>
      <c r="J7">
        <f>J6+1</f>
        <v>1</v>
      </c>
      <c r="K7">
        <f ca="1">K6*EXP(NORMINV(RAND(),$E$4,$F$4))</f>
        <v>101.14618426114011</v>
      </c>
      <c r="L7">
        <f t="shared" ref="L7:Z22" ca="1" si="2">L6*EXP(NORMINV(RAND(),$E$4,$F$4))</f>
        <v>100.4837634216652</v>
      </c>
      <c r="M7">
        <f t="shared" ca="1" si="2"/>
        <v>100.15408370974264</v>
      </c>
      <c r="N7">
        <f t="shared" ca="1" si="2"/>
        <v>102.28087419395015</v>
      </c>
      <c r="O7">
        <f t="shared" ca="1" si="2"/>
        <v>101.54128290626379</v>
      </c>
      <c r="P7">
        <f t="shared" ca="1" si="2"/>
        <v>101.32030062004323</v>
      </c>
      <c r="Q7">
        <f t="shared" ca="1" si="2"/>
        <v>98.193030851726633</v>
      </c>
      <c r="R7">
        <f t="shared" ca="1" si="2"/>
        <v>98.266593064172511</v>
      </c>
      <c r="S7">
        <f t="shared" ca="1" si="2"/>
        <v>97.023102607210674</v>
      </c>
      <c r="T7">
        <f t="shared" ca="1" si="2"/>
        <v>102.11667905765304</v>
      </c>
      <c r="U7">
        <f t="shared" ca="1" si="2"/>
        <v>100.39426438089029</v>
      </c>
      <c r="V7">
        <f t="shared" ca="1" si="2"/>
        <v>100.84863508404011</v>
      </c>
      <c r="W7">
        <f t="shared" ca="1" si="2"/>
        <v>98.446994097030995</v>
      </c>
      <c r="X7">
        <f t="shared" ca="1" si="2"/>
        <v>98.461055580298066</v>
      </c>
      <c r="Y7">
        <f t="shared" ca="1" si="2"/>
        <v>101.73969834884356</v>
      </c>
      <c r="Z7">
        <f t="shared" ca="1" si="2"/>
        <v>99.000265717388785</v>
      </c>
    </row>
    <row r="8" spans="1:26" x14ac:dyDescent="0.25">
      <c r="A8" s="4">
        <v>42787</v>
      </c>
      <c r="B8" s="3">
        <v>24.780000999999999</v>
      </c>
      <c r="C8">
        <f t="shared" si="0"/>
        <v>-4.0346982982397922E-4</v>
      </c>
      <c r="J8">
        <f t="shared" ref="J8:J26" si="3">J7+1</f>
        <v>2</v>
      </c>
      <c r="K8">
        <f t="shared" ref="K8:N26" ca="1" si="4">K7*EXP(NORMINV(RAND(),$E$4,$F$4))</f>
        <v>103.99073663431388</v>
      </c>
      <c r="L8">
        <f t="shared" ca="1" si="2"/>
        <v>99.937177250879444</v>
      </c>
      <c r="M8">
        <f t="shared" ca="1" si="2"/>
        <v>100.6594700999172</v>
      </c>
      <c r="N8">
        <f t="shared" ca="1" si="2"/>
        <v>101.95597166585993</v>
      </c>
      <c r="O8">
        <f t="shared" ref="O8:O26" ca="1" si="5">O7*EXP(NORMINV(RAND(),$E$4,$F$4))</f>
        <v>100.31249644369203</v>
      </c>
      <c r="P8">
        <f t="shared" ref="P8:P26" ca="1" si="6">P7*EXP(NORMINV(RAND(),$E$4,$F$4))</f>
        <v>101.00460921059859</v>
      </c>
      <c r="Q8">
        <f t="shared" ref="Q8:Q26" ca="1" si="7">Q7*EXP(NORMINV(RAND(),$E$4,$F$4))</f>
        <v>96.600277037870853</v>
      </c>
      <c r="R8">
        <f t="shared" ref="R8:R26" ca="1" si="8">R7*EXP(NORMINV(RAND(),$E$4,$F$4))</f>
        <v>96.506433862887974</v>
      </c>
      <c r="S8">
        <f t="shared" ref="S8:S26" ca="1" si="9">S7*EXP(NORMINV(RAND(),$E$4,$F$4))</f>
        <v>93.31230300075093</v>
      </c>
      <c r="T8">
        <f t="shared" ref="T8:T26" ca="1" si="10">T7*EXP(NORMINV(RAND(),$E$4,$F$4))</f>
        <v>103.80476064930973</v>
      </c>
      <c r="U8">
        <f t="shared" ref="U8:U26" ca="1" si="11">U7*EXP(NORMINV(RAND(),$E$4,$F$4))</f>
        <v>102.4615944266494</v>
      </c>
      <c r="V8">
        <f t="shared" ref="V8:V26" ca="1" si="12">V7*EXP(NORMINV(RAND(),$E$4,$F$4))</f>
        <v>98.292029910803663</v>
      </c>
      <c r="W8">
        <f t="shared" ref="W8:W26" ca="1" si="13">W7*EXP(NORMINV(RAND(),$E$4,$F$4))</f>
        <v>99.281454744416692</v>
      </c>
      <c r="X8">
        <f t="shared" ref="X8:X26" ca="1" si="14">X7*EXP(NORMINV(RAND(),$E$4,$F$4))</f>
        <v>97.908249769629279</v>
      </c>
      <c r="Y8">
        <f t="shared" ref="Y8:Y26" ca="1" si="15">Y7*EXP(NORMINV(RAND(),$E$4,$F$4))</f>
        <v>103.27346257369504</v>
      </c>
      <c r="Z8">
        <f t="shared" ref="Z8:Z26" ca="1" si="16">Z7*EXP(NORMINV(RAND(),$E$4,$F$4))</f>
        <v>97.534452024061935</v>
      </c>
    </row>
    <row r="9" spans="1:26" x14ac:dyDescent="0.25">
      <c r="A9" s="4">
        <v>42783</v>
      </c>
      <c r="B9" s="3">
        <v>24.52</v>
      </c>
      <c r="C9">
        <f t="shared" si="0"/>
        <v>-1.054780548810998E-2</v>
      </c>
      <c r="E9" s="26"/>
      <c r="F9" s="26"/>
      <c r="G9" s="26"/>
      <c r="J9">
        <f t="shared" si="3"/>
        <v>3</v>
      </c>
      <c r="K9">
        <f t="shared" ca="1" si="4"/>
        <v>104.58526078567695</v>
      </c>
      <c r="L9">
        <f t="shared" ca="1" si="2"/>
        <v>103.62085695053898</v>
      </c>
      <c r="M9">
        <f t="shared" ca="1" si="2"/>
        <v>99.336067022158772</v>
      </c>
      <c r="N9">
        <f t="shared" ca="1" si="2"/>
        <v>100.05009972461687</v>
      </c>
      <c r="O9">
        <f t="shared" ca="1" si="5"/>
        <v>100.44787992563028</v>
      </c>
      <c r="P9">
        <f t="shared" ca="1" si="6"/>
        <v>100.41419162190537</v>
      </c>
      <c r="Q9">
        <f t="shared" ca="1" si="7"/>
        <v>96.581068343713341</v>
      </c>
      <c r="R9">
        <f t="shared" ca="1" si="8"/>
        <v>96.908137687802736</v>
      </c>
      <c r="S9">
        <f t="shared" ca="1" si="9"/>
        <v>91.447162757594896</v>
      </c>
      <c r="T9">
        <f t="shared" ca="1" si="10"/>
        <v>102.38850802572698</v>
      </c>
      <c r="U9">
        <f t="shared" ca="1" si="11"/>
        <v>101.68482748591876</v>
      </c>
      <c r="V9">
        <f t="shared" ca="1" si="12"/>
        <v>98.130592554086704</v>
      </c>
      <c r="W9">
        <f t="shared" ca="1" si="13"/>
        <v>100.07186001392741</v>
      </c>
      <c r="X9">
        <f t="shared" ca="1" si="14"/>
        <v>96.87234694703433</v>
      </c>
      <c r="Y9">
        <f t="shared" ca="1" si="15"/>
        <v>102.47359669925554</v>
      </c>
      <c r="Z9">
        <f t="shared" ca="1" si="16"/>
        <v>99.161060116252173</v>
      </c>
    </row>
    <row r="10" spans="1:26" x14ac:dyDescent="0.25">
      <c r="A10" s="4">
        <v>42782</v>
      </c>
      <c r="B10" s="3">
        <v>24.58</v>
      </c>
      <c r="C10">
        <f t="shared" si="0"/>
        <v>2.4439930698780827E-3</v>
      </c>
      <c r="J10">
        <f t="shared" si="3"/>
        <v>4</v>
      </c>
      <c r="K10">
        <f t="shared" ca="1" si="4"/>
        <v>104.28504309977951</v>
      </c>
      <c r="L10">
        <f t="shared" ca="1" si="2"/>
        <v>101.37033163409444</v>
      </c>
      <c r="M10">
        <f t="shared" ca="1" si="2"/>
        <v>96.663279052402402</v>
      </c>
      <c r="N10">
        <f t="shared" ca="1" si="2"/>
        <v>98.450377384241378</v>
      </c>
      <c r="O10">
        <f t="shared" ca="1" si="5"/>
        <v>98.38207471238448</v>
      </c>
      <c r="P10">
        <f t="shared" ca="1" si="6"/>
        <v>101.33802927426781</v>
      </c>
      <c r="Q10">
        <f t="shared" ca="1" si="7"/>
        <v>96.511151860623173</v>
      </c>
      <c r="R10">
        <f t="shared" ca="1" si="8"/>
        <v>97.300271110564623</v>
      </c>
      <c r="S10">
        <f t="shared" ca="1" si="9"/>
        <v>94.023314432900449</v>
      </c>
      <c r="T10">
        <f t="shared" ca="1" si="10"/>
        <v>100.24405563795511</v>
      </c>
      <c r="U10">
        <f t="shared" ca="1" si="11"/>
        <v>102.6430190304438</v>
      </c>
      <c r="V10">
        <f t="shared" ca="1" si="12"/>
        <v>93.686218814418439</v>
      </c>
      <c r="W10">
        <f t="shared" ca="1" si="13"/>
        <v>100.13612837263103</v>
      </c>
      <c r="X10">
        <f t="shared" ca="1" si="14"/>
        <v>95.103169153262442</v>
      </c>
      <c r="Y10">
        <f t="shared" ca="1" si="15"/>
        <v>100.46083108602153</v>
      </c>
      <c r="Z10">
        <f t="shared" ca="1" si="16"/>
        <v>98.550313635975101</v>
      </c>
    </row>
    <row r="11" spans="1:26" x14ac:dyDescent="0.25">
      <c r="A11" s="4">
        <v>42781</v>
      </c>
      <c r="B11" s="3">
        <v>24.58</v>
      </c>
      <c r="C11">
        <f t="shared" si="0"/>
        <v>0</v>
      </c>
      <c r="J11">
        <f t="shared" si="3"/>
        <v>5</v>
      </c>
      <c r="K11">
        <f t="shared" ca="1" si="4"/>
        <v>105.96791151839926</v>
      </c>
      <c r="L11">
        <f t="shared" ca="1" si="2"/>
        <v>99.937794602421917</v>
      </c>
      <c r="M11">
        <f t="shared" ca="1" si="2"/>
        <v>96.975986959518963</v>
      </c>
      <c r="N11">
        <f t="shared" ca="1" si="2"/>
        <v>98.581629363140024</v>
      </c>
      <c r="O11">
        <f t="shared" ca="1" si="5"/>
        <v>96.712388102135534</v>
      </c>
      <c r="P11">
        <f t="shared" ca="1" si="6"/>
        <v>104.54949649991373</v>
      </c>
      <c r="Q11">
        <f t="shared" ca="1" si="7"/>
        <v>96.975183388571367</v>
      </c>
      <c r="R11">
        <f t="shared" ca="1" si="8"/>
        <v>100.17010090166679</v>
      </c>
      <c r="S11">
        <f t="shared" ca="1" si="9"/>
        <v>90.830092775495359</v>
      </c>
      <c r="T11">
        <f t="shared" ca="1" si="10"/>
        <v>97.616145428640877</v>
      </c>
      <c r="U11">
        <f t="shared" ca="1" si="11"/>
        <v>101.31758202012185</v>
      </c>
      <c r="V11">
        <f t="shared" ca="1" si="12"/>
        <v>93.76722047422173</v>
      </c>
      <c r="W11">
        <f t="shared" ca="1" si="13"/>
        <v>97.21217765393628</v>
      </c>
      <c r="X11">
        <f t="shared" ca="1" si="14"/>
        <v>96.989836372776736</v>
      </c>
      <c r="Y11">
        <f t="shared" ca="1" si="15"/>
        <v>100.50937443673516</v>
      </c>
      <c r="Z11">
        <f t="shared" ca="1" si="16"/>
        <v>96.531547092611547</v>
      </c>
    </row>
    <row r="12" spans="1:26" x14ac:dyDescent="0.25">
      <c r="A12" s="4">
        <v>42780</v>
      </c>
      <c r="B12" s="3">
        <v>24.059999000000001</v>
      </c>
      <c r="C12">
        <f t="shared" si="0"/>
        <v>-2.1382435154116412E-2</v>
      </c>
      <c r="E12" s="33" t="s">
        <v>42</v>
      </c>
      <c r="F12" s="33"/>
      <c r="G12" s="33"/>
      <c r="J12">
        <f t="shared" si="3"/>
        <v>6</v>
      </c>
      <c r="K12">
        <f t="shared" ca="1" si="4"/>
        <v>108.18617601428836</v>
      </c>
      <c r="L12">
        <f t="shared" ca="1" si="2"/>
        <v>100.95006290520629</v>
      </c>
      <c r="M12">
        <f t="shared" ca="1" si="2"/>
        <v>97.999361757015819</v>
      </c>
      <c r="N12">
        <f t="shared" ca="1" si="2"/>
        <v>97.546206970478806</v>
      </c>
      <c r="O12">
        <f t="shared" ca="1" si="5"/>
        <v>95.376575492428842</v>
      </c>
      <c r="P12">
        <f t="shared" ca="1" si="6"/>
        <v>105.47719743772758</v>
      </c>
      <c r="Q12">
        <f t="shared" ca="1" si="7"/>
        <v>96.485762526628392</v>
      </c>
      <c r="R12">
        <f t="shared" ca="1" si="8"/>
        <v>101.19088400613472</v>
      </c>
      <c r="S12">
        <f t="shared" ca="1" si="9"/>
        <v>91.140572718652265</v>
      </c>
      <c r="T12">
        <f t="shared" ca="1" si="10"/>
        <v>99.18854444949072</v>
      </c>
      <c r="U12">
        <f t="shared" ca="1" si="11"/>
        <v>102.59610944897464</v>
      </c>
      <c r="V12">
        <f t="shared" ca="1" si="12"/>
        <v>91.123524214342979</v>
      </c>
      <c r="W12">
        <f t="shared" ca="1" si="13"/>
        <v>97.496866427744123</v>
      </c>
      <c r="X12">
        <f t="shared" ca="1" si="14"/>
        <v>97.589460836544092</v>
      </c>
      <c r="Y12">
        <f t="shared" ca="1" si="15"/>
        <v>101.36570600053881</v>
      </c>
      <c r="Z12">
        <f t="shared" ca="1" si="16"/>
        <v>94.951091403601779</v>
      </c>
    </row>
    <row r="13" spans="1:26" x14ac:dyDescent="0.25">
      <c r="A13" s="4">
        <v>42779</v>
      </c>
      <c r="B13" s="3">
        <v>23.4</v>
      </c>
      <c r="C13">
        <f t="shared" si="0"/>
        <v>-2.7814646620116588E-2</v>
      </c>
      <c r="E13" s="26" t="s">
        <v>43</v>
      </c>
      <c r="F13" s="35">
        <v>2.5000000000000001E-2</v>
      </c>
      <c r="G13" s="36">
        <v>0.97499999999999998</v>
      </c>
      <c r="J13">
        <f t="shared" si="3"/>
        <v>7</v>
      </c>
      <c r="K13">
        <f t="shared" ca="1" si="4"/>
        <v>108.32305101674379</v>
      </c>
      <c r="L13">
        <f t="shared" ca="1" si="2"/>
        <v>102.11002058437249</v>
      </c>
      <c r="M13">
        <f t="shared" ca="1" si="2"/>
        <v>96.786769811420299</v>
      </c>
      <c r="N13">
        <f t="shared" ca="1" si="2"/>
        <v>99.062397180582238</v>
      </c>
      <c r="O13">
        <f t="shared" ca="1" si="5"/>
        <v>96.699112006115854</v>
      </c>
      <c r="P13">
        <f t="shared" ca="1" si="6"/>
        <v>104.77265284240627</v>
      </c>
      <c r="Q13">
        <f t="shared" ca="1" si="7"/>
        <v>93.095509347902009</v>
      </c>
      <c r="R13">
        <f t="shared" ca="1" si="8"/>
        <v>104.32508732566784</v>
      </c>
      <c r="S13">
        <f t="shared" ca="1" si="9"/>
        <v>91.888893113144391</v>
      </c>
      <c r="T13">
        <f t="shared" ca="1" si="10"/>
        <v>98.807842484931641</v>
      </c>
      <c r="U13">
        <f t="shared" ca="1" si="11"/>
        <v>101.48951710662536</v>
      </c>
      <c r="V13">
        <f t="shared" ca="1" si="12"/>
        <v>92.537693785555305</v>
      </c>
      <c r="W13">
        <f t="shared" ca="1" si="13"/>
        <v>96.216947604398442</v>
      </c>
      <c r="X13">
        <f t="shared" ca="1" si="14"/>
        <v>95.608047820443758</v>
      </c>
      <c r="Y13">
        <f t="shared" ca="1" si="15"/>
        <v>102.94788458600647</v>
      </c>
      <c r="Z13">
        <f t="shared" ca="1" si="16"/>
        <v>94.39261858646482</v>
      </c>
    </row>
    <row r="14" spans="1:26" x14ac:dyDescent="0.25">
      <c r="A14" s="4">
        <v>42776</v>
      </c>
      <c r="B14" s="3">
        <v>23.08</v>
      </c>
      <c r="C14">
        <f t="shared" si="0"/>
        <v>-1.3769580723756995E-2</v>
      </c>
      <c r="E14" t="s">
        <v>44</v>
      </c>
      <c r="F14">
        <f ca="1">PERCENTILE($K$26:$Z$26,F13)</f>
        <v>88.759349032525009</v>
      </c>
      <c r="G14">
        <f ca="1">PERCENTILE($K$26:$Z$26,G13)</f>
        <v>110.74796252288886</v>
      </c>
      <c r="J14">
        <f t="shared" si="3"/>
        <v>8</v>
      </c>
      <c r="K14">
        <f t="shared" ca="1" si="4"/>
        <v>109.48686413884988</v>
      </c>
      <c r="L14">
        <f t="shared" ca="1" si="2"/>
        <v>101.15671997930301</v>
      </c>
      <c r="M14">
        <f t="shared" ca="1" si="2"/>
        <v>95.439148645044725</v>
      </c>
      <c r="N14">
        <f t="shared" ca="1" si="2"/>
        <v>99.659287370970347</v>
      </c>
      <c r="O14">
        <f t="shared" ca="1" si="5"/>
        <v>98.249322585955468</v>
      </c>
      <c r="P14">
        <f t="shared" ca="1" si="6"/>
        <v>103.23855163643977</v>
      </c>
      <c r="Q14">
        <f t="shared" ca="1" si="7"/>
        <v>93.768722637235612</v>
      </c>
      <c r="R14">
        <f t="shared" ca="1" si="8"/>
        <v>103.10863965370213</v>
      </c>
      <c r="S14">
        <f t="shared" ca="1" si="9"/>
        <v>90.927466526465324</v>
      </c>
      <c r="T14">
        <f t="shared" ca="1" si="10"/>
        <v>97.853718929892864</v>
      </c>
      <c r="U14">
        <f t="shared" ca="1" si="11"/>
        <v>99.428047022962019</v>
      </c>
      <c r="V14">
        <f t="shared" ca="1" si="12"/>
        <v>91.01697650102173</v>
      </c>
      <c r="W14">
        <f t="shared" ca="1" si="13"/>
        <v>96.384424967792057</v>
      </c>
      <c r="X14">
        <f t="shared" ca="1" si="14"/>
        <v>93.940438988368768</v>
      </c>
      <c r="Y14">
        <f t="shared" ca="1" si="15"/>
        <v>105.05697163261823</v>
      </c>
      <c r="Z14">
        <f t="shared" ca="1" si="16"/>
        <v>93.359131881486618</v>
      </c>
    </row>
    <row r="15" spans="1:26" x14ac:dyDescent="0.25">
      <c r="A15" s="4">
        <v>42775</v>
      </c>
      <c r="B15" s="3">
        <v>23.120000999999998</v>
      </c>
      <c r="C15">
        <f t="shared" si="0"/>
        <v>1.7316454168722197E-3</v>
      </c>
      <c r="J15">
        <f t="shared" si="3"/>
        <v>9</v>
      </c>
      <c r="K15">
        <f t="shared" ca="1" si="4"/>
        <v>108.86881381878112</v>
      </c>
      <c r="L15">
        <f t="shared" ca="1" si="2"/>
        <v>102.01358241191119</v>
      </c>
      <c r="M15">
        <f t="shared" ca="1" si="2"/>
        <v>95.125404355490545</v>
      </c>
      <c r="N15">
        <f t="shared" ca="1" si="2"/>
        <v>100.87339866631903</v>
      </c>
      <c r="O15">
        <f t="shared" ca="1" si="5"/>
        <v>94.194412945381615</v>
      </c>
      <c r="P15">
        <f t="shared" ca="1" si="6"/>
        <v>104.66757368270345</v>
      </c>
      <c r="Q15">
        <f t="shared" ca="1" si="7"/>
        <v>92.970133526202986</v>
      </c>
      <c r="R15">
        <f t="shared" ca="1" si="8"/>
        <v>99.542619801464468</v>
      </c>
      <c r="S15">
        <f t="shared" ca="1" si="9"/>
        <v>93.189909274121163</v>
      </c>
      <c r="T15">
        <f t="shared" ca="1" si="10"/>
        <v>95.283747644638751</v>
      </c>
      <c r="U15">
        <f t="shared" ca="1" si="11"/>
        <v>100.80609099156236</v>
      </c>
      <c r="V15">
        <f t="shared" ca="1" si="12"/>
        <v>92.741090562688839</v>
      </c>
      <c r="W15">
        <f t="shared" ca="1" si="13"/>
        <v>99.610405337986506</v>
      </c>
      <c r="X15">
        <f t="shared" ca="1" si="14"/>
        <v>94.887644736423695</v>
      </c>
      <c r="Y15">
        <f t="shared" ca="1" si="15"/>
        <v>104.98075497698041</v>
      </c>
      <c r="Z15">
        <f t="shared" ca="1" si="16"/>
        <v>91.704362373471341</v>
      </c>
    </row>
    <row r="16" spans="1:26" x14ac:dyDescent="0.25">
      <c r="A16" s="4">
        <v>42774</v>
      </c>
      <c r="B16" s="3">
        <v>22.67</v>
      </c>
      <c r="C16">
        <f t="shared" si="0"/>
        <v>-1.9655622537333217E-2</v>
      </c>
      <c r="J16">
        <f t="shared" si="3"/>
        <v>10</v>
      </c>
      <c r="K16">
        <f t="shared" ca="1" si="4"/>
        <v>110.99864238920105</v>
      </c>
      <c r="L16">
        <f t="shared" ca="1" si="2"/>
        <v>99.315744955496712</v>
      </c>
      <c r="M16">
        <f t="shared" ca="1" si="2"/>
        <v>94.094793165012959</v>
      </c>
      <c r="N16">
        <f t="shared" ca="1" si="2"/>
        <v>101.42200844571724</v>
      </c>
      <c r="O16">
        <f t="shared" ca="1" si="5"/>
        <v>93.787549729054746</v>
      </c>
      <c r="P16">
        <f t="shared" ca="1" si="6"/>
        <v>105.13586551032463</v>
      </c>
      <c r="Q16">
        <f t="shared" ca="1" si="7"/>
        <v>94.032591577396957</v>
      </c>
      <c r="R16">
        <f t="shared" ca="1" si="8"/>
        <v>102.8626775686006</v>
      </c>
      <c r="S16">
        <f t="shared" ca="1" si="9"/>
        <v>90.755974196536613</v>
      </c>
      <c r="T16">
        <f t="shared" ca="1" si="10"/>
        <v>93.332183739510569</v>
      </c>
      <c r="U16">
        <f t="shared" ca="1" si="11"/>
        <v>101.78136714463835</v>
      </c>
      <c r="V16">
        <f t="shared" ca="1" si="12"/>
        <v>90.573785522360538</v>
      </c>
      <c r="W16">
        <f t="shared" ca="1" si="13"/>
        <v>97.86173373886551</v>
      </c>
      <c r="X16">
        <f t="shared" ca="1" si="14"/>
        <v>94.356940194493674</v>
      </c>
      <c r="Y16">
        <f t="shared" ca="1" si="15"/>
        <v>103.41856056492199</v>
      </c>
      <c r="Z16">
        <f t="shared" ca="1" si="16"/>
        <v>92.180849612234326</v>
      </c>
    </row>
    <row r="17" spans="1:26" x14ac:dyDescent="0.25">
      <c r="A17" s="4">
        <v>42773</v>
      </c>
      <c r="B17" s="3">
        <v>22.9</v>
      </c>
      <c r="C17">
        <f t="shared" si="0"/>
        <v>1.0094446040756147E-2</v>
      </c>
      <c r="E17" s="33" t="s">
        <v>45</v>
      </c>
      <c r="F17" s="33"/>
      <c r="G17" s="37">
        <v>0.1</v>
      </c>
      <c r="J17">
        <f t="shared" si="3"/>
        <v>11</v>
      </c>
      <c r="K17">
        <f t="shared" ca="1" si="4"/>
        <v>109.79821237339787</v>
      </c>
      <c r="L17">
        <f t="shared" ca="1" si="2"/>
        <v>99.07500196918069</v>
      </c>
      <c r="M17">
        <f t="shared" ca="1" si="2"/>
        <v>94.800008393748783</v>
      </c>
      <c r="N17">
        <f t="shared" ca="1" si="2"/>
        <v>100.07071172903072</v>
      </c>
      <c r="O17">
        <f t="shared" ca="1" si="5"/>
        <v>95.013727602880408</v>
      </c>
      <c r="P17">
        <f t="shared" ca="1" si="6"/>
        <v>104.47179975102922</v>
      </c>
      <c r="Q17">
        <f t="shared" ca="1" si="7"/>
        <v>91.799599926292728</v>
      </c>
      <c r="R17">
        <f t="shared" ca="1" si="8"/>
        <v>106.23796968732415</v>
      </c>
      <c r="S17">
        <f t="shared" ca="1" si="9"/>
        <v>90.316218960556938</v>
      </c>
      <c r="T17">
        <f t="shared" ca="1" si="10"/>
        <v>90.893737750266666</v>
      </c>
      <c r="U17">
        <f t="shared" ca="1" si="11"/>
        <v>100.88935308712071</v>
      </c>
      <c r="V17">
        <f t="shared" ca="1" si="12"/>
        <v>89.773866571492832</v>
      </c>
      <c r="W17">
        <f t="shared" ca="1" si="13"/>
        <v>99.542313194618202</v>
      </c>
      <c r="X17">
        <f t="shared" ca="1" si="14"/>
        <v>94.50444584021038</v>
      </c>
      <c r="Y17">
        <f t="shared" ca="1" si="15"/>
        <v>103.86699288718773</v>
      </c>
      <c r="Z17">
        <f t="shared" ca="1" si="16"/>
        <v>90.755460317893423</v>
      </c>
    </row>
    <row r="18" spans="1:26" x14ac:dyDescent="0.25">
      <c r="A18" s="4">
        <v>42772</v>
      </c>
      <c r="B18" s="3">
        <v>23.120000999999998</v>
      </c>
      <c r="C18">
        <f t="shared" si="0"/>
        <v>9.5611764965770236E-3</v>
      </c>
      <c r="E18" s="33" t="s">
        <v>46</v>
      </c>
      <c r="F18" s="33"/>
      <c r="G18" s="38">
        <f ca="1">PERCENTILE($K$26:$Z$26,G17)</f>
        <v>90.633350669721636</v>
      </c>
      <c r="J18">
        <f t="shared" si="3"/>
        <v>12</v>
      </c>
      <c r="K18">
        <f t="shared" ca="1" si="4"/>
        <v>114.76274491689234</v>
      </c>
      <c r="L18">
        <f t="shared" ca="1" si="2"/>
        <v>99.066013359778154</v>
      </c>
      <c r="M18">
        <f t="shared" ca="1" si="2"/>
        <v>91.604879346834934</v>
      </c>
      <c r="N18">
        <f t="shared" ca="1" si="2"/>
        <v>99.667723575982748</v>
      </c>
      <c r="O18">
        <f t="shared" ca="1" si="5"/>
        <v>94.79002972187125</v>
      </c>
      <c r="P18">
        <f t="shared" ca="1" si="6"/>
        <v>102.78131278572451</v>
      </c>
      <c r="Q18">
        <f t="shared" ca="1" si="7"/>
        <v>91.077357309514198</v>
      </c>
      <c r="R18">
        <f t="shared" ca="1" si="8"/>
        <v>105.346472864237</v>
      </c>
      <c r="S18">
        <f t="shared" ca="1" si="9"/>
        <v>89.572904185042134</v>
      </c>
      <c r="T18">
        <f t="shared" ca="1" si="10"/>
        <v>89.777521983654694</v>
      </c>
      <c r="U18">
        <f t="shared" ca="1" si="11"/>
        <v>101.52128455404694</v>
      </c>
      <c r="V18">
        <f t="shared" ca="1" si="12"/>
        <v>90.855184922285744</v>
      </c>
      <c r="W18">
        <f t="shared" ca="1" si="13"/>
        <v>101.79105750166026</v>
      </c>
      <c r="X18">
        <f t="shared" ca="1" si="14"/>
        <v>92.974638673347386</v>
      </c>
      <c r="Y18">
        <f t="shared" ca="1" si="15"/>
        <v>102.9039495453499</v>
      </c>
      <c r="Z18">
        <f t="shared" ca="1" si="16"/>
        <v>91.305846794852911</v>
      </c>
    </row>
    <row r="19" spans="1:26" x14ac:dyDescent="0.25">
      <c r="A19" s="4">
        <v>42769</v>
      </c>
      <c r="B19" s="3">
        <v>23.290001</v>
      </c>
      <c r="C19">
        <f t="shared" si="0"/>
        <v>7.3260397763606948E-3</v>
      </c>
      <c r="D19" s="34" t="s">
        <v>47</v>
      </c>
      <c r="E19" s="34"/>
      <c r="F19" s="34"/>
      <c r="G19" s="34"/>
      <c r="H19" s="34"/>
      <c r="I19" s="34"/>
      <c r="J19">
        <f t="shared" si="3"/>
        <v>13</v>
      </c>
      <c r="K19">
        <f t="shared" ca="1" si="4"/>
        <v>110.29997784589109</v>
      </c>
      <c r="L19">
        <f t="shared" ca="1" si="2"/>
        <v>101.83341186897248</v>
      </c>
      <c r="M19">
        <f t="shared" ca="1" si="2"/>
        <v>91.539607614229681</v>
      </c>
      <c r="N19">
        <f t="shared" ca="1" si="2"/>
        <v>98.003172627842616</v>
      </c>
      <c r="O19">
        <f t="shared" ca="1" si="5"/>
        <v>94.401011230519714</v>
      </c>
      <c r="P19">
        <f t="shared" ca="1" si="6"/>
        <v>100.09160307880387</v>
      </c>
      <c r="Q19">
        <f t="shared" ca="1" si="7"/>
        <v>90.406670625644608</v>
      </c>
      <c r="R19">
        <f t="shared" ca="1" si="8"/>
        <v>106.34907190856619</v>
      </c>
      <c r="S19">
        <f t="shared" ca="1" si="9"/>
        <v>89.329633765921102</v>
      </c>
      <c r="T19">
        <f t="shared" ca="1" si="10"/>
        <v>88.775621814647792</v>
      </c>
      <c r="U19">
        <f t="shared" ca="1" si="11"/>
        <v>102.14132259039452</v>
      </c>
      <c r="V19">
        <f t="shared" ca="1" si="12"/>
        <v>91.83200471597678</v>
      </c>
      <c r="W19">
        <f t="shared" ca="1" si="13"/>
        <v>105.40974376606115</v>
      </c>
      <c r="X19">
        <f t="shared" ca="1" si="14"/>
        <v>93.87465719955155</v>
      </c>
      <c r="Y19">
        <f t="shared" ca="1" si="15"/>
        <v>102.28545114218326</v>
      </c>
      <c r="Z19">
        <f t="shared" ca="1" si="16"/>
        <v>91.133765821713709</v>
      </c>
    </row>
    <row r="20" spans="1:26" x14ac:dyDescent="0.25">
      <c r="A20" s="4">
        <v>42768</v>
      </c>
      <c r="B20" s="3">
        <v>22.719999000000001</v>
      </c>
      <c r="C20">
        <f t="shared" si="0"/>
        <v>-2.4778576994266315E-2</v>
      </c>
      <c r="J20">
        <f t="shared" si="3"/>
        <v>14</v>
      </c>
      <c r="K20">
        <f t="shared" ca="1" si="4"/>
        <v>108.53848495394844</v>
      </c>
      <c r="L20">
        <f t="shared" ca="1" si="2"/>
        <v>98.148128888555661</v>
      </c>
      <c r="M20">
        <f t="shared" ca="1" si="2"/>
        <v>91.685876219344166</v>
      </c>
      <c r="N20">
        <f t="shared" ca="1" si="2"/>
        <v>103.02078718190351</v>
      </c>
      <c r="O20">
        <f t="shared" ca="1" si="5"/>
        <v>94.496037803978908</v>
      </c>
      <c r="P20">
        <f t="shared" ca="1" si="6"/>
        <v>100.19929475176764</v>
      </c>
      <c r="Q20">
        <f t="shared" ca="1" si="7"/>
        <v>90.587831389287089</v>
      </c>
      <c r="R20">
        <f t="shared" ca="1" si="8"/>
        <v>103.89226188449859</v>
      </c>
      <c r="S20">
        <f t="shared" ca="1" si="9"/>
        <v>88.626801870721962</v>
      </c>
      <c r="T20">
        <f t="shared" ca="1" si="10"/>
        <v>90.746966247385558</v>
      </c>
      <c r="U20">
        <f t="shared" ca="1" si="11"/>
        <v>100.90575945268024</v>
      </c>
      <c r="V20">
        <f t="shared" ca="1" si="12"/>
        <v>90.478134766751381</v>
      </c>
      <c r="W20">
        <f t="shared" ca="1" si="13"/>
        <v>106.90556904749201</v>
      </c>
      <c r="X20">
        <f t="shared" ca="1" si="14"/>
        <v>93.983018311775936</v>
      </c>
      <c r="Y20">
        <f t="shared" ca="1" si="15"/>
        <v>101.32167631082554</v>
      </c>
      <c r="Z20">
        <f t="shared" ca="1" si="16"/>
        <v>92.800367497889496</v>
      </c>
    </row>
    <row r="21" spans="1:26" x14ac:dyDescent="0.25">
      <c r="A21" s="4">
        <v>42767</v>
      </c>
      <c r="B21" s="3">
        <v>22.889999</v>
      </c>
      <c r="C21">
        <f t="shared" si="0"/>
        <v>7.4545404384094701E-3</v>
      </c>
      <c r="J21">
        <f t="shared" si="3"/>
        <v>15</v>
      </c>
      <c r="K21">
        <f t="shared" ca="1" si="4"/>
        <v>105.54062195464279</v>
      </c>
      <c r="L21">
        <f t="shared" ca="1" si="2"/>
        <v>97.428823673276526</v>
      </c>
      <c r="M21">
        <f t="shared" ca="1" si="2"/>
        <v>89.976964468589884</v>
      </c>
      <c r="N21">
        <f t="shared" ca="1" si="2"/>
        <v>104.29668038141376</v>
      </c>
      <c r="O21">
        <f t="shared" ca="1" si="5"/>
        <v>94.472632146505688</v>
      </c>
      <c r="P21">
        <f t="shared" ca="1" si="6"/>
        <v>101.51035663540389</v>
      </c>
      <c r="Q21">
        <f t="shared" ca="1" si="7"/>
        <v>90.141880203459294</v>
      </c>
      <c r="R21">
        <f t="shared" ca="1" si="8"/>
        <v>105.83164559222277</v>
      </c>
      <c r="S21">
        <f t="shared" ca="1" si="9"/>
        <v>88.557182058874318</v>
      </c>
      <c r="T21">
        <f t="shared" ca="1" si="10"/>
        <v>94.013972850377911</v>
      </c>
      <c r="U21">
        <f t="shared" ca="1" si="11"/>
        <v>102.79598969515223</v>
      </c>
      <c r="V21">
        <f t="shared" ca="1" si="12"/>
        <v>89.68051546247888</v>
      </c>
      <c r="W21">
        <f t="shared" ca="1" si="13"/>
        <v>111.24953195305099</v>
      </c>
      <c r="X21">
        <f t="shared" ca="1" si="14"/>
        <v>92.76341672539202</v>
      </c>
      <c r="Y21">
        <f t="shared" ca="1" si="15"/>
        <v>101.72833873645872</v>
      </c>
      <c r="Z21">
        <f t="shared" ca="1" si="16"/>
        <v>89.347276122742656</v>
      </c>
    </row>
    <row r="22" spans="1:26" x14ac:dyDescent="0.25">
      <c r="A22" s="4">
        <v>42766</v>
      </c>
      <c r="B22" s="3">
        <v>22.639999</v>
      </c>
      <c r="C22">
        <f t="shared" si="0"/>
        <v>-1.0981881111904767E-2</v>
      </c>
      <c r="J22">
        <f t="shared" si="3"/>
        <v>16</v>
      </c>
      <c r="K22">
        <f t="shared" ca="1" si="4"/>
        <v>102.54371421456916</v>
      </c>
      <c r="L22">
        <f t="shared" ca="1" si="2"/>
        <v>99.056514350778954</v>
      </c>
      <c r="M22">
        <f t="shared" ca="1" si="2"/>
        <v>91.355072654264006</v>
      </c>
      <c r="N22">
        <f t="shared" ca="1" si="2"/>
        <v>106.51023691511278</v>
      </c>
      <c r="O22">
        <f t="shared" ca="1" si="5"/>
        <v>98.4705703815943</v>
      </c>
      <c r="P22">
        <f t="shared" ca="1" si="6"/>
        <v>100.42163696668314</v>
      </c>
      <c r="Q22">
        <f t="shared" ca="1" si="7"/>
        <v>92.97481171957034</v>
      </c>
      <c r="R22">
        <f t="shared" ca="1" si="8"/>
        <v>106.43622370936532</v>
      </c>
      <c r="S22">
        <f t="shared" ca="1" si="9"/>
        <v>87.937154286177872</v>
      </c>
      <c r="T22">
        <f t="shared" ca="1" si="10"/>
        <v>90.57159267852451</v>
      </c>
      <c r="U22">
        <f t="shared" ca="1" si="11"/>
        <v>102.50274361246706</v>
      </c>
      <c r="V22">
        <f t="shared" ca="1" si="12"/>
        <v>90.050699716256702</v>
      </c>
      <c r="W22">
        <f t="shared" ca="1" si="13"/>
        <v>107.65998225535407</v>
      </c>
      <c r="X22">
        <f t="shared" ca="1" si="14"/>
        <v>96.295365997024803</v>
      </c>
      <c r="Y22">
        <f t="shared" ca="1" si="15"/>
        <v>102.32849612031282</v>
      </c>
      <c r="Z22">
        <f t="shared" ca="1" si="16"/>
        <v>89.420633321338315</v>
      </c>
    </row>
    <row r="23" spans="1:26" x14ac:dyDescent="0.25">
      <c r="A23" s="4">
        <v>42765</v>
      </c>
      <c r="B23" s="3">
        <v>22.950001</v>
      </c>
      <c r="C23">
        <f t="shared" si="0"/>
        <v>1.3599770914168068E-2</v>
      </c>
      <c r="E23" s="26" t="s">
        <v>48</v>
      </c>
      <c r="G23" s="39">
        <f ca="1">SUMIF($K$7:$Z$26,"&lt;"&amp;$G$18)/COUNTIF($K$7:$Z$26,"&lt;"&amp;$G$18)</f>
        <v>89.4899216990719</v>
      </c>
      <c r="J23">
        <f>J22+1</f>
        <v>17</v>
      </c>
      <c r="K23">
        <f t="shared" ca="1" si="4"/>
        <v>105.49317999805973</v>
      </c>
      <c r="L23">
        <f t="shared" ca="1" si="4"/>
        <v>99.407655235497003</v>
      </c>
      <c r="M23">
        <f t="shared" ca="1" si="4"/>
        <v>90.796150173597965</v>
      </c>
      <c r="N23">
        <f t="shared" ca="1" si="4"/>
        <v>105.5689870651842</v>
      </c>
      <c r="O23">
        <f t="shared" ca="1" si="5"/>
        <v>100.48046531034707</v>
      </c>
      <c r="P23">
        <f t="shared" ca="1" si="6"/>
        <v>102.62206900297906</v>
      </c>
      <c r="Q23">
        <f t="shared" ca="1" si="7"/>
        <v>94.284879541999416</v>
      </c>
      <c r="R23">
        <f t="shared" ca="1" si="8"/>
        <v>107.36401339443449</v>
      </c>
      <c r="S23">
        <f t="shared" ca="1" si="9"/>
        <v>88.458123013698497</v>
      </c>
      <c r="T23">
        <f t="shared" ca="1" si="10"/>
        <v>92.571040207621436</v>
      </c>
      <c r="U23">
        <f t="shared" ca="1" si="11"/>
        <v>103.08048002617321</v>
      </c>
      <c r="V23">
        <f t="shared" ca="1" si="12"/>
        <v>89.852440075468209</v>
      </c>
      <c r="W23">
        <f t="shared" ca="1" si="13"/>
        <v>106.84434175726982</v>
      </c>
      <c r="X23">
        <f t="shared" ca="1" si="14"/>
        <v>96.500027986357466</v>
      </c>
      <c r="Y23">
        <f t="shared" ca="1" si="15"/>
        <v>100.99539946951818</v>
      </c>
      <c r="Z23">
        <f t="shared" ca="1" si="16"/>
        <v>87.973620086454901</v>
      </c>
    </row>
    <row r="24" spans="1:26" x14ac:dyDescent="0.25">
      <c r="A24" s="4">
        <v>42762</v>
      </c>
      <c r="B24" s="3">
        <v>23.360001</v>
      </c>
      <c r="C24">
        <f t="shared" si="0"/>
        <v>1.7707220688706719E-2</v>
      </c>
      <c r="J24">
        <f t="shared" si="3"/>
        <v>18</v>
      </c>
      <c r="K24">
        <f t="shared" ca="1" si="4"/>
        <v>106.74950334513976</v>
      </c>
      <c r="L24">
        <f t="shared" ca="1" si="4"/>
        <v>98.360062987942499</v>
      </c>
      <c r="M24">
        <f t="shared" ca="1" si="4"/>
        <v>92.310023368300691</v>
      </c>
      <c r="N24">
        <f t="shared" ca="1" si="4"/>
        <v>108.53478923762131</v>
      </c>
      <c r="O24">
        <f t="shared" ca="1" si="5"/>
        <v>103.59768452111371</v>
      </c>
      <c r="P24">
        <f t="shared" ca="1" si="6"/>
        <v>98.475653919356844</v>
      </c>
      <c r="Q24">
        <f t="shared" ca="1" si="7"/>
        <v>94.092550430455447</v>
      </c>
      <c r="R24">
        <f t="shared" ca="1" si="8"/>
        <v>104.82637624652409</v>
      </c>
      <c r="S24">
        <f t="shared" ca="1" si="9"/>
        <v>88.798687485528617</v>
      </c>
      <c r="T24">
        <f t="shared" ca="1" si="10"/>
        <v>91.561010695587512</v>
      </c>
      <c r="U24">
        <f t="shared" ca="1" si="11"/>
        <v>104.21947213378301</v>
      </c>
      <c r="V24">
        <f t="shared" ca="1" si="12"/>
        <v>91.856942919321682</v>
      </c>
      <c r="W24">
        <f t="shared" ca="1" si="13"/>
        <v>105.47135624855349</v>
      </c>
      <c r="X24">
        <f t="shared" ca="1" si="14"/>
        <v>93.672658845917297</v>
      </c>
      <c r="Y24">
        <f t="shared" ca="1" si="15"/>
        <v>100.40690419634839</v>
      </c>
      <c r="Z24">
        <f t="shared" ca="1" si="16"/>
        <v>89.573105606150378</v>
      </c>
    </row>
    <row r="25" spans="1:26" x14ac:dyDescent="0.25">
      <c r="A25" s="4">
        <v>42761</v>
      </c>
      <c r="B25" s="3">
        <v>23.440000999999999</v>
      </c>
      <c r="C25">
        <f t="shared" si="0"/>
        <v>3.4188066026824178E-3</v>
      </c>
      <c r="J25">
        <f t="shared" si="3"/>
        <v>19</v>
      </c>
      <c r="K25">
        <f t="shared" ca="1" si="4"/>
        <v>108.85727307891223</v>
      </c>
      <c r="L25">
        <f t="shared" ca="1" si="4"/>
        <v>98.202051806367066</v>
      </c>
      <c r="M25">
        <f t="shared" ca="1" si="4"/>
        <v>91.847505613612327</v>
      </c>
      <c r="N25">
        <f t="shared" ca="1" si="4"/>
        <v>110.7200515602653</v>
      </c>
      <c r="O25">
        <f t="shared" ca="1" si="5"/>
        <v>103.69983012865609</v>
      </c>
      <c r="P25">
        <f t="shared" ca="1" si="6"/>
        <v>97.739605768487408</v>
      </c>
      <c r="Q25">
        <f t="shared" ca="1" si="7"/>
        <v>92.700895692549864</v>
      </c>
      <c r="R25">
        <f t="shared" ca="1" si="8"/>
        <v>103.10461997545069</v>
      </c>
      <c r="S25">
        <f t="shared" ca="1" si="9"/>
        <v>89.784889906887528</v>
      </c>
      <c r="T25">
        <f t="shared" ca="1" si="10"/>
        <v>91.691563699159929</v>
      </c>
      <c r="U25">
        <f t="shared" ca="1" si="11"/>
        <v>101.47408735282194</v>
      </c>
      <c r="V25">
        <f t="shared" ca="1" si="12"/>
        <v>91.536442349349045</v>
      </c>
      <c r="W25">
        <f t="shared" ca="1" si="13"/>
        <v>104.97618006041472</v>
      </c>
      <c r="X25">
        <f t="shared" ca="1" si="14"/>
        <v>90.627153099491935</v>
      </c>
      <c r="Y25">
        <f t="shared" ca="1" si="15"/>
        <v>100.16083770587827</v>
      </c>
      <c r="Z25">
        <f t="shared" ca="1" si="16"/>
        <v>87.624895916917083</v>
      </c>
    </row>
    <row r="26" spans="1:26" x14ac:dyDescent="0.25">
      <c r="A26" s="4">
        <v>42760</v>
      </c>
      <c r="B26" s="3">
        <v>23.370000999999998</v>
      </c>
      <c r="C26">
        <f t="shared" si="0"/>
        <v>-2.9908160302597069E-3</v>
      </c>
      <c r="J26" s="26">
        <f t="shared" si="3"/>
        <v>20</v>
      </c>
      <c r="K26" s="26">
        <f t="shared" ca="1" si="4"/>
        <v>108.55673110940242</v>
      </c>
      <c r="L26" s="26">
        <f t="shared" ca="1" si="4"/>
        <v>97.240774491081766</v>
      </c>
      <c r="M26" s="26">
        <f t="shared" ca="1" si="4"/>
        <v>92.453896620809473</v>
      </c>
      <c r="N26" s="26">
        <f t="shared" ca="1" si="4"/>
        <v>112.0627013709807</v>
      </c>
      <c r="O26" s="26">
        <f t="shared" ca="1" si="5"/>
        <v>103.9209930868973</v>
      </c>
      <c r="P26" s="26">
        <f t="shared" ca="1" si="6"/>
        <v>99.345974117645881</v>
      </c>
      <c r="Q26" s="26">
        <f t="shared" ca="1" si="7"/>
        <v>93.630034016995609</v>
      </c>
      <c r="R26" s="26">
        <f t="shared" ca="1" si="8"/>
        <v>104.89300973007212</v>
      </c>
      <c r="S26" s="26">
        <f t="shared" ca="1" si="9"/>
        <v>91.049482451952272</v>
      </c>
      <c r="T26" s="26">
        <f t="shared" ca="1" si="10"/>
        <v>92.299668471243592</v>
      </c>
      <c r="U26" s="26">
        <f t="shared" ca="1" si="11"/>
        <v>99.528937260675178</v>
      </c>
      <c r="V26" s="26">
        <f t="shared" ca="1" si="12"/>
        <v>94.593135853464162</v>
      </c>
      <c r="W26" s="26">
        <f t="shared" ca="1" si="13"/>
        <v>103.43458997712381</v>
      </c>
      <c r="X26" s="26">
        <f t="shared" ca="1" si="14"/>
        <v>90.217218887491015</v>
      </c>
      <c r="Y26" s="26">
        <f t="shared" ca="1" si="15"/>
        <v>101.30256796434226</v>
      </c>
      <c r="Z26" s="26">
        <f t="shared" ca="1" si="16"/>
        <v>87.884627119545399</v>
      </c>
    </row>
    <row r="27" spans="1:26" x14ac:dyDescent="0.25">
      <c r="A27" s="4">
        <v>42759</v>
      </c>
      <c r="B27" s="3">
        <v>22.950001</v>
      </c>
      <c r="C27">
        <f t="shared" si="0"/>
        <v>-1.8135211261129269E-2</v>
      </c>
    </row>
    <row r="28" spans="1:26" x14ac:dyDescent="0.25">
      <c r="A28" s="4">
        <v>42758</v>
      </c>
      <c r="B28" s="3">
        <v>22.559999000000001</v>
      </c>
      <c r="C28">
        <f t="shared" si="0"/>
        <v>-1.7139597775921944E-2</v>
      </c>
    </row>
    <row r="29" spans="1:26" x14ac:dyDescent="0.25">
      <c r="A29" s="4">
        <v>42755</v>
      </c>
      <c r="B29" s="3">
        <v>22.639999</v>
      </c>
      <c r="C29">
        <f t="shared" si="0"/>
        <v>3.539826861753716E-3</v>
      </c>
    </row>
    <row r="30" spans="1:26" x14ac:dyDescent="0.25">
      <c r="A30" s="4">
        <v>42754</v>
      </c>
      <c r="B30" s="3">
        <v>22.530000999999999</v>
      </c>
      <c r="C30">
        <f t="shared" si="0"/>
        <v>-4.8704103359537782E-3</v>
      </c>
    </row>
    <row r="31" spans="1:26" x14ac:dyDescent="0.25">
      <c r="A31" s="4">
        <v>42753</v>
      </c>
      <c r="B31" s="3">
        <v>22.629999000000002</v>
      </c>
      <c r="C31">
        <f t="shared" si="0"/>
        <v>4.4286166268994514E-3</v>
      </c>
    </row>
    <row r="32" spans="1:26" x14ac:dyDescent="0.25">
      <c r="A32" s="4">
        <v>42752</v>
      </c>
      <c r="B32" s="3">
        <v>22.049999</v>
      </c>
      <c r="C32">
        <f t="shared" si="0"/>
        <v>-2.5963858914935647E-2</v>
      </c>
    </row>
    <row r="33" spans="1:3" x14ac:dyDescent="0.25">
      <c r="A33" s="4">
        <v>42748</v>
      </c>
      <c r="B33" s="3">
        <v>23.01</v>
      </c>
      <c r="C33">
        <f t="shared" si="0"/>
        <v>4.2616347505894492E-2</v>
      </c>
    </row>
    <row r="34" spans="1:3" x14ac:dyDescent="0.25">
      <c r="A34" s="4">
        <v>42747</v>
      </c>
      <c r="B34" s="3">
        <v>22.92</v>
      </c>
      <c r="C34">
        <f t="shared" si="0"/>
        <v>-3.9190122007357192E-3</v>
      </c>
    </row>
    <row r="35" spans="1:3" x14ac:dyDescent="0.25">
      <c r="A35" s="4">
        <v>42746</v>
      </c>
      <c r="B35" s="3">
        <v>23.07</v>
      </c>
      <c r="C35">
        <f t="shared" si="0"/>
        <v>6.5231803391234758E-3</v>
      </c>
    </row>
    <row r="36" spans="1:3" x14ac:dyDescent="0.25">
      <c r="A36" s="4">
        <v>42745</v>
      </c>
      <c r="B36" s="3">
        <v>22.940000999999999</v>
      </c>
      <c r="C36">
        <f t="shared" si="0"/>
        <v>-5.6509168924596415E-3</v>
      </c>
    </row>
    <row r="37" spans="1:3" x14ac:dyDescent="0.25">
      <c r="A37" s="4">
        <v>42744</v>
      </c>
      <c r="B37" s="3">
        <v>22.549999</v>
      </c>
      <c r="C37">
        <f t="shared" si="0"/>
        <v>-1.7147133690414335E-2</v>
      </c>
    </row>
    <row r="38" spans="1:3" x14ac:dyDescent="0.25">
      <c r="A38" s="4">
        <v>42741</v>
      </c>
      <c r="B38" s="3">
        <v>22.68</v>
      </c>
      <c r="C38">
        <f t="shared" si="0"/>
        <v>5.7484572567628829E-3</v>
      </c>
    </row>
    <row r="39" spans="1:3" x14ac:dyDescent="0.25">
      <c r="A39" s="4">
        <v>42740</v>
      </c>
      <c r="B39" s="3">
        <v>22.68</v>
      </c>
      <c r="C39">
        <f t="shared" si="0"/>
        <v>0</v>
      </c>
    </row>
    <row r="40" spans="1:3" x14ac:dyDescent="0.25">
      <c r="A40" s="4">
        <v>42739</v>
      </c>
      <c r="B40" s="3">
        <v>22.950001</v>
      </c>
      <c r="C40">
        <f t="shared" si="0"/>
        <v>1.1834501219986566E-2</v>
      </c>
    </row>
    <row r="41" spans="1:3" x14ac:dyDescent="0.25">
      <c r="A41" s="4">
        <v>42738</v>
      </c>
      <c r="B41" s="3">
        <v>22.530000999999999</v>
      </c>
      <c r="C41">
        <f t="shared" si="0"/>
        <v>-1.8470181250121877E-2</v>
      </c>
    </row>
    <row r="42" spans="1:3" x14ac:dyDescent="0.25">
      <c r="A42" s="4">
        <v>42734</v>
      </c>
      <c r="B42" s="3">
        <v>22.1</v>
      </c>
      <c r="C42">
        <f t="shared" si="0"/>
        <v>-1.9270190305708885E-2</v>
      </c>
    </row>
    <row r="43" spans="1:3" x14ac:dyDescent="0.25">
      <c r="A43" s="4">
        <v>42733</v>
      </c>
      <c r="B43" s="3">
        <v>22</v>
      </c>
      <c r="C43">
        <f t="shared" si="0"/>
        <v>-4.5351551653913741E-3</v>
      </c>
    </row>
    <row r="44" spans="1:3" x14ac:dyDescent="0.25">
      <c r="A44" s="4">
        <v>42732</v>
      </c>
      <c r="B44" s="3">
        <v>22.33</v>
      </c>
      <c r="C44">
        <f t="shared" si="0"/>
        <v>1.4888612493750559E-2</v>
      </c>
    </row>
    <row r="45" spans="1:3" x14ac:dyDescent="0.25">
      <c r="A45" s="4">
        <v>42731</v>
      </c>
      <c r="B45" s="3">
        <v>22.610001</v>
      </c>
      <c r="C45">
        <f t="shared" si="0"/>
        <v>1.246126466602872E-2</v>
      </c>
    </row>
    <row r="46" spans="1:3" x14ac:dyDescent="0.25">
      <c r="A46" s="4">
        <v>42727</v>
      </c>
      <c r="B46" s="3">
        <v>22.6</v>
      </c>
      <c r="C46">
        <f t="shared" si="0"/>
        <v>-4.4242423985486326E-4</v>
      </c>
    </row>
    <row r="47" spans="1:3" x14ac:dyDescent="0.25">
      <c r="A47" s="4">
        <v>42726</v>
      </c>
      <c r="B47" s="3">
        <v>22.540001</v>
      </c>
      <c r="C47">
        <f t="shared" si="0"/>
        <v>-2.6583533010386229E-3</v>
      </c>
    </row>
    <row r="48" spans="1:3" x14ac:dyDescent="0.25">
      <c r="A48" s="4">
        <v>42725</v>
      </c>
      <c r="B48" s="3">
        <v>22.629999000000002</v>
      </c>
      <c r="C48">
        <f t="shared" si="0"/>
        <v>3.9848624791139651E-3</v>
      </c>
    </row>
    <row r="49" spans="1:3" x14ac:dyDescent="0.25">
      <c r="A49" s="4">
        <v>42724</v>
      </c>
      <c r="B49" s="3">
        <v>22.709999</v>
      </c>
      <c r="C49">
        <f t="shared" si="0"/>
        <v>3.5288966276850746E-3</v>
      </c>
    </row>
    <row r="50" spans="1:3" x14ac:dyDescent="0.25">
      <c r="A50" s="4">
        <v>42723</v>
      </c>
      <c r="B50" s="3">
        <v>22.48</v>
      </c>
      <c r="C50">
        <f t="shared" si="0"/>
        <v>-1.0179287058510398E-2</v>
      </c>
    </row>
    <row r="51" spans="1:3" x14ac:dyDescent="0.25">
      <c r="A51" s="4">
        <v>42720</v>
      </c>
      <c r="B51" s="3">
        <v>22.66</v>
      </c>
      <c r="C51">
        <f t="shared" si="0"/>
        <v>7.9752305743698224E-3</v>
      </c>
    </row>
    <row r="52" spans="1:3" x14ac:dyDescent="0.25">
      <c r="A52" s="4">
        <v>42719</v>
      </c>
      <c r="B52" s="3">
        <v>23.16</v>
      </c>
      <c r="C52">
        <f t="shared" si="0"/>
        <v>2.1825397104934308E-2</v>
      </c>
    </row>
    <row r="53" spans="1:3" x14ac:dyDescent="0.25">
      <c r="A53" s="4">
        <v>42718</v>
      </c>
      <c r="B53" s="3">
        <v>22.67</v>
      </c>
      <c r="C53">
        <f t="shared" si="0"/>
        <v>-2.1384188185356794E-2</v>
      </c>
    </row>
    <row r="54" spans="1:3" x14ac:dyDescent="0.25">
      <c r="A54" s="4">
        <v>42717</v>
      </c>
      <c r="B54" s="3">
        <v>22.610001</v>
      </c>
      <c r="C54">
        <f t="shared" si="0"/>
        <v>-2.6501340013425825E-3</v>
      </c>
    </row>
    <row r="55" spans="1:3" x14ac:dyDescent="0.25">
      <c r="A55" s="4">
        <v>42716</v>
      </c>
      <c r="B55" s="3">
        <v>22.610001</v>
      </c>
      <c r="C55">
        <f t="shared" si="0"/>
        <v>0</v>
      </c>
    </row>
    <row r="56" spans="1:3" x14ac:dyDescent="0.25">
      <c r="A56" s="4">
        <v>42713</v>
      </c>
      <c r="B56" s="3">
        <v>23.09</v>
      </c>
      <c r="C56">
        <f t="shared" si="0"/>
        <v>2.1007292848308906E-2</v>
      </c>
    </row>
    <row r="57" spans="1:3" x14ac:dyDescent="0.25">
      <c r="A57" s="4">
        <v>42712</v>
      </c>
      <c r="B57" s="3">
        <v>22.950001</v>
      </c>
      <c r="C57">
        <f t="shared" si="0"/>
        <v>-6.081643286866059E-3</v>
      </c>
    </row>
    <row r="58" spans="1:3" x14ac:dyDescent="0.25">
      <c r="A58" s="4">
        <v>42711</v>
      </c>
      <c r="B58" s="3">
        <v>22.57</v>
      </c>
      <c r="C58">
        <f t="shared" si="0"/>
        <v>-1.6696389250093636E-2</v>
      </c>
    </row>
    <row r="59" spans="1:3" x14ac:dyDescent="0.25">
      <c r="A59" s="4">
        <v>42710</v>
      </c>
      <c r="B59" s="3">
        <v>22.16</v>
      </c>
      <c r="C59">
        <f t="shared" si="0"/>
        <v>-1.8332728950361234E-2</v>
      </c>
    </row>
    <row r="60" spans="1:3" x14ac:dyDescent="0.25">
      <c r="A60" s="4">
        <v>42709</v>
      </c>
      <c r="B60" s="3">
        <v>21.84</v>
      </c>
      <c r="C60">
        <f t="shared" si="0"/>
        <v>-1.4545711002378751E-2</v>
      </c>
    </row>
    <row r="61" spans="1:3" x14ac:dyDescent="0.25">
      <c r="A61" s="4">
        <v>42706</v>
      </c>
      <c r="B61" s="3">
        <v>21.23</v>
      </c>
      <c r="C61">
        <f t="shared" si="0"/>
        <v>-2.8327875161539576E-2</v>
      </c>
    </row>
    <row r="62" spans="1:3" x14ac:dyDescent="0.25">
      <c r="A62" s="4">
        <v>42705</v>
      </c>
      <c r="B62" s="3">
        <v>21.5</v>
      </c>
      <c r="C62">
        <f t="shared" si="0"/>
        <v>1.2637659418452392E-2</v>
      </c>
    </row>
    <row r="63" spans="1:3" x14ac:dyDescent="0.25">
      <c r="A63" s="4">
        <v>42704</v>
      </c>
      <c r="B63" s="3">
        <v>21.120000999999998</v>
      </c>
      <c r="C63">
        <f t="shared" si="0"/>
        <v>-1.7832428947072768E-2</v>
      </c>
    </row>
    <row r="64" spans="1:3" x14ac:dyDescent="0.25">
      <c r="A64" s="4">
        <v>42703</v>
      </c>
      <c r="B64" s="3">
        <v>20.290001</v>
      </c>
      <c r="C64">
        <f t="shared" si="0"/>
        <v>-4.0092303063459997E-2</v>
      </c>
    </row>
    <row r="65" spans="1:3" x14ac:dyDescent="0.25">
      <c r="A65" s="4">
        <v>42702</v>
      </c>
      <c r="B65" s="3">
        <v>20.299999</v>
      </c>
      <c r="C65">
        <f t="shared" si="0"/>
        <v>4.9263366357230542E-4</v>
      </c>
    </row>
    <row r="66" spans="1:3" x14ac:dyDescent="0.25">
      <c r="A66" s="4">
        <v>42699</v>
      </c>
      <c r="B66" s="3">
        <v>20.860001</v>
      </c>
      <c r="C66">
        <f t="shared" si="0"/>
        <v>2.7212660724607231E-2</v>
      </c>
    </row>
    <row r="67" spans="1:3" x14ac:dyDescent="0.25">
      <c r="A67" s="4">
        <v>42697</v>
      </c>
      <c r="B67" s="3">
        <v>20.559999000000001</v>
      </c>
      <c r="C67">
        <f t="shared" si="0"/>
        <v>-1.4486105562432905E-2</v>
      </c>
    </row>
    <row r="68" spans="1:3" x14ac:dyDescent="0.25">
      <c r="A68" s="4">
        <v>42696</v>
      </c>
      <c r="B68" s="3">
        <v>20.299999</v>
      </c>
      <c r="C68">
        <f t="shared" si="0"/>
        <v>-1.2726555162174226E-2</v>
      </c>
    </row>
    <row r="69" spans="1:3" x14ac:dyDescent="0.25">
      <c r="A69" s="4">
        <v>42695</v>
      </c>
      <c r="B69" s="3">
        <v>20.329999999999998</v>
      </c>
      <c r="C69">
        <f t="shared" si="0"/>
        <v>1.4767908535983996E-3</v>
      </c>
    </row>
    <row r="70" spans="1:3" x14ac:dyDescent="0.25">
      <c r="A70" s="4">
        <v>42692</v>
      </c>
      <c r="B70" s="3">
        <v>20</v>
      </c>
      <c r="C70">
        <f t="shared" ref="C70:C133" si="17">LN(B70/B69)</f>
        <v>-1.6365354086264178E-2</v>
      </c>
    </row>
    <row r="71" spans="1:3" x14ac:dyDescent="0.25">
      <c r="A71" s="4">
        <v>42691</v>
      </c>
      <c r="B71" s="3">
        <v>20.079999999999998</v>
      </c>
      <c r="C71">
        <f t="shared" si="17"/>
        <v>3.9920212695374567E-3</v>
      </c>
    </row>
    <row r="72" spans="1:3" x14ac:dyDescent="0.25">
      <c r="A72" s="4">
        <v>42690</v>
      </c>
      <c r="B72" s="3">
        <v>19.75</v>
      </c>
      <c r="C72">
        <f t="shared" si="17"/>
        <v>-1.6570803476397444E-2</v>
      </c>
    </row>
    <row r="73" spans="1:3" x14ac:dyDescent="0.25">
      <c r="A73" s="4">
        <v>42689</v>
      </c>
      <c r="B73" s="3">
        <v>20.16</v>
      </c>
      <c r="C73">
        <f t="shared" si="17"/>
        <v>2.0546951856037058E-2</v>
      </c>
    </row>
    <row r="74" spans="1:3" x14ac:dyDescent="0.25">
      <c r="A74" s="4">
        <v>42688</v>
      </c>
      <c r="B74" s="3">
        <v>20.079999999999998</v>
      </c>
      <c r="C74">
        <f t="shared" si="17"/>
        <v>-3.9761483796395174E-3</v>
      </c>
    </row>
    <row r="75" spans="1:3" x14ac:dyDescent="0.25">
      <c r="A75" s="4">
        <v>42685</v>
      </c>
      <c r="B75" s="3">
        <v>19.02</v>
      </c>
      <c r="C75">
        <f t="shared" si="17"/>
        <v>-5.4233237706284153E-2</v>
      </c>
    </row>
    <row r="76" spans="1:3" x14ac:dyDescent="0.25">
      <c r="A76" s="4">
        <v>42684</v>
      </c>
      <c r="B76" s="3">
        <v>18.760000000000002</v>
      </c>
      <c r="C76">
        <f t="shared" si="17"/>
        <v>-1.3764113539165545E-2</v>
      </c>
    </row>
    <row r="77" spans="1:3" x14ac:dyDescent="0.25">
      <c r="A77" s="4">
        <v>42683</v>
      </c>
      <c r="B77" s="3">
        <v>17.969999000000001</v>
      </c>
      <c r="C77">
        <f t="shared" si="17"/>
        <v>-4.3023298430915249E-2</v>
      </c>
    </row>
    <row r="78" spans="1:3" x14ac:dyDescent="0.25">
      <c r="A78" s="4">
        <v>42682</v>
      </c>
      <c r="B78" s="3">
        <v>17</v>
      </c>
      <c r="C78">
        <f t="shared" si="17"/>
        <v>-5.5490301090947353E-2</v>
      </c>
    </row>
    <row r="79" spans="1:3" x14ac:dyDescent="0.25">
      <c r="A79" s="4">
        <v>42681</v>
      </c>
      <c r="B79" s="3">
        <v>17.010000000000002</v>
      </c>
      <c r="C79">
        <f t="shared" si="17"/>
        <v>5.8806235155444482E-4</v>
      </c>
    </row>
    <row r="80" spans="1:3" x14ac:dyDescent="0.25">
      <c r="A80" s="4">
        <v>42678</v>
      </c>
      <c r="B80" s="3">
        <v>16.549999</v>
      </c>
      <c r="C80">
        <f t="shared" si="17"/>
        <v>-2.7415365007661108E-2</v>
      </c>
    </row>
    <row r="81" spans="1:3" x14ac:dyDescent="0.25">
      <c r="A81" s="4">
        <v>42677</v>
      </c>
      <c r="B81" s="3">
        <v>16.48</v>
      </c>
      <c r="C81">
        <f t="shared" si="17"/>
        <v>-4.2385169187837196E-3</v>
      </c>
    </row>
    <row r="82" spans="1:3" x14ac:dyDescent="0.25">
      <c r="A82" s="4">
        <v>42676</v>
      </c>
      <c r="B82" s="3">
        <v>16.48</v>
      </c>
      <c r="C82">
        <f t="shared" si="17"/>
        <v>0</v>
      </c>
    </row>
    <row r="83" spans="1:3" x14ac:dyDescent="0.25">
      <c r="A83" s="4">
        <v>42675</v>
      </c>
      <c r="B83" s="3">
        <v>16.610001</v>
      </c>
      <c r="C83">
        <f t="shared" si="17"/>
        <v>7.8574593485720053E-3</v>
      </c>
    </row>
    <row r="84" spans="1:3" x14ac:dyDescent="0.25">
      <c r="A84" s="4">
        <v>42674</v>
      </c>
      <c r="B84" s="3">
        <v>16.5</v>
      </c>
      <c r="C84">
        <f t="shared" si="17"/>
        <v>-6.6446029233627156E-3</v>
      </c>
    </row>
    <row r="85" spans="1:3" x14ac:dyDescent="0.25">
      <c r="A85" s="4">
        <v>42671</v>
      </c>
      <c r="B85" s="3">
        <v>16.68</v>
      </c>
      <c r="C85">
        <f t="shared" si="17"/>
        <v>1.0850016024065844E-2</v>
      </c>
    </row>
    <row r="86" spans="1:3" x14ac:dyDescent="0.25">
      <c r="A86" s="4">
        <v>42670</v>
      </c>
      <c r="B86" s="3">
        <v>16.91</v>
      </c>
      <c r="C86">
        <f t="shared" si="17"/>
        <v>1.3694765979888366E-2</v>
      </c>
    </row>
    <row r="87" spans="1:3" x14ac:dyDescent="0.25">
      <c r="A87" s="4">
        <v>42669</v>
      </c>
      <c r="B87" s="3">
        <v>16.870000999999998</v>
      </c>
      <c r="C87">
        <f t="shared" si="17"/>
        <v>-2.3682070757911435E-3</v>
      </c>
    </row>
    <row r="88" spans="1:3" x14ac:dyDescent="0.25">
      <c r="A88" s="4">
        <v>42668</v>
      </c>
      <c r="B88" s="3">
        <v>16.719999000000001</v>
      </c>
      <c r="C88">
        <f t="shared" si="17"/>
        <v>-8.9314079867564775E-3</v>
      </c>
    </row>
    <row r="89" spans="1:3" x14ac:dyDescent="0.25">
      <c r="A89" s="4">
        <v>42667</v>
      </c>
      <c r="B89" s="3">
        <v>16.77</v>
      </c>
      <c r="C89">
        <f t="shared" si="17"/>
        <v>2.9860279871761347E-3</v>
      </c>
    </row>
    <row r="90" spans="1:3" x14ac:dyDescent="0.25">
      <c r="A90" s="4">
        <v>42664</v>
      </c>
      <c r="B90" s="3">
        <v>16.670000000000002</v>
      </c>
      <c r="C90">
        <f t="shared" si="17"/>
        <v>-5.9808790724147397E-3</v>
      </c>
    </row>
    <row r="91" spans="1:3" x14ac:dyDescent="0.25">
      <c r="A91" s="4">
        <v>42663</v>
      </c>
      <c r="B91" s="3">
        <v>16.559999000000001</v>
      </c>
      <c r="C91">
        <f t="shared" si="17"/>
        <v>-6.620608192064263E-3</v>
      </c>
    </row>
    <row r="92" spans="1:3" x14ac:dyDescent="0.25">
      <c r="A92" s="4">
        <v>42662</v>
      </c>
      <c r="B92" s="3">
        <v>16.469999000000001</v>
      </c>
      <c r="C92">
        <f t="shared" si="17"/>
        <v>-5.4496050975454428E-3</v>
      </c>
    </row>
    <row r="93" spans="1:3" x14ac:dyDescent="0.25">
      <c r="A93" s="4">
        <v>42661</v>
      </c>
      <c r="B93" s="3">
        <v>16.260000000000002</v>
      </c>
      <c r="C93">
        <f t="shared" si="17"/>
        <v>-1.283237935342837E-2</v>
      </c>
    </row>
    <row r="94" spans="1:3" x14ac:dyDescent="0.25">
      <c r="A94" s="4">
        <v>42660</v>
      </c>
      <c r="B94" s="3">
        <v>16.049999</v>
      </c>
      <c r="C94">
        <f t="shared" si="17"/>
        <v>-1.2999316848937639E-2</v>
      </c>
    </row>
    <row r="95" spans="1:3" x14ac:dyDescent="0.25">
      <c r="A95" s="4">
        <v>42657</v>
      </c>
      <c r="B95" s="3">
        <v>16</v>
      </c>
      <c r="C95">
        <f t="shared" si="17"/>
        <v>-3.1200650309457754E-3</v>
      </c>
    </row>
    <row r="96" spans="1:3" x14ac:dyDescent="0.25">
      <c r="A96" s="4">
        <v>42656</v>
      </c>
      <c r="B96" s="3">
        <v>15.83</v>
      </c>
      <c r="C96">
        <f t="shared" si="17"/>
        <v>-1.0681848346860453E-2</v>
      </c>
    </row>
    <row r="97" spans="1:3" x14ac:dyDescent="0.25">
      <c r="A97" s="4">
        <v>42655</v>
      </c>
      <c r="B97" s="3">
        <v>16.030000999999999</v>
      </c>
      <c r="C97">
        <f t="shared" si="17"/>
        <v>1.2555155111570503E-2</v>
      </c>
    </row>
    <row r="98" spans="1:3" x14ac:dyDescent="0.25">
      <c r="A98" s="4">
        <v>42654</v>
      </c>
      <c r="B98" s="3">
        <v>16.110001</v>
      </c>
      <c r="C98">
        <f t="shared" si="17"/>
        <v>4.9782302576360914E-3</v>
      </c>
    </row>
    <row r="99" spans="1:3" x14ac:dyDescent="0.25">
      <c r="A99" s="4">
        <v>42653</v>
      </c>
      <c r="B99" s="3">
        <v>16.299999</v>
      </c>
      <c r="C99">
        <f t="shared" si="17"/>
        <v>1.1724787200894043E-2</v>
      </c>
    </row>
    <row r="100" spans="1:3" x14ac:dyDescent="0.25">
      <c r="A100" s="4">
        <v>42650</v>
      </c>
      <c r="B100" s="3">
        <v>16.129999000000002</v>
      </c>
      <c r="C100">
        <f t="shared" si="17"/>
        <v>-1.0484216322186041E-2</v>
      </c>
    </row>
    <row r="101" spans="1:3" x14ac:dyDescent="0.25">
      <c r="A101" s="4">
        <v>42649</v>
      </c>
      <c r="B101" s="3">
        <v>16.219999000000001</v>
      </c>
      <c r="C101">
        <f t="shared" si="17"/>
        <v>5.5641568941483732E-3</v>
      </c>
    </row>
    <row r="102" spans="1:3" x14ac:dyDescent="0.25">
      <c r="A102" s="4">
        <v>42648</v>
      </c>
      <c r="B102" s="3">
        <v>16.110001</v>
      </c>
      <c r="C102">
        <f t="shared" si="17"/>
        <v>-6.8047277728563536E-3</v>
      </c>
    </row>
    <row r="103" spans="1:3" x14ac:dyDescent="0.25">
      <c r="A103" s="4">
        <v>42647</v>
      </c>
      <c r="B103" s="3">
        <v>15.8</v>
      </c>
      <c r="C103">
        <f t="shared" si="17"/>
        <v>-1.9430319229206381E-2</v>
      </c>
    </row>
    <row r="104" spans="1:3" x14ac:dyDescent="0.25">
      <c r="A104" s="4">
        <v>42646</v>
      </c>
      <c r="B104" s="3">
        <v>15.63</v>
      </c>
      <c r="C104">
        <f t="shared" si="17"/>
        <v>-1.0817795599535824E-2</v>
      </c>
    </row>
    <row r="105" spans="1:3" x14ac:dyDescent="0.25">
      <c r="A105" s="4">
        <v>42643</v>
      </c>
      <c r="B105" s="3">
        <v>15.65</v>
      </c>
      <c r="C105">
        <f t="shared" si="17"/>
        <v>1.2787725527770174E-3</v>
      </c>
    </row>
    <row r="106" spans="1:3" x14ac:dyDescent="0.25">
      <c r="A106" s="4">
        <v>42642</v>
      </c>
      <c r="B106" s="3">
        <v>15.16</v>
      </c>
      <c r="C106">
        <f t="shared" si="17"/>
        <v>-3.1810536771936654E-2</v>
      </c>
    </row>
    <row r="107" spans="1:3" x14ac:dyDescent="0.25">
      <c r="A107" s="4">
        <v>42641</v>
      </c>
      <c r="B107" s="3">
        <v>15.38</v>
      </c>
      <c r="C107">
        <f t="shared" si="17"/>
        <v>1.4407583863272354E-2</v>
      </c>
    </row>
    <row r="108" spans="1:3" x14ac:dyDescent="0.25">
      <c r="A108" s="4">
        <v>42640</v>
      </c>
      <c r="B108" s="3">
        <v>15.29</v>
      </c>
      <c r="C108">
        <f t="shared" si="17"/>
        <v>-5.8689441365270502E-3</v>
      </c>
    </row>
    <row r="109" spans="1:3" x14ac:dyDescent="0.25">
      <c r="A109" s="4">
        <v>42639</v>
      </c>
      <c r="B109" s="3">
        <v>15.09</v>
      </c>
      <c r="C109">
        <f t="shared" si="17"/>
        <v>-1.3166747161213341E-2</v>
      </c>
    </row>
    <row r="110" spans="1:3" x14ac:dyDescent="0.25">
      <c r="A110" s="4">
        <v>42636</v>
      </c>
      <c r="B110" s="3">
        <v>15.52</v>
      </c>
      <c r="C110">
        <f t="shared" si="17"/>
        <v>2.8097241975315192E-2</v>
      </c>
    </row>
    <row r="111" spans="1:3" x14ac:dyDescent="0.25">
      <c r="A111" s="4">
        <v>42635</v>
      </c>
      <c r="B111" s="3">
        <v>15.6</v>
      </c>
      <c r="C111">
        <f t="shared" si="17"/>
        <v>5.1413995004186523E-3</v>
      </c>
    </row>
    <row r="112" spans="1:3" x14ac:dyDescent="0.25">
      <c r="A112" s="4">
        <v>42634</v>
      </c>
      <c r="B112" s="3">
        <v>15.65</v>
      </c>
      <c r="C112">
        <f t="shared" si="17"/>
        <v>3.2000027306708497E-3</v>
      </c>
    </row>
    <row r="113" spans="1:3" x14ac:dyDescent="0.25">
      <c r="A113" s="4">
        <v>42633</v>
      </c>
      <c r="B113" s="3">
        <v>15.6</v>
      </c>
      <c r="C113">
        <f t="shared" si="17"/>
        <v>-3.2000027306709027E-3</v>
      </c>
    </row>
    <row r="114" spans="1:3" x14ac:dyDescent="0.25">
      <c r="A114" s="4">
        <v>42632</v>
      </c>
      <c r="B114" s="3">
        <v>15.59</v>
      </c>
      <c r="C114">
        <f t="shared" si="17"/>
        <v>-6.4123118580620866E-4</v>
      </c>
    </row>
    <row r="115" spans="1:3" x14ac:dyDescent="0.25">
      <c r="A115" s="4">
        <v>42629</v>
      </c>
      <c r="B115" s="3">
        <v>15.49</v>
      </c>
      <c r="C115">
        <f t="shared" si="17"/>
        <v>-6.4350286409078162E-3</v>
      </c>
    </row>
    <row r="116" spans="1:3" x14ac:dyDescent="0.25">
      <c r="A116" s="4">
        <v>42628</v>
      </c>
      <c r="B116" s="3">
        <v>15.67</v>
      </c>
      <c r="C116">
        <f t="shared" si="17"/>
        <v>1.1553401939152269E-2</v>
      </c>
    </row>
    <row r="117" spans="1:3" x14ac:dyDescent="0.25">
      <c r="A117" s="4">
        <v>42627</v>
      </c>
      <c r="B117" s="3">
        <v>15.63</v>
      </c>
      <c r="C117">
        <f t="shared" si="17"/>
        <v>-2.555911934544206E-3</v>
      </c>
    </row>
    <row r="118" spans="1:3" x14ac:dyDescent="0.25">
      <c r="A118" s="4">
        <v>42626</v>
      </c>
      <c r="B118" s="3">
        <v>15.72</v>
      </c>
      <c r="C118">
        <f t="shared" si="17"/>
        <v>5.7416425676751828E-3</v>
      </c>
    </row>
    <row r="119" spans="1:3" x14ac:dyDescent="0.25">
      <c r="A119" s="4">
        <v>42625</v>
      </c>
      <c r="B119" s="3">
        <v>15.9</v>
      </c>
      <c r="C119">
        <f t="shared" si="17"/>
        <v>1.1385322225125429E-2</v>
      </c>
    </row>
    <row r="120" spans="1:3" x14ac:dyDescent="0.25">
      <c r="A120" s="4">
        <v>42622</v>
      </c>
      <c r="B120" s="3">
        <v>15.74</v>
      </c>
      <c r="C120">
        <f t="shared" si="17"/>
        <v>-1.011386623692867E-2</v>
      </c>
    </row>
    <row r="121" spans="1:3" x14ac:dyDescent="0.25">
      <c r="A121" s="4">
        <v>42621</v>
      </c>
      <c r="B121" s="3">
        <v>15.86</v>
      </c>
      <c r="C121">
        <f t="shared" si="17"/>
        <v>7.5949732174447676E-3</v>
      </c>
    </row>
    <row r="122" spans="1:3" x14ac:dyDescent="0.25">
      <c r="A122" s="4">
        <v>42620</v>
      </c>
      <c r="B122" s="3">
        <v>15.7</v>
      </c>
      <c r="C122">
        <f t="shared" si="17"/>
        <v>-1.0139503852439617E-2</v>
      </c>
    </row>
    <row r="123" spans="1:3" x14ac:dyDescent="0.25">
      <c r="A123" s="4">
        <v>42619</v>
      </c>
      <c r="B123" s="3">
        <v>15.78</v>
      </c>
      <c r="C123">
        <f t="shared" si="17"/>
        <v>5.0826030634658096E-3</v>
      </c>
    </row>
    <row r="124" spans="1:3" x14ac:dyDescent="0.25">
      <c r="A124" s="4">
        <v>42615</v>
      </c>
      <c r="B124" s="3">
        <v>16</v>
      </c>
      <c r="C124">
        <f t="shared" si="17"/>
        <v>1.3845406822053135E-2</v>
      </c>
    </row>
    <row r="125" spans="1:3" x14ac:dyDescent="0.25">
      <c r="A125" s="4">
        <v>42614</v>
      </c>
      <c r="B125" s="3">
        <v>15.98</v>
      </c>
      <c r="C125">
        <f t="shared" si="17"/>
        <v>-1.2507819016526025E-3</v>
      </c>
    </row>
    <row r="126" spans="1:3" x14ac:dyDescent="0.25">
      <c r="A126" s="4">
        <v>42613</v>
      </c>
      <c r="B126" s="3">
        <v>16.139999</v>
      </c>
      <c r="C126">
        <f t="shared" si="17"/>
        <v>9.962660545803451E-3</v>
      </c>
    </row>
    <row r="127" spans="1:3" x14ac:dyDescent="0.25">
      <c r="A127" s="4">
        <v>42612</v>
      </c>
      <c r="B127" s="3">
        <v>16.190000999999999</v>
      </c>
      <c r="C127">
        <f t="shared" si="17"/>
        <v>3.0932285721322656E-3</v>
      </c>
    </row>
    <row r="128" spans="1:3" x14ac:dyDescent="0.25">
      <c r="A128" s="4">
        <v>42611</v>
      </c>
      <c r="B128" s="3">
        <v>15.84</v>
      </c>
      <c r="C128">
        <f t="shared" si="17"/>
        <v>-2.185544306978451E-2</v>
      </c>
    </row>
    <row r="129" spans="1:3" x14ac:dyDescent="0.25">
      <c r="A129" s="4">
        <v>42608</v>
      </c>
      <c r="B129" s="3">
        <v>15.79</v>
      </c>
      <c r="C129">
        <f t="shared" si="17"/>
        <v>-3.1615581187291637E-3</v>
      </c>
    </row>
    <row r="130" spans="1:3" x14ac:dyDescent="0.25">
      <c r="A130" s="4">
        <v>42607</v>
      </c>
      <c r="B130" s="3">
        <v>15.53</v>
      </c>
      <c r="C130">
        <f t="shared" si="17"/>
        <v>-1.660319110695499E-2</v>
      </c>
    </row>
    <row r="131" spans="1:3" x14ac:dyDescent="0.25">
      <c r="A131" s="4">
        <v>42606</v>
      </c>
      <c r="B131" s="3">
        <v>15.4</v>
      </c>
      <c r="C131">
        <f t="shared" si="17"/>
        <v>-8.4061277410121486E-3</v>
      </c>
    </row>
    <row r="132" spans="1:3" x14ac:dyDescent="0.25">
      <c r="A132" s="4">
        <v>42605</v>
      </c>
      <c r="B132" s="3">
        <v>15.35</v>
      </c>
      <c r="C132">
        <f t="shared" si="17"/>
        <v>-3.2520353863773432E-3</v>
      </c>
    </row>
    <row r="133" spans="1:3" x14ac:dyDescent="0.25">
      <c r="A133" s="4">
        <v>42604</v>
      </c>
      <c r="B133" s="3">
        <v>15.18</v>
      </c>
      <c r="C133">
        <f t="shared" si="17"/>
        <v>-1.1136702065722275E-2</v>
      </c>
    </row>
    <row r="134" spans="1:3" x14ac:dyDescent="0.25">
      <c r="A134" s="4">
        <v>42601</v>
      </c>
      <c r="B134" s="3">
        <v>15.22</v>
      </c>
      <c r="C134">
        <f t="shared" ref="C134:C197" si="18">LN(B134/B133)</f>
        <v>2.6315804660560424E-3</v>
      </c>
    </row>
    <row r="135" spans="1:3" x14ac:dyDescent="0.25">
      <c r="A135" s="4">
        <v>42600</v>
      </c>
      <c r="B135" s="3">
        <v>15.16</v>
      </c>
      <c r="C135">
        <f t="shared" si="18"/>
        <v>-3.9499722193141558E-3</v>
      </c>
    </row>
    <row r="136" spans="1:3" x14ac:dyDescent="0.25">
      <c r="A136" s="4">
        <v>42599</v>
      </c>
      <c r="B136" s="3">
        <v>15.15</v>
      </c>
      <c r="C136">
        <f t="shared" si="18"/>
        <v>-6.5984825884743132E-4</v>
      </c>
    </row>
    <row r="137" spans="1:3" x14ac:dyDescent="0.25">
      <c r="A137" s="4">
        <v>42598</v>
      </c>
      <c r="B137" s="3">
        <v>15.17</v>
      </c>
      <c r="C137">
        <f t="shared" si="18"/>
        <v>1.3192614050626585E-3</v>
      </c>
    </row>
    <row r="138" spans="1:3" x14ac:dyDescent="0.25">
      <c r="A138" s="4">
        <v>42597</v>
      </c>
      <c r="B138" s="3">
        <v>15.02</v>
      </c>
      <c r="C138">
        <f t="shared" si="18"/>
        <v>-9.9371470244521889E-3</v>
      </c>
    </row>
    <row r="139" spans="1:3" x14ac:dyDescent="0.25">
      <c r="A139" s="4">
        <v>42594</v>
      </c>
      <c r="B139" s="3">
        <v>14.91</v>
      </c>
      <c r="C139">
        <f t="shared" si="18"/>
        <v>-7.3505175593415878E-3</v>
      </c>
    </row>
    <row r="140" spans="1:3" x14ac:dyDescent="0.25">
      <c r="A140" s="4">
        <v>42593</v>
      </c>
      <c r="B140" s="3">
        <v>14.88</v>
      </c>
      <c r="C140">
        <f t="shared" si="18"/>
        <v>-2.0140993717011448E-3</v>
      </c>
    </row>
    <row r="141" spans="1:3" x14ac:dyDescent="0.25">
      <c r="A141" s="4">
        <v>42592</v>
      </c>
      <c r="B141" s="3">
        <v>14.81</v>
      </c>
      <c r="C141">
        <f t="shared" si="18"/>
        <v>-4.7154011252384439E-3</v>
      </c>
    </row>
    <row r="142" spans="1:3" x14ac:dyDescent="0.25">
      <c r="A142" s="4">
        <v>42591</v>
      </c>
      <c r="B142" s="3">
        <v>15.19</v>
      </c>
      <c r="C142">
        <f t="shared" si="18"/>
        <v>2.5334688327973923E-2</v>
      </c>
    </row>
    <row r="143" spans="1:3" x14ac:dyDescent="0.25">
      <c r="A143" s="4">
        <v>42590</v>
      </c>
      <c r="B143" s="3">
        <v>15.13</v>
      </c>
      <c r="C143">
        <f t="shared" si="18"/>
        <v>-3.957788807416809E-3</v>
      </c>
    </row>
    <row r="144" spans="1:3" x14ac:dyDescent="0.25">
      <c r="A144" s="4">
        <v>42587</v>
      </c>
      <c r="B144" s="3">
        <v>15.05</v>
      </c>
      <c r="C144">
        <f t="shared" si="18"/>
        <v>-5.3015366053797888E-3</v>
      </c>
    </row>
    <row r="145" spans="1:3" x14ac:dyDescent="0.25">
      <c r="A145" s="4">
        <v>42586</v>
      </c>
      <c r="B145" s="3">
        <v>14.48</v>
      </c>
      <c r="C145">
        <f t="shared" si="18"/>
        <v>-3.860960423731441E-2</v>
      </c>
    </row>
    <row r="146" spans="1:3" x14ac:dyDescent="0.25">
      <c r="A146" s="4">
        <v>42585</v>
      </c>
      <c r="B146" s="3">
        <v>14.48</v>
      </c>
      <c r="C146">
        <f t="shared" si="18"/>
        <v>0</v>
      </c>
    </row>
    <row r="147" spans="1:3" x14ac:dyDescent="0.25">
      <c r="A147" s="4">
        <v>42584</v>
      </c>
      <c r="B147" s="3">
        <v>14.13</v>
      </c>
      <c r="C147">
        <f t="shared" si="18"/>
        <v>-2.4468190261134184E-2</v>
      </c>
    </row>
    <row r="148" spans="1:3" x14ac:dyDescent="0.25">
      <c r="A148" s="4">
        <v>42583</v>
      </c>
      <c r="B148" s="3">
        <v>14.33</v>
      </c>
      <c r="C148">
        <f t="shared" si="18"/>
        <v>1.4055045143644333E-2</v>
      </c>
    </row>
    <row r="149" spans="1:3" x14ac:dyDescent="0.25">
      <c r="A149" s="4">
        <v>42580</v>
      </c>
      <c r="B149" s="3">
        <v>14.49</v>
      </c>
      <c r="C149">
        <f t="shared" si="18"/>
        <v>1.1103514492510579E-2</v>
      </c>
    </row>
    <row r="150" spans="1:3" x14ac:dyDescent="0.25">
      <c r="A150" s="4">
        <v>42579</v>
      </c>
      <c r="B150" s="3">
        <v>14.68</v>
      </c>
      <c r="C150">
        <f t="shared" si="18"/>
        <v>1.3027266853778476E-2</v>
      </c>
    </row>
    <row r="151" spans="1:3" x14ac:dyDescent="0.25">
      <c r="A151" s="4">
        <v>42578</v>
      </c>
      <c r="B151" s="3">
        <v>14.63</v>
      </c>
      <c r="C151">
        <f t="shared" si="18"/>
        <v>-3.411808154336548E-3</v>
      </c>
    </row>
    <row r="152" spans="1:3" x14ac:dyDescent="0.25">
      <c r="A152" s="4">
        <v>42577</v>
      </c>
      <c r="B152" s="3">
        <v>14.53</v>
      </c>
      <c r="C152">
        <f t="shared" si="18"/>
        <v>-6.8587374498415375E-3</v>
      </c>
    </row>
    <row r="153" spans="1:3" x14ac:dyDescent="0.25">
      <c r="A153" s="4">
        <v>42576</v>
      </c>
      <c r="B153" s="3">
        <v>14.37</v>
      </c>
      <c r="C153">
        <f t="shared" si="18"/>
        <v>-1.1072777491258002E-2</v>
      </c>
    </row>
    <row r="154" spans="1:3" x14ac:dyDescent="0.25">
      <c r="A154" s="4">
        <v>42573</v>
      </c>
      <c r="B154" s="3">
        <v>14.38</v>
      </c>
      <c r="C154">
        <f t="shared" si="18"/>
        <v>6.9565220196713979E-4</v>
      </c>
    </row>
    <row r="155" spans="1:3" x14ac:dyDescent="0.25">
      <c r="A155" s="4">
        <v>42572</v>
      </c>
      <c r="B155" s="3">
        <v>14.27</v>
      </c>
      <c r="C155">
        <f t="shared" si="18"/>
        <v>-7.6789208041556437E-3</v>
      </c>
    </row>
    <row r="156" spans="1:3" x14ac:dyDescent="0.25">
      <c r="A156" s="4">
        <v>42571</v>
      </c>
      <c r="B156" s="3">
        <v>14.4</v>
      </c>
      <c r="C156">
        <f t="shared" si="18"/>
        <v>9.0687750932098646E-3</v>
      </c>
    </row>
    <row r="157" spans="1:3" x14ac:dyDescent="0.25">
      <c r="A157" s="4">
        <v>42570</v>
      </c>
      <c r="B157" s="3">
        <v>14.26</v>
      </c>
      <c r="C157">
        <f t="shared" si="18"/>
        <v>-9.769791595805136E-3</v>
      </c>
    </row>
    <row r="158" spans="1:3" x14ac:dyDescent="0.25">
      <c r="A158" s="4">
        <v>42569</v>
      </c>
      <c r="B158" s="3">
        <v>14.11</v>
      </c>
      <c r="C158">
        <f t="shared" si="18"/>
        <v>-1.0574649121427228E-2</v>
      </c>
    </row>
    <row r="159" spans="1:3" x14ac:dyDescent="0.25">
      <c r="A159" s="4">
        <v>42566</v>
      </c>
      <c r="B159" s="3">
        <v>13.66</v>
      </c>
      <c r="C159">
        <f t="shared" si="18"/>
        <v>-3.2411911722078537E-2</v>
      </c>
    </row>
    <row r="160" spans="1:3" x14ac:dyDescent="0.25">
      <c r="A160" s="4">
        <v>42565</v>
      </c>
      <c r="B160" s="3">
        <v>13.65</v>
      </c>
      <c r="C160">
        <f t="shared" si="18"/>
        <v>-7.3233251167522404E-4</v>
      </c>
    </row>
    <row r="161" spans="1:3" x14ac:dyDescent="0.25">
      <c r="A161" s="4">
        <v>42564</v>
      </c>
      <c r="B161" s="3">
        <v>13.44</v>
      </c>
      <c r="C161">
        <f t="shared" si="18"/>
        <v>-1.5504186535965312E-2</v>
      </c>
    </row>
    <row r="162" spans="1:3" x14ac:dyDescent="0.25">
      <c r="A162" s="4">
        <v>42563</v>
      </c>
      <c r="B162" s="3">
        <v>13.54</v>
      </c>
      <c r="C162">
        <f t="shared" si="18"/>
        <v>7.4129323891255336E-3</v>
      </c>
    </row>
    <row r="163" spans="1:3" x14ac:dyDescent="0.25">
      <c r="A163" s="4">
        <v>42562</v>
      </c>
      <c r="B163" s="3">
        <v>13.21</v>
      </c>
      <c r="C163">
        <f t="shared" si="18"/>
        <v>-2.4674148949894909E-2</v>
      </c>
    </row>
    <row r="164" spans="1:3" x14ac:dyDescent="0.25">
      <c r="A164" s="4">
        <v>42559</v>
      </c>
      <c r="B164" s="3">
        <v>13.17</v>
      </c>
      <c r="C164">
        <f t="shared" si="18"/>
        <v>-3.0326027790443643E-3</v>
      </c>
    </row>
    <row r="165" spans="1:3" x14ac:dyDescent="0.25">
      <c r="A165" s="4">
        <v>42558</v>
      </c>
      <c r="B165" s="3">
        <v>13.01</v>
      </c>
      <c r="C165">
        <f t="shared" si="18"/>
        <v>-1.2223223230775793E-2</v>
      </c>
    </row>
    <row r="166" spans="1:3" x14ac:dyDescent="0.25">
      <c r="A166" s="4">
        <v>42557</v>
      </c>
      <c r="B166" s="3">
        <v>12.86</v>
      </c>
      <c r="C166">
        <f t="shared" si="18"/>
        <v>-1.1596573714940647E-2</v>
      </c>
    </row>
    <row r="167" spans="1:3" x14ac:dyDescent="0.25">
      <c r="A167" s="4">
        <v>42556</v>
      </c>
      <c r="B167" s="3">
        <v>12.74</v>
      </c>
      <c r="C167">
        <f t="shared" si="18"/>
        <v>-9.3750686654559337E-3</v>
      </c>
    </row>
    <row r="168" spans="1:3" x14ac:dyDescent="0.25">
      <c r="A168" s="4">
        <v>42552</v>
      </c>
      <c r="B168" s="3">
        <v>13.1</v>
      </c>
      <c r="C168">
        <f t="shared" si="18"/>
        <v>2.7865580063088535E-2</v>
      </c>
    </row>
    <row r="169" spans="1:3" x14ac:dyDescent="0.25">
      <c r="A169" s="4">
        <v>42551</v>
      </c>
      <c r="B169" s="3">
        <v>13.27</v>
      </c>
      <c r="C169">
        <f t="shared" si="18"/>
        <v>1.2893618137010204E-2</v>
      </c>
    </row>
    <row r="170" spans="1:3" x14ac:dyDescent="0.25">
      <c r="A170" s="4">
        <v>42550</v>
      </c>
      <c r="B170" s="3">
        <v>13.19</v>
      </c>
      <c r="C170">
        <f t="shared" si="18"/>
        <v>-6.0468816148929495E-3</v>
      </c>
    </row>
    <row r="171" spans="1:3" x14ac:dyDescent="0.25">
      <c r="A171" s="4">
        <v>42549</v>
      </c>
      <c r="B171" s="3">
        <v>12.7</v>
      </c>
      <c r="C171">
        <f t="shared" si="18"/>
        <v>-3.7856973264677705E-2</v>
      </c>
    </row>
    <row r="172" spans="1:3" x14ac:dyDescent="0.25">
      <c r="A172" s="4">
        <v>42548</v>
      </c>
      <c r="B172" s="3">
        <v>12.18</v>
      </c>
      <c r="C172">
        <f t="shared" si="18"/>
        <v>-4.1806731182794592E-2</v>
      </c>
    </row>
    <row r="173" spans="1:3" x14ac:dyDescent="0.25">
      <c r="A173" s="4">
        <v>42545</v>
      </c>
      <c r="B173" s="3">
        <v>13</v>
      </c>
      <c r="C173">
        <f t="shared" si="18"/>
        <v>6.5154095179785793E-2</v>
      </c>
    </row>
    <row r="174" spans="1:3" x14ac:dyDescent="0.25">
      <c r="A174" s="4">
        <v>42544</v>
      </c>
      <c r="B174" s="3">
        <v>14.04</v>
      </c>
      <c r="C174">
        <f t="shared" si="18"/>
        <v>7.6961041136128186E-2</v>
      </c>
    </row>
    <row r="175" spans="1:3" x14ac:dyDescent="0.25">
      <c r="A175" s="4">
        <v>42543</v>
      </c>
      <c r="B175" s="3">
        <v>13.61</v>
      </c>
      <c r="C175">
        <f t="shared" si="18"/>
        <v>-3.1105581934290322E-2</v>
      </c>
    </row>
    <row r="176" spans="1:3" x14ac:dyDescent="0.25">
      <c r="A176" s="4">
        <v>42542</v>
      </c>
      <c r="B176" s="3">
        <v>13.62</v>
      </c>
      <c r="C176">
        <f t="shared" si="18"/>
        <v>7.3448405799165617E-4</v>
      </c>
    </row>
    <row r="177" spans="1:3" x14ac:dyDescent="0.25">
      <c r="A177" s="4">
        <v>42541</v>
      </c>
      <c r="B177" s="3">
        <v>13.54</v>
      </c>
      <c r="C177">
        <f t="shared" si="18"/>
        <v>-5.8910332372374193E-3</v>
      </c>
    </row>
    <row r="178" spans="1:3" x14ac:dyDescent="0.25">
      <c r="A178" s="4">
        <v>42538</v>
      </c>
      <c r="B178" s="3">
        <v>13.4</v>
      </c>
      <c r="C178">
        <f t="shared" si="18"/>
        <v>-1.0393560527263195E-2</v>
      </c>
    </row>
    <row r="179" spans="1:3" x14ac:dyDescent="0.25">
      <c r="A179" s="4">
        <v>42537</v>
      </c>
      <c r="B179" s="3">
        <v>13.31</v>
      </c>
      <c r="C179">
        <f t="shared" si="18"/>
        <v>-6.7390745498454073E-3</v>
      </c>
    </row>
    <row r="180" spans="1:3" x14ac:dyDescent="0.25">
      <c r="A180" s="4">
        <v>42536</v>
      </c>
      <c r="B180" s="3">
        <v>13.34</v>
      </c>
      <c r="C180">
        <f t="shared" si="18"/>
        <v>2.2514080804574279E-3</v>
      </c>
    </row>
    <row r="181" spans="1:3" x14ac:dyDescent="0.25">
      <c r="A181" s="4">
        <v>42535</v>
      </c>
      <c r="B181" s="3">
        <v>13.26</v>
      </c>
      <c r="C181">
        <f t="shared" si="18"/>
        <v>-6.0150557297612567E-3</v>
      </c>
    </row>
    <row r="182" spans="1:3" x14ac:dyDescent="0.25">
      <c r="A182" s="4">
        <v>42534</v>
      </c>
      <c r="B182" s="3">
        <v>13.6</v>
      </c>
      <c r="C182">
        <f t="shared" si="18"/>
        <v>2.5317807984289786E-2</v>
      </c>
    </row>
    <row r="183" spans="1:3" x14ac:dyDescent="0.25">
      <c r="A183" s="4">
        <v>42531</v>
      </c>
      <c r="B183" s="3">
        <v>13.83</v>
      </c>
      <c r="C183">
        <f t="shared" si="18"/>
        <v>1.6770352934660459E-2</v>
      </c>
    </row>
    <row r="184" spans="1:3" x14ac:dyDescent="0.25">
      <c r="A184" s="4">
        <v>42530</v>
      </c>
      <c r="B184" s="3">
        <v>14.19</v>
      </c>
      <c r="C184">
        <f t="shared" si="18"/>
        <v>2.5697345495284431E-2</v>
      </c>
    </row>
    <row r="185" spans="1:3" x14ac:dyDescent="0.25">
      <c r="A185" s="4">
        <v>42529</v>
      </c>
      <c r="B185" s="3">
        <v>14.43</v>
      </c>
      <c r="C185">
        <f t="shared" si="18"/>
        <v>1.6771881613828182E-2</v>
      </c>
    </row>
    <row r="186" spans="1:3" x14ac:dyDescent="0.25">
      <c r="A186" s="4">
        <v>42528</v>
      </c>
      <c r="B186" s="3">
        <v>14.35</v>
      </c>
      <c r="C186">
        <f t="shared" si="18"/>
        <v>-5.5594305801494256E-3</v>
      </c>
    </row>
    <row r="187" spans="1:3" x14ac:dyDescent="0.25">
      <c r="A187" s="4">
        <v>42527</v>
      </c>
      <c r="B187" s="3">
        <v>14.52</v>
      </c>
      <c r="C187">
        <f t="shared" si="18"/>
        <v>1.1777067191019862E-2</v>
      </c>
    </row>
    <row r="188" spans="1:3" x14ac:dyDescent="0.25">
      <c r="A188" s="4">
        <v>42524</v>
      </c>
      <c r="B188" s="3">
        <v>14.42</v>
      </c>
      <c r="C188">
        <f t="shared" si="18"/>
        <v>-6.9108775398470275E-3</v>
      </c>
    </row>
    <row r="189" spans="1:3" x14ac:dyDescent="0.25">
      <c r="A189" s="4">
        <v>42523</v>
      </c>
      <c r="B189" s="3">
        <v>14.94</v>
      </c>
      <c r="C189">
        <f t="shared" si="18"/>
        <v>3.5426047847868215E-2</v>
      </c>
    </row>
    <row r="190" spans="1:3" x14ac:dyDescent="0.25">
      <c r="A190" s="4">
        <v>42522</v>
      </c>
      <c r="B190" s="3">
        <v>14.86</v>
      </c>
      <c r="C190">
        <f t="shared" si="18"/>
        <v>-5.3691404150580969E-3</v>
      </c>
    </row>
    <row r="191" spans="1:3" x14ac:dyDescent="0.25">
      <c r="A191" s="4">
        <v>42521</v>
      </c>
      <c r="B191" s="3">
        <v>14.79</v>
      </c>
      <c r="C191">
        <f t="shared" si="18"/>
        <v>-4.7217625669046994E-3</v>
      </c>
    </row>
    <row r="192" spans="1:3" x14ac:dyDescent="0.25">
      <c r="A192" s="4">
        <v>42517</v>
      </c>
      <c r="B192" s="3">
        <v>14.88</v>
      </c>
      <c r="C192">
        <f t="shared" si="18"/>
        <v>6.0667526822375832E-3</v>
      </c>
    </row>
    <row r="193" spans="1:3" x14ac:dyDescent="0.25">
      <c r="A193" s="4">
        <v>42516</v>
      </c>
      <c r="B193" s="3">
        <v>14.7</v>
      </c>
      <c r="C193">
        <f t="shared" si="18"/>
        <v>-1.2170535620255291E-2</v>
      </c>
    </row>
    <row r="194" spans="1:3" x14ac:dyDescent="0.25">
      <c r="A194" s="4">
        <v>42515</v>
      </c>
      <c r="B194" s="3">
        <v>14.92</v>
      </c>
      <c r="C194">
        <f t="shared" si="18"/>
        <v>1.4855100990924278E-2</v>
      </c>
    </row>
    <row r="195" spans="1:3" x14ac:dyDescent="0.25">
      <c r="A195" s="4">
        <v>42514</v>
      </c>
      <c r="B195" s="3">
        <v>14.68</v>
      </c>
      <c r="C195">
        <f t="shared" si="18"/>
        <v>-1.621657158924528E-2</v>
      </c>
    </row>
    <row r="196" spans="1:3" x14ac:dyDescent="0.25">
      <c r="A196" s="4">
        <v>42513</v>
      </c>
      <c r="B196" s="3">
        <v>14.47</v>
      </c>
      <c r="C196">
        <f t="shared" si="18"/>
        <v>-1.4408482542976934E-2</v>
      </c>
    </row>
    <row r="197" spans="1:3" x14ac:dyDescent="0.25">
      <c r="A197" s="4">
        <v>42510</v>
      </c>
      <c r="B197" s="3">
        <v>14.52</v>
      </c>
      <c r="C197">
        <f t="shared" si="18"/>
        <v>3.4494687532575482E-3</v>
      </c>
    </row>
    <row r="198" spans="1:3" x14ac:dyDescent="0.25">
      <c r="A198" s="4">
        <v>42509</v>
      </c>
      <c r="B198" s="3">
        <v>14.53</v>
      </c>
      <c r="C198">
        <f t="shared" ref="C198:C261" si="19">LN(B198/B197)</f>
        <v>6.8846818554148454E-4</v>
      </c>
    </row>
    <row r="199" spans="1:3" x14ac:dyDescent="0.25">
      <c r="A199" s="4">
        <v>42508</v>
      </c>
      <c r="B199" s="3">
        <v>14.69</v>
      </c>
      <c r="C199">
        <f t="shared" si="19"/>
        <v>1.0951512603594424E-2</v>
      </c>
    </row>
    <row r="200" spans="1:3" x14ac:dyDescent="0.25">
      <c r="A200" s="4">
        <v>42507</v>
      </c>
      <c r="B200" s="3">
        <v>14.01</v>
      </c>
      <c r="C200">
        <f t="shared" si="19"/>
        <v>-4.7395629836870276E-2</v>
      </c>
    </row>
    <row r="201" spans="1:3" x14ac:dyDescent="0.25">
      <c r="A201" s="4">
        <v>42506</v>
      </c>
      <c r="B201" s="3">
        <v>13.93</v>
      </c>
      <c r="C201">
        <f t="shared" si="19"/>
        <v>-5.7265725572013086E-3</v>
      </c>
    </row>
    <row r="202" spans="1:3" x14ac:dyDescent="0.25">
      <c r="A202" s="4">
        <v>42503</v>
      </c>
      <c r="B202" s="3">
        <v>13.88</v>
      </c>
      <c r="C202">
        <f t="shared" si="19"/>
        <v>-3.5958327130558411E-3</v>
      </c>
    </row>
    <row r="203" spans="1:3" x14ac:dyDescent="0.25">
      <c r="A203" s="4">
        <v>42502</v>
      </c>
      <c r="B203" s="3">
        <v>14.14</v>
      </c>
      <c r="C203">
        <f t="shared" si="19"/>
        <v>1.8558705389768251E-2</v>
      </c>
    </row>
    <row r="204" spans="1:3" x14ac:dyDescent="0.25">
      <c r="A204" s="4">
        <v>42501</v>
      </c>
      <c r="B204" s="3">
        <v>14.2</v>
      </c>
      <c r="C204">
        <f t="shared" si="19"/>
        <v>4.2343041387881636E-3</v>
      </c>
    </row>
    <row r="205" spans="1:3" x14ac:dyDescent="0.25">
      <c r="A205" s="4">
        <v>42500</v>
      </c>
      <c r="B205" s="3">
        <v>14.3</v>
      </c>
      <c r="C205">
        <f t="shared" si="19"/>
        <v>7.0175726586465398E-3</v>
      </c>
    </row>
    <row r="206" spans="1:3" x14ac:dyDescent="0.25">
      <c r="A206" s="4">
        <v>42499</v>
      </c>
      <c r="B206" s="3">
        <v>13.99</v>
      </c>
      <c r="C206">
        <f t="shared" si="19"/>
        <v>-2.1916748588471844E-2</v>
      </c>
    </row>
    <row r="207" spans="1:3" x14ac:dyDescent="0.25">
      <c r="A207" s="4">
        <v>42496</v>
      </c>
      <c r="B207" s="3">
        <v>14.11</v>
      </c>
      <c r="C207">
        <f t="shared" si="19"/>
        <v>8.5409771873326823E-3</v>
      </c>
    </row>
    <row r="208" spans="1:3" x14ac:dyDescent="0.25">
      <c r="A208" s="4">
        <v>42495</v>
      </c>
      <c r="B208" s="3">
        <v>14.05</v>
      </c>
      <c r="C208">
        <f t="shared" si="19"/>
        <v>-4.2613700849677399E-3</v>
      </c>
    </row>
    <row r="209" spans="1:3" x14ac:dyDescent="0.25">
      <c r="A209" s="4">
        <v>42494</v>
      </c>
      <c r="B209" s="3">
        <v>14.13</v>
      </c>
      <c r="C209">
        <f t="shared" si="19"/>
        <v>5.677800916681415E-3</v>
      </c>
    </row>
    <row r="210" spans="1:3" x14ac:dyDescent="0.25">
      <c r="A210" s="4">
        <v>42493</v>
      </c>
      <c r="B210" s="3">
        <v>14.36</v>
      </c>
      <c r="C210">
        <f t="shared" si="19"/>
        <v>1.6146366923641974E-2</v>
      </c>
    </row>
    <row r="211" spans="1:3" x14ac:dyDescent="0.25">
      <c r="A211" s="4">
        <v>42492</v>
      </c>
      <c r="B211" s="3">
        <v>14.77</v>
      </c>
      <c r="C211">
        <f t="shared" si="19"/>
        <v>2.8151532923210321E-2</v>
      </c>
    </row>
    <row r="212" spans="1:3" x14ac:dyDescent="0.25">
      <c r="A212" s="4">
        <v>42489</v>
      </c>
      <c r="B212" s="3">
        <v>14.56</v>
      </c>
      <c r="C212">
        <f t="shared" si="19"/>
        <v>-1.4320053774748445E-2</v>
      </c>
    </row>
    <row r="213" spans="1:3" x14ac:dyDescent="0.25">
      <c r="A213" s="4">
        <v>42488</v>
      </c>
      <c r="B213" s="3">
        <v>14.79</v>
      </c>
      <c r="C213">
        <f t="shared" si="19"/>
        <v>1.5673233954168465E-2</v>
      </c>
    </row>
    <row r="214" spans="1:3" x14ac:dyDescent="0.25">
      <c r="A214" s="4">
        <v>42487</v>
      </c>
      <c r="B214" s="3">
        <v>15.02</v>
      </c>
      <c r="C214">
        <f t="shared" si="19"/>
        <v>1.5431369613280269E-2</v>
      </c>
    </row>
    <row r="215" spans="1:3" x14ac:dyDescent="0.25">
      <c r="A215" s="4">
        <v>42486</v>
      </c>
      <c r="B215" s="3">
        <v>15.09</v>
      </c>
      <c r="C215">
        <f t="shared" si="19"/>
        <v>4.6496264437689448E-3</v>
      </c>
    </row>
    <row r="216" spans="1:3" x14ac:dyDescent="0.25">
      <c r="A216" s="4">
        <v>42485</v>
      </c>
      <c r="B216" s="3">
        <v>14.96</v>
      </c>
      <c r="C216">
        <f t="shared" si="19"/>
        <v>-8.6523002334262314E-3</v>
      </c>
    </row>
    <row r="217" spans="1:3" x14ac:dyDescent="0.25">
      <c r="A217" s="4">
        <v>42482</v>
      </c>
      <c r="B217" s="3">
        <v>15.11</v>
      </c>
      <c r="C217">
        <f t="shared" si="19"/>
        <v>9.9768037383170007E-3</v>
      </c>
    </row>
    <row r="218" spans="1:3" x14ac:dyDescent="0.25">
      <c r="A218" s="4">
        <v>42481</v>
      </c>
      <c r="B218" s="3">
        <v>14.9</v>
      </c>
      <c r="C218">
        <f t="shared" si="19"/>
        <v>-1.3995563333234659E-2</v>
      </c>
    </row>
    <row r="219" spans="1:3" x14ac:dyDescent="0.25">
      <c r="A219" s="4">
        <v>42480</v>
      </c>
      <c r="B219" s="3">
        <v>14.93</v>
      </c>
      <c r="C219">
        <f t="shared" si="19"/>
        <v>2.0113985996854135E-3</v>
      </c>
    </row>
    <row r="220" spans="1:3" x14ac:dyDescent="0.25">
      <c r="A220" s="4">
        <v>42479</v>
      </c>
      <c r="B220" s="3">
        <v>14.45</v>
      </c>
      <c r="C220">
        <f t="shared" si="19"/>
        <v>-3.2678196992657831E-2</v>
      </c>
    </row>
    <row r="221" spans="1:3" x14ac:dyDescent="0.25">
      <c r="A221" s="4">
        <v>42478</v>
      </c>
      <c r="B221" s="3">
        <v>14.17</v>
      </c>
      <c r="C221">
        <f t="shared" si="19"/>
        <v>-1.9567360855852062E-2</v>
      </c>
    </row>
    <row r="222" spans="1:3" x14ac:dyDescent="0.25">
      <c r="A222" s="4">
        <v>42475</v>
      </c>
      <c r="B222" s="3">
        <v>14</v>
      </c>
      <c r="C222">
        <f t="shared" si="19"/>
        <v>-1.2069724087330399E-2</v>
      </c>
    </row>
    <row r="223" spans="1:3" x14ac:dyDescent="0.25">
      <c r="A223" s="4">
        <v>42474</v>
      </c>
      <c r="B223" s="3">
        <v>14.14</v>
      </c>
      <c r="C223">
        <f t="shared" si="19"/>
        <v>9.950330853168092E-3</v>
      </c>
    </row>
    <row r="224" spans="1:3" x14ac:dyDescent="0.25">
      <c r="A224" s="4">
        <v>42473</v>
      </c>
      <c r="B224" s="3">
        <v>13.79</v>
      </c>
      <c r="C224">
        <f t="shared" si="19"/>
        <v>-2.506396866321639E-2</v>
      </c>
    </row>
    <row r="225" spans="1:3" x14ac:dyDescent="0.25">
      <c r="A225" s="4">
        <v>42472</v>
      </c>
      <c r="B225" s="3">
        <v>13.27</v>
      </c>
      <c r="C225">
        <f t="shared" si="19"/>
        <v>-3.8437843461094273E-2</v>
      </c>
    </row>
    <row r="226" spans="1:3" x14ac:dyDescent="0.25">
      <c r="A226" s="4">
        <v>42471</v>
      </c>
      <c r="B226" s="3">
        <v>12.97</v>
      </c>
      <c r="C226">
        <f t="shared" si="19"/>
        <v>-2.286685001576352E-2</v>
      </c>
    </row>
    <row r="227" spans="1:3" x14ac:dyDescent="0.25">
      <c r="A227" s="4">
        <v>42468</v>
      </c>
      <c r="B227" s="3">
        <v>12.88</v>
      </c>
      <c r="C227">
        <f t="shared" si="19"/>
        <v>-6.9632776521449894E-3</v>
      </c>
    </row>
    <row r="228" spans="1:3" x14ac:dyDescent="0.25">
      <c r="A228" s="4">
        <v>42467</v>
      </c>
      <c r="B228" s="3">
        <v>12.85</v>
      </c>
      <c r="C228">
        <f t="shared" si="19"/>
        <v>-2.3319093349788251E-3</v>
      </c>
    </row>
    <row r="229" spans="1:3" x14ac:dyDescent="0.25">
      <c r="A229" s="4">
        <v>42466</v>
      </c>
      <c r="B229" s="3">
        <v>13.27</v>
      </c>
      <c r="C229">
        <f t="shared" si="19"/>
        <v>3.2162037002887438E-2</v>
      </c>
    </row>
    <row r="230" spans="1:3" x14ac:dyDescent="0.25">
      <c r="A230" s="4">
        <v>42465</v>
      </c>
      <c r="B230" s="3">
        <v>13.19</v>
      </c>
      <c r="C230">
        <f t="shared" si="19"/>
        <v>-6.0468816148929495E-3</v>
      </c>
    </row>
    <row r="231" spans="1:3" x14ac:dyDescent="0.25">
      <c r="A231" s="4">
        <v>42464</v>
      </c>
      <c r="B231" s="3">
        <v>13.51</v>
      </c>
      <c r="C231">
        <f t="shared" si="19"/>
        <v>2.3971185242884243E-2</v>
      </c>
    </row>
    <row r="232" spans="1:3" x14ac:dyDescent="0.25">
      <c r="A232" s="4">
        <v>42461</v>
      </c>
      <c r="B232" s="3">
        <v>13.56</v>
      </c>
      <c r="C232">
        <f t="shared" si="19"/>
        <v>3.694130540142098E-3</v>
      </c>
    </row>
    <row r="233" spans="1:3" x14ac:dyDescent="0.25">
      <c r="A233" s="4">
        <v>42460</v>
      </c>
      <c r="B233" s="3">
        <v>13.52</v>
      </c>
      <c r="C233">
        <f t="shared" si="19"/>
        <v>-2.9542118974315201E-3</v>
      </c>
    </row>
    <row r="234" spans="1:3" x14ac:dyDescent="0.25">
      <c r="A234" s="4">
        <v>42459</v>
      </c>
      <c r="B234" s="3">
        <v>13.48</v>
      </c>
      <c r="C234">
        <f t="shared" si="19"/>
        <v>-2.9629651306569606E-3</v>
      </c>
    </row>
    <row r="235" spans="1:3" x14ac:dyDescent="0.25">
      <c r="A235" s="4">
        <v>42458</v>
      </c>
      <c r="B235" s="3">
        <v>13.42</v>
      </c>
      <c r="C235">
        <f t="shared" si="19"/>
        <v>-4.4609739406252279E-3</v>
      </c>
    </row>
    <row r="236" spans="1:3" x14ac:dyDescent="0.25">
      <c r="A236" s="4">
        <v>42457</v>
      </c>
      <c r="B236" s="3">
        <v>13.62</v>
      </c>
      <c r="C236">
        <f t="shared" si="19"/>
        <v>1.4793169177830511E-2</v>
      </c>
    </row>
    <row r="237" spans="1:3" x14ac:dyDescent="0.25">
      <c r="A237" s="4">
        <v>42453</v>
      </c>
      <c r="B237" s="3">
        <v>13.68</v>
      </c>
      <c r="C237">
        <f t="shared" si="19"/>
        <v>4.3956114730381293E-3</v>
      </c>
    </row>
    <row r="238" spans="1:3" x14ac:dyDescent="0.25">
      <c r="A238" s="4">
        <v>42452</v>
      </c>
      <c r="B238" s="3">
        <v>13.62</v>
      </c>
      <c r="C238">
        <f t="shared" si="19"/>
        <v>-4.3956114730381093E-3</v>
      </c>
    </row>
    <row r="239" spans="1:3" x14ac:dyDescent="0.25">
      <c r="A239" s="4">
        <v>42451</v>
      </c>
      <c r="B239" s="3">
        <v>13.76</v>
      </c>
      <c r="C239">
        <f t="shared" si="19"/>
        <v>1.0226531783831374E-2</v>
      </c>
    </row>
    <row r="240" spans="1:3" x14ac:dyDescent="0.25">
      <c r="A240" s="4">
        <v>42450</v>
      </c>
      <c r="B240" s="3">
        <v>13.84</v>
      </c>
      <c r="C240">
        <f t="shared" si="19"/>
        <v>5.7971176843259146E-3</v>
      </c>
    </row>
    <row r="241" spans="1:3" x14ac:dyDescent="0.25">
      <c r="A241" s="4">
        <v>42447</v>
      </c>
      <c r="B241" s="3">
        <v>13.79</v>
      </c>
      <c r="C241">
        <f t="shared" si="19"/>
        <v>-3.6192583843130685E-3</v>
      </c>
    </row>
    <row r="242" spans="1:3" x14ac:dyDescent="0.25">
      <c r="A242" s="4">
        <v>42446</v>
      </c>
      <c r="B242" s="3">
        <v>13.4</v>
      </c>
      <c r="C242">
        <f t="shared" si="19"/>
        <v>-2.8688984848344649E-2</v>
      </c>
    </row>
    <row r="243" spans="1:3" x14ac:dyDescent="0.25">
      <c r="A243" s="4">
        <v>42445</v>
      </c>
      <c r="B243" s="3">
        <v>13.31</v>
      </c>
      <c r="C243">
        <f t="shared" si="19"/>
        <v>-6.7390745498454073E-3</v>
      </c>
    </row>
    <row r="244" spans="1:3" x14ac:dyDescent="0.25">
      <c r="A244" s="4">
        <v>42444</v>
      </c>
      <c r="B244" s="3">
        <v>13.57</v>
      </c>
      <c r="C244">
        <f t="shared" si="19"/>
        <v>1.9345841439757424E-2</v>
      </c>
    </row>
    <row r="245" spans="1:3" x14ac:dyDescent="0.25">
      <c r="A245" s="4">
        <v>42443</v>
      </c>
      <c r="B245" s="3">
        <v>13.64</v>
      </c>
      <c r="C245">
        <f t="shared" si="19"/>
        <v>5.145178568538215E-3</v>
      </c>
    </row>
    <row r="246" spans="1:3" x14ac:dyDescent="0.25">
      <c r="A246" s="4">
        <v>42440</v>
      </c>
      <c r="B246" s="3">
        <v>13.79</v>
      </c>
      <c r="C246">
        <f t="shared" si="19"/>
        <v>1.0937039389894394E-2</v>
      </c>
    </row>
    <row r="247" spans="1:3" x14ac:dyDescent="0.25">
      <c r="A247" s="4">
        <v>42439</v>
      </c>
      <c r="B247" s="3">
        <v>13.27</v>
      </c>
      <c r="C247">
        <f t="shared" si="19"/>
        <v>-3.8437843461094273E-2</v>
      </c>
    </row>
    <row r="248" spans="1:3" x14ac:dyDescent="0.25">
      <c r="A248" s="4">
        <v>42438</v>
      </c>
      <c r="B248" s="3">
        <v>13.14</v>
      </c>
      <c r="C248">
        <f t="shared" si="19"/>
        <v>-9.8448352876515967E-3</v>
      </c>
    </row>
    <row r="249" spans="1:3" x14ac:dyDescent="0.25">
      <c r="A249" s="4">
        <v>42437</v>
      </c>
      <c r="B249" s="3">
        <v>13.06</v>
      </c>
      <c r="C249">
        <f t="shared" si="19"/>
        <v>-6.1068892081794501E-3</v>
      </c>
    </row>
    <row r="250" spans="1:3" x14ac:dyDescent="0.25">
      <c r="A250" s="4">
        <v>42436</v>
      </c>
      <c r="B250" s="3">
        <v>13.53</v>
      </c>
      <c r="C250">
        <f t="shared" si="19"/>
        <v>3.5355318334411683E-2</v>
      </c>
    </row>
    <row r="251" spans="1:3" x14ac:dyDescent="0.25">
      <c r="A251" s="4">
        <v>42433</v>
      </c>
      <c r="B251" s="3">
        <v>13.54</v>
      </c>
      <c r="C251">
        <f t="shared" si="19"/>
        <v>7.3882530143225722E-4</v>
      </c>
    </row>
    <row r="252" spans="1:3" x14ac:dyDescent="0.25">
      <c r="A252" s="4">
        <v>42432</v>
      </c>
      <c r="B252" s="3">
        <v>13.5</v>
      </c>
      <c r="C252">
        <f t="shared" si="19"/>
        <v>-2.9585820397451542E-3</v>
      </c>
    </row>
    <row r="253" spans="1:3" x14ac:dyDescent="0.25">
      <c r="A253" s="4">
        <v>42431</v>
      </c>
      <c r="B253" s="3">
        <v>13.41</v>
      </c>
      <c r="C253">
        <f t="shared" si="19"/>
        <v>-6.688988150796652E-3</v>
      </c>
    </row>
    <row r="254" spans="1:3" x14ac:dyDescent="0.25">
      <c r="A254" s="4">
        <v>42430</v>
      </c>
      <c r="B254" s="3">
        <v>13.19</v>
      </c>
      <c r="C254">
        <f t="shared" si="19"/>
        <v>-1.6541730564364025E-2</v>
      </c>
    </row>
    <row r="255" spans="1:3" x14ac:dyDescent="0.25">
      <c r="A255" s="4">
        <v>42429</v>
      </c>
      <c r="B255" s="3">
        <v>12.52</v>
      </c>
      <c r="C255">
        <f t="shared" si="19"/>
        <v>-5.2131601057270764E-2</v>
      </c>
    </row>
    <row r="256" spans="1:3" x14ac:dyDescent="0.25">
      <c r="A256" s="4">
        <v>42426</v>
      </c>
      <c r="B256" s="3">
        <v>12.7</v>
      </c>
      <c r="C256">
        <f t="shared" si="19"/>
        <v>1.4274627792593033E-2</v>
      </c>
    </row>
    <row r="257" spans="1:3" x14ac:dyDescent="0.25">
      <c r="A257" s="4">
        <v>42425</v>
      </c>
      <c r="B257" s="3">
        <v>12.32</v>
      </c>
      <c r="C257">
        <f t="shared" si="19"/>
        <v>-3.037803535917177E-2</v>
      </c>
    </row>
    <row r="258" spans="1:3" x14ac:dyDescent="0.25">
      <c r="A258" s="4">
        <v>42424</v>
      </c>
      <c r="B258" s="3">
        <v>12.13</v>
      </c>
      <c r="C258">
        <f t="shared" si="19"/>
        <v>-1.5542235149414869E-2</v>
      </c>
    </row>
    <row r="259" spans="1:3" x14ac:dyDescent="0.25">
      <c r="A259" s="4">
        <v>42423</v>
      </c>
      <c r="B259" s="3">
        <v>12.16</v>
      </c>
      <c r="C259">
        <f t="shared" si="19"/>
        <v>2.4701535820621169E-3</v>
      </c>
    </row>
    <row r="260" spans="1:3" x14ac:dyDescent="0.25">
      <c r="A260" s="4">
        <v>42422</v>
      </c>
      <c r="B260" s="3">
        <v>12.54</v>
      </c>
      <c r="C260">
        <f t="shared" si="19"/>
        <v>3.0771658666753687E-2</v>
      </c>
    </row>
    <row r="261" spans="1:3" x14ac:dyDescent="0.25">
      <c r="A261" s="4">
        <v>42419</v>
      </c>
      <c r="B261" s="3">
        <v>12.13</v>
      </c>
      <c r="C261">
        <f t="shared" si="19"/>
        <v>-3.3241812248815686E-2</v>
      </c>
    </row>
    <row r="262" spans="1:3" x14ac:dyDescent="0.25">
      <c r="A262" s="4">
        <v>42418</v>
      </c>
      <c r="B262" s="3">
        <v>12.24</v>
      </c>
      <c r="C262">
        <f t="shared" ref="C262:C325" si="20">LN(B262/B261)</f>
        <v>9.0275541282213035E-3</v>
      </c>
    </row>
    <row r="263" spans="1:3" x14ac:dyDescent="0.25">
      <c r="A263" s="4">
        <v>42417</v>
      </c>
      <c r="B263" s="3">
        <v>12.56</v>
      </c>
      <c r="C263">
        <f t="shared" si="20"/>
        <v>2.5807883955872721E-2</v>
      </c>
    </row>
    <row r="264" spans="1:3" x14ac:dyDescent="0.25">
      <c r="A264" s="4">
        <v>42416</v>
      </c>
      <c r="B264" s="3">
        <v>12.25</v>
      </c>
      <c r="C264">
        <f t="shared" si="20"/>
        <v>-2.4991224049316706E-2</v>
      </c>
    </row>
    <row r="265" spans="1:3" x14ac:dyDescent="0.25">
      <c r="A265" s="4">
        <v>42412</v>
      </c>
      <c r="B265" s="3">
        <v>11.95</v>
      </c>
      <c r="C265">
        <f t="shared" si="20"/>
        <v>-2.4794658613216392E-2</v>
      </c>
    </row>
    <row r="266" spans="1:3" x14ac:dyDescent="0.25">
      <c r="A266" s="4">
        <v>42411</v>
      </c>
      <c r="B266" s="3">
        <v>11.16</v>
      </c>
      <c r="C266">
        <f t="shared" si="20"/>
        <v>-6.8395321424354727E-2</v>
      </c>
    </row>
    <row r="267" spans="1:3" x14ac:dyDescent="0.25">
      <c r="A267" s="4">
        <v>42410</v>
      </c>
      <c r="B267" s="3">
        <v>11.98</v>
      </c>
      <c r="C267">
        <f t="shared" si="20"/>
        <v>7.0902635734138492E-2</v>
      </c>
    </row>
    <row r="268" spans="1:3" x14ac:dyDescent="0.25">
      <c r="A268" s="4">
        <v>42409</v>
      </c>
      <c r="B268" s="3">
        <v>12.2</v>
      </c>
      <c r="C268">
        <f t="shared" si="20"/>
        <v>1.8197359051907513E-2</v>
      </c>
    </row>
    <row r="269" spans="1:3" x14ac:dyDescent="0.25">
      <c r="A269" s="4">
        <v>42408</v>
      </c>
      <c r="B269" s="3">
        <v>12.27</v>
      </c>
      <c r="C269">
        <f t="shared" si="20"/>
        <v>5.7213069836091236E-3</v>
      </c>
    </row>
    <row r="270" spans="1:3" x14ac:dyDescent="0.25">
      <c r="A270" s="4">
        <v>42405</v>
      </c>
      <c r="B270" s="3">
        <v>12.95</v>
      </c>
      <c r="C270">
        <f t="shared" si="20"/>
        <v>5.3938529422726721E-2</v>
      </c>
    </row>
    <row r="271" spans="1:3" x14ac:dyDescent="0.25">
      <c r="A271" s="4">
        <v>42404</v>
      </c>
      <c r="B271" s="3">
        <v>13.25</v>
      </c>
      <c r="C271">
        <f t="shared" si="20"/>
        <v>2.2901764286684414E-2</v>
      </c>
    </row>
    <row r="272" spans="1:3" x14ac:dyDescent="0.25">
      <c r="A272" s="4">
        <v>42403</v>
      </c>
      <c r="B272" s="3">
        <v>13.03</v>
      </c>
      <c r="C272">
        <f t="shared" si="20"/>
        <v>-1.6743161295477531E-2</v>
      </c>
    </row>
    <row r="273" spans="1:3" x14ac:dyDescent="0.25">
      <c r="A273" s="4">
        <v>42402</v>
      </c>
      <c r="B273" s="3">
        <v>13.23</v>
      </c>
      <c r="C273">
        <f t="shared" si="20"/>
        <v>1.5232586990110639E-2</v>
      </c>
    </row>
    <row r="274" spans="1:3" x14ac:dyDescent="0.25">
      <c r="A274" s="4">
        <v>42401</v>
      </c>
      <c r="B274" s="3">
        <v>13.96</v>
      </c>
      <c r="C274">
        <f t="shared" si="20"/>
        <v>5.3709119207362134E-2</v>
      </c>
    </row>
    <row r="275" spans="1:3" x14ac:dyDescent="0.25">
      <c r="A275" s="4">
        <v>42398</v>
      </c>
      <c r="B275" s="3">
        <v>14.14</v>
      </c>
      <c r="C275">
        <f t="shared" si="20"/>
        <v>1.2811563134200368E-2</v>
      </c>
    </row>
    <row r="276" spans="1:3" x14ac:dyDescent="0.25">
      <c r="A276" s="4">
        <v>42397</v>
      </c>
      <c r="B276" s="3">
        <v>13.53</v>
      </c>
      <c r="C276">
        <f t="shared" si="20"/>
        <v>-4.4098218285730136E-2</v>
      </c>
    </row>
    <row r="277" spans="1:3" x14ac:dyDescent="0.25">
      <c r="A277" s="4">
        <v>42396</v>
      </c>
      <c r="B277" s="3">
        <v>13.36</v>
      </c>
      <c r="C277">
        <f t="shared" si="20"/>
        <v>-1.2644274074197012E-2</v>
      </c>
    </row>
    <row r="278" spans="1:3" x14ac:dyDescent="0.25">
      <c r="A278" s="4">
        <v>42395</v>
      </c>
      <c r="B278" s="3">
        <v>13.31</v>
      </c>
      <c r="C278">
        <f t="shared" si="20"/>
        <v>-3.7495357014793633E-3</v>
      </c>
    </row>
    <row r="279" spans="1:3" x14ac:dyDescent="0.25">
      <c r="A279" s="4">
        <v>42394</v>
      </c>
      <c r="B279" s="3">
        <v>12.96</v>
      </c>
      <c r="C279">
        <f t="shared" si="20"/>
        <v>-2.6647941482891641E-2</v>
      </c>
    </row>
    <row r="280" spans="1:3" x14ac:dyDescent="0.25">
      <c r="A280" s="4">
        <v>42391</v>
      </c>
      <c r="B280" s="3">
        <v>13.56</v>
      </c>
      <c r="C280">
        <f t="shared" si="20"/>
        <v>4.5256591588120863E-2</v>
      </c>
    </row>
    <row r="281" spans="1:3" x14ac:dyDescent="0.25">
      <c r="A281" s="4">
        <v>42390</v>
      </c>
      <c r="B281" s="3">
        <v>13.36</v>
      </c>
      <c r="C281">
        <f t="shared" si="20"/>
        <v>-1.4859114403749941E-2</v>
      </c>
    </row>
    <row r="282" spans="1:3" x14ac:dyDescent="0.25">
      <c r="A282" s="4">
        <v>42389</v>
      </c>
      <c r="B282" s="3">
        <v>13.69</v>
      </c>
      <c r="C282">
        <f t="shared" si="20"/>
        <v>2.4400471191857814E-2</v>
      </c>
    </row>
    <row r="283" spans="1:3" x14ac:dyDescent="0.25">
      <c r="A283" s="4">
        <v>42388</v>
      </c>
      <c r="B283" s="3">
        <v>14.24</v>
      </c>
      <c r="C283">
        <f t="shared" si="20"/>
        <v>3.9389266683472333E-2</v>
      </c>
    </row>
    <row r="284" spans="1:3" x14ac:dyDescent="0.25">
      <c r="A284" s="4">
        <v>42384</v>
      </c>
      <c r="B284" s="3">
        <v>14.46</v>
      </c>
      <c r="C284">
        <f t="shared" si="20"/>
        <v>1.533131074678893E-2</v>
      </c>
    </row>
    <row r="285" spans="1:3" x14ac:dyDescent="0.25">
      <c r="A285" s="4">
        <v>42383</v>
      </c>
      <c r="B285" s="3">
        <v>14.99</v>
      </c>
      <c r="C285">
        <f t="shared" si="20"/>
        <v>3.5997095383887581E-2</v>
      </c>
    </row>
    <row r="286" spans="1:3" x14ac:dyDescent="0.25">
      <c r="A286" s="4">
        <v>42382</v>
      </c>
      <c r="B286" s="3">
        <v>14.9</v>
      </c>
      <c r="C286">
        <f t="shared" si="20"/>
        <v>-6.022099163092833E-3</v>
      </c>
    </row>
    <row r="287" spans="1:3" x14ac:dyDescent="0.25">
      <c r="A287" s="4">
        <v>42381</v>
      </c>
      <c r="B287" s="3">
        <v>15.31</v>
      </c>
      <c r="C287">
        <f t="shared" si="20"/>
        <v>2.7144996718178986E-2</v>
      </c>
    </row>
    <row r="288" spans="1:3" x14ac:dyDescent="0.25">
      <c r="A288" s="4">
        <v>42380</v>
      </c>
      <c r="B288" s="3">
        <v>15.31</v>
      </c>
      <c r="C288">
        <f t="shared" si="20"/>
        <v>0</v>
      </c>
    </row>
    <row r="289" spans="1:3" x14ac:dyDescent="0.25">
      <c r="A289" s="4">
        <v>42377</v>
      </c>
      <c r="B289" s="3">
        <v>15.2</v>
      </c>
      <c r="C289">
        <f t="shared" si="20"/>
        <v>-7.2107818173617116E-3</v>
      </c>
    </row>
    <row r="290" spans="1:3" x14ac:dyDescent="0.25">
      <c r="A290" s="4">
        <v>42376</v>
      </c>
      <c r="B290" s="3">
        <v>15.5</v>
      </c>
      <c r="C290">
        <f t="shared" si="20"/>
        <v>1.9544596072970346E-2</v>
      </c>
    </row>
    <row r="291" spans="1:3" x14ac:dyDescent="0.25">
      <c r="A291" s="4">
        <v>42375</v>
      </c>
      <c r="B291" s="3">
        <v>16.079999999999998</v>
      </c>
      <c r="C291">
        <f t="shared" si="20"/>
        <v>3.673623982561932E-2</v>
      </c>
    </row>
    <row r="292" spans="1:3" x14ac:dyDescent="0.25">
      <c r="A292" s="4">
        <v>42374</v>
      </c>
      <c r="B292" s="3">
        <v>16.43</v>
      </c>
      <c r="C292">
        <f t="shared" si="20"/>
        <v>2.1532668298356563E-2</v>
      </c>
    </row>
    <row r="293" spans="1:3" x14ac:dyDescent="0.25">
      <c r="A293" s="4">
        <v>42373</v>
      </c>
      <c r="B293" s="3">
        <v>16.43</v>
      </c>
      <c r="C293">
        <f t="shared" si="20"/>
        <v>0</v>
      </c>
    </row>
    <row r="294" spans="1:3" x14ac:dyDescent="0.25">
      <c r="A294" s="4">
        <v>42369</v>
      </c>
      <c r="B294" s="3">
        <v>16.829999999999998</v>
      </c>
      <c r="C294">
        <f t="shared" si="20"/>
        <v>2.4054076153537943E-2</v>
      </c>
    </row>
    <row r="295" spans="1:3" x14ac:dyDescent="0.25">
      <c r="A295" s="4">
        <v>42368</v>
      </c>
      <c r="B295" s="3">
        <v>17.049999</v>
      </c>
      <c r="C295">
        <f t="shared" si="20"/>
        <v>1.2987136875783163E-2</v>
      </c>
    </row>
    <row r="296" spans="1:3" x14ac:dyDescent="0.25">
      <c r="A296" s="4">
        <v>42367</v>
      </c>
      <c r="B296" s="3">
        <v>17.280000999999999</v>
      </c>
      <c r="C296">
        <f t="shared" si="20"/>
        <v>1.3399676167780457E-2</v>
      </c>
    </row>
    <row r="297" spans="1:3" x14ac:dyDescent="0.25">
      <c r="A297" s="4">
        <v>42366</v>
      </c>
      <c r="B297" s="3">
        <v>17.129999000000002</v>
      </c>
      <c r="C297">
        <f t="shared" si="20"/>
        <v>-8.7185672873674527E-3</v>
      </c>
    </row>
    <row r="298" spans="1:3" x14ac:dyDescent="0.25">
      <c r="A298" s="4">
        <v>42362</v>
      </c>
      <c r="B298" s="3">
        <v>17.27</v>
      </c>
      <c r="C298">
        <f t="shared" si="20"/>
        <v>8.1396381996765264E-3</v>
      </c>
    </row>
    <row r="299" spans="1:3" x14ac:dyDescent="0.25">
      <c r="A299" s="4">
        <v>42361</v>
      </c>
      <c r="B299" s="3">
        <v>17.34</v>
      </c>
      <c r="C299">
        <f t="shared" si="20"/>
        <v>4.0450791938086393E-3</v>
      </c>
    </row>
    <row r="300" spans="1:3" x14ac:dyDescent="0.25">
      <c r="A300" s="4">
        <v>42360</v>
      </c>
      <c r="B300" s="3">
        <v>17.079999999999998</v>
      </c>
      <c r="C300">
        <f t="shared" si="20"/>
        <v>-1.5107782991972034E-2</v>
      </c>
    </row>
    <row r="301" spans="1:3" x14ac:dyDescent="0.25">
      <c r="A301" s="4">
        <v>42359</v>
      </c>
      <c r="B301" s="3">
        <v>16.969999000000001</v>
      </c>
      <c r="C301">
        <f t="shared" si="20"/>
        <v>-6.461168041809546E-3</v>
      </c>
    </row>
    <row r="302" spans="1:3" x14ac:dyDescent="0.25">
      <c r="A302" s="4">
        <v>42356</v>
      </c>
      <c r="B302" s="3">
        <v>16.760000000000002</v>
      </c>
      <c r="C302">
        <f t="shared" si="20"/>
        <v>-1.2451925264677116E-2</v>
      </c>
    </row>
    <row r="303" spans="1:3" x14ac:dyDescent="0.25">
      <c r="A303" s="4">
        <v>42355</v>
      </c>
      <c r="B303" s="3">
        <v>17.299999</v>
      </c>
      <c r="C303">
        <f t="shared" si="20"/>
        <v>3.1711348646326236E-2</v>
      </c>
    </row>
    <row r="304" spans="1:3" x14ac:dyDescent="0.25">
      <c r="A304" s="4">
        <v>42354</v>
      </c>
      <c r="B304" s="3">
        <v>17.75</v>
      </c>
      <c r="C304">
        <f t="shared" si="20"/>
        <v>2.5679072221161441E-2</v>
      </c>
    </row>
    <row r="305" spans="1:3" x14ac:dyDescent="0.25">
      <c r="A305" s="4">
        <v>42353</v>
      </c>
      <c r="B305" s="3">
        <v>17.420000000000002</v>
      </c>
      <c r="C305">
        <f t="shared" si="20"/>
        <v>-1.8766544497067973E-2</v>
      </c>
    </row>
    <row r="306" spans="1:3" x14ac:dyDescent="0.25">
      <c r="A306" s="4">
        <v>42352</v>
      </c>
      <c r="B306" s="3">
        <v>16.799999</v>
      </c>
      <c r="C306">
        <f t="shared" si="20"/>
        <v>-3.6240144538954903E-2</v>
      </c>
    </row>
    <row r="307" spans="1:3" x14ac:dyDescent="0.25">
      <c r="A307" s="4">
        <v>42349</v>
      </c>
      <c r="B307" s="3">
        <v>16.73</v>
      </c>
      <c r="C307">
        <f t="shared" si="20"/>
        <v>-4.1753118866693457E-3</v>
      </c>
    </row>
    <row r="308" spans="1:3" x14ac:dyDescent="0.25">
      <c r="A308" s="4">
        <v>42348</v>
      </c>
      <c r="B308" s="3">
        <v>17.200001</v>
      </c>
      <c r="C308">
        <f t="shared" si="20"/>
        <v>2.770592696020804E-2</v>
      </c>
    </row>
    <row r="309" spans="1:3" x14ac:dyDescent="0.25">
      <c r="A309" s="4">
        <v>42347</v>
      </c>
      <c r="B309" s="3">
        <v>17.100000000000001</v>
      </c>
      <c r="C309">
        <f t="shared" si="20"/>
        <v>-5.8309784503263427E-3</v>
      </c>
    </row>
    <row r="310" spans="1:3" x14ac:dyDescent="0.25">
      <c r="A310" s="4">
        <v>42346</v>
      </c>
      <c r="B310" s="3">
        <v>17.190000999999999</v>
      </c>
      <c r="C310">
        <f t="shared" si="20"/>
        <v>5.2494140594983767E-3</v>
      </c>
    </row>
    <row r="311" spans="1:3" x14ac:dyDescent="0.25">
      <c r="A311" s="4">
        <v>42345</v>
      </c>
      <c r="B311" s="3">
        <v>17.540001</v>
      </c>
      <c r="C311">
        <f t="shared" si="20"/>
        <v>2.0156166388465312E-2</v>
      </c>
    </row>
    <row r="312" spans="1:3" x14ac:dyDescent="0.25">
      <c r="A312" s="4">
        <v>42342</v>
      </c>
      <c r="B312" s="3">
        <v>17.799999</v>
      </c>
      <c r="C312">
        <f t="shared" si="20"/>
        <v>1.4714357161684434E-2</v>
      </c>
    </row>
    <row r="313" spans="1:3" x14ac:dyDescent="0.25">
      <c r="A313" s="4">
        <v>42341</v>
      </c>
      <c r="B313" s="3">
        <v>17.299999</v>
      </c>
      <c r="C313">
        <f t="shared" si="20"/>
        <v>-2.8491957417999175E-2</v>
      </c>
    </row>
    <row r="314" spans="1:3" x14ac:dyDescent="0.25">
      <c r="A314" s="4">
        <v>42340</v>
      </c>
      <c r="B314" s="3">
        <v>17.620000999999998</v>
      </c>
      <c r="C314">
        <f t="shared" si="20"/>
        <v>1.8328233561457481E-2</v>
      </c>
    </row>
    <row r="315" spans="1:3" x14ac:dyDescent="0.25">
      <c r="A315" s="4">
        <v>42339</v>
      </c>
      <c r="B315" s="3">
        <v>17.809999000000001</v>
      </c>
      <c r="C315">
        <f t="shared" si="20"/>
        <v>1.0725363891616779E-2</v>
      </c>
    </row>
    <row r="316" spans="1:3" x14ac:dyDescent="0.25">
      <c r="A316" s="4">
        <v>42338</v>
      </c>
      <c r="B316" s="3">
        <v>17.43</v>
      </c>
      <c r="C316">
        <f t="shared" si="20"/>
        <v>-2.1567181621407916E-2</v>
      </c>
    </row>
    <row r="317" spans="1:3" x14ac:dyDescent="0.25">
      <c r="A317" s="4">
        <v>42335</v>
      </c>
      <c r="B317" s="3">
        <v>17.48</v>
      </c>
      <c r="C317">
        <f t="shared" si="20"/>
        <v>2.8645106954599169E-3</v>
      </c>
    </row>
    <row r="318" spans="1:3" x14ac:dyDescent="0.25">
      <c r="A318" s="4">
        <v>42333</v>
      </c>
      <c r="B318" s="3">
        <v>17.440000999999999</v>
      </c>
      <c r="C318">
        <f t="shared" si="20"/>
        <v>-2.2908944071079887E-3</v>
      </c>
    </row>
    <row r="319" spans="1:3" x14ac:dyDescent="0.25">
      <c r="A319" s="4">
        <v>42332</v>
      </c>
      <c r="B319" s="3">
        <v>17.469999000000001</v>
      </c>
      <c r="C319">
        <f t="shared" si="20"/>
        <v>1.7185910846976642E-3</v>
      </c>
    </row>
    <row r="320" spans="1:3" x14ac:dyDescent="0.25">
      <c r="A320" s="4">
        <v>42331</v>
      </c>
      <c r="B320" s="3">
        <v>17.469999000000001</v>
      </c>
      <c r="C320">
        <f t="shared" si="20"/>
        <v>0</v>
      </c>
    </row>
    <row r="321" spans="1:3" x14ac:dyDescent="0.25">
      <c r="A321" s="4">
        <v>42328</v>
      </c>
      <c r="B321" s="3">
        <v>17.649999999999999</v>
      </c>
      <c r="C321">
        <f t="shared" si="20"/>
        <v>1.0250716474326639E-2</v>
      </c>
    </row>
    <row r="322" spans="1:3" x14ac:dyDescent="0.25">
      <c r="A322" s="4">
        <v>42327</v>
      </c>
      <c r="B322" s="3">
        <v>17.690000999999999</v>
      </c>
      <c r="C322">
        <f t="shared" si="20"/>
        <v>2.2637813214991189E-3</v>
      </c>
    </row>
    <row r="323" spans="1:3" x14ac:dyDescent="0.25">
      <c r="A323" s="4">
        <v>42326</v>
      </c>
      <c r="B323" s="3">
        <v>17.84</v>
      </c>
      <c r="C323">
        <f t="shared" si="20"/>
        <v>8.4435624510586192E-3</v>
      </c>
    </row>
    <row r="324" spans="1:3" x14ac:dyDescent="0.25">
      <c r="A324" s="4">
        <v>42325</v>
      </c>
      <c r="B324" s="3">
        <v>17.420000000000002</v>
      </c>
      <c r="C324">
        <f t="shared" si="20"/>
        <v>-2.3824155727506482E-2</v>
      </c>
    </row>
    <row r="325" spans="1:3" x14ac:dyDescent="0.25">
      <c r="A325" s="4">
        <v>42324</v>
      </c>
      <c r="B325" s="3">
        <v>17.43</v>
      </c>
      <c r="C325">
        <f t="shared" si="20"/>
        <v>5.7388810757263726E-4</v>
      </c>
    </row>
    <row r="326" spans="1:3" x14ac:dyDescent="0.25">
      <c r="A326" s="4">
        <v>42321</v>
      </c>
      <c r="B326" s="3">
        <v>17.200001</v>
      </c>
      <c r="C326">
        <f t="shared" ref="C326:C389" si="21">LN(B326/B325)</f>
        <v>-1.3283417572989011E-2</v>
      </c>
    </row>
    <row r="327" spans="1:3" x14ac:dyDescent="0.25">
      <c r="A327" s="4">
        <v>42320</v>
      </c>
      <c r="B327" s="3">
        <v>17.370000999999998</v>
      </c>
      <c r="C327">
        <f t="shared" si="21"/>
        <v>9.8351958645950775E-3</v>
      </c>
    </row>
    <row r="328" spans="1:3" x14ac:dyDescent="0.25">
      <c r="A328" s="4">
        <v>42319</v>
      </c>
      <c r="B328" s="3">
        <v>17.75</v>
      </c>
      <c r="C328">
        <f t="shared" si="21"/>
        <v>2.1640878097889085E-2</v>
      </c>
    </row>
    <row r="329" spans="1:3" x14ac:dyDescent="0.25">
      <c r="A329" s="4">
        <v>42318</v>
      </c>
      <c r="B329" s="3">
        <v>17.850000000000001</v>
      </c>
      <c r="C329">
        <f t="shared" si="21"/>
        <v>5.6179923042232738E-3</v>
      </c>
    </row>
    <row r="330" spans="1:3" x14ac:dyDescent="0.25">
      <c r="A330" s="4">
        <v>42317</v>
      </c>
      <c r="B330" s="3">
        <v>17.68</v>
      </c>
      <c r="C330">
        <f t="shared" si="21"/>
        <v>-9.5694510161507852E-3</v>
      </c>
    </row>
    <row r="331" spans="1:3" x14ac:dyDescent="0.25">
      <c r="A331" s="4">
        <v>42314</v>
      </c>
      <c r="B331" s="3">
        <v>17.950001</v>
      </c>
      <c r="C331">
        <f t="shared" si="21"/>
        <v>1.5156113435095368E-2</v>
      </c>
    </row>
    <row r="332" spans="1:3" x14ac:dyDescent="0.25">
      <c r="A332" s="4">
        <v>42313</v>
      </c>
      <c r="B332" s="3">
        <v>17.309999000000001</v>
      </c>
      <c r="C332">
        <f t="shared" si="21"/>
        <v>-3.6305859226551565E-2</v>
      </c>
    </row>
    <row r="333" spans="1:3" x14ac:dyDescent="0.25">
      <c r="A333" s="4">
        <v>42312</v>
      </c>
      <c r="B333" s="3">
        <v>17.010000000000002</v>
      </c>
      <c r="C333">
        <f t="shared" si="21"/>
        <v>-1.7482905010270649E-2</v>
      </c>
    </row>
    <row r="334" spans="1:3" x14ac:dyDescent="0.25">
      <c r="A334" s="4">
        <v>42311</v>
      </c>
      <c r="B334" s="3">
        <v>17.18</v>
      </c>
      <c r="C334">
        <f t="shared" si="21"/>
        <v>9.9445101483388258E-3</v>
      </c>
    </row>
    <row r="335" spans="1:3" x14ac:dyDescent="0.25">
      <c r="A335" s="4">
        <v>42310</v>
      </c>
      <c r="B335" s="3">
        <v>17.059999000000001</v>
      </c>
      <c r="C335">
        <f t="shared" si="21"/>
        <v>-7.0094331092250281E-3</v>
      </c>
    </row>
    <row r="336" spans="1:3" x14ac:dyDescent="0.25">
      <c r="A336" s="4">
        <v>42307</v>
      </c>
      <c r="B336" s="3">
        <v>16.780000999999999</v>
      </c>
      <c r="C336">
        <f t="shared" si="21"/>
        <v>-1.6548722813070321E-2</v>
      </c>
    </row>
    <row r="337" spans="1:3" x14ac:dyDescent="0.25">
      <c r="A337" s="4">
        <v>42306</v>
      </c>
      <c r="B337" s="3">
        <v>17.09</v>
      </c>
      <c r="C337">
        <f t="shared" si="21"/>
        <v>1.8305736493685533E-2</v>
      </c>
    </row>
    <row r="338" spans="1:3" x14ac:dyDescent="0.25">
      <c r="A338" s="4">
        <v>42305</v>
      </c>
      <c r="B338" s="3">
        <v>17.280000999999999</v>
      </c>
      <c r="C338">
        <f t="shared" si="21"/>
        <v>1.1056324118778625E-2</v>
      </c>
    </row>
    <row r="339" spans="1:3" x14ac:dyDescent="0.25">
      <c r="A339" s="4">
        <v>42304</v>
      </c>
      <c r="B339" s="3">
        <v>16.399999999999999</v>
      </c>
      <c r="C339">
        <f t="shared" si="21"/>
        <v>-5.2268486416125574E-2</v>
      </c>
    </row>
    <row r="340" spans="1:3" x14ac:dyDescent="0.25">
      <c r="A340" s="4">
        <v>42303</v>
      </c>
      <c r="B340" s="3">
        <v>16.510000000000002</v>
      </c>
      <c r="C340">
        <f t="shared" si="21"/>
        <v>6.6849231018840183E-3</v>
      </c>
    </row>
    <row r="341" spans="1:3" x14ac:dyDescent="0.25">
      <c r="A341" s="4">
        <v>42300</v>
      </c>
      <c r="B341" s="3">
        <v>16.52</v>
      </c>
      <c r="C341">
        <f t="shared" si="21"/>
        <v>6.0551016079526195E-4</v>
      </c>
    </row>
    <row r="342" spans="1:3" x14ac:dyDescent="0.25">
      <c r="A342" s="4">
        <v>42299</v>
      </c>
      <c r="B342" s="3">
        <v>16.16</v>
      </c>
      <c r="C342">
        <f t="shared" si="21"/>
        <v>-2.2032714999882692E-2</v>
      </c>
    </row>
    <row r="343" spans="1:3" x14ac:dyDescent="0.25">
      <c r="A343" s="4">
        <v>42298</v>
      </c>
      <c r="B343" s="3">
        <v>15.9</v>
      </c>
      <c r="C343">
        <f t="shared" si="21"/>
        <v>-1.6219943866763495E-2</v>
      </c>
    </row>
    <row r="344" spans="1:3" x14ac:dyDescent="0.25">
      <c r="A344" s="4">
        <v>42297</v>
      </c>
      <c r="B344" s="3">
        <v>16.200001</v>
      </c>
      <c r="C344">
        <f t="shared" si="21"/>
        <v>1.8692194740545794E-2</v>
      </c>
    </row>
    <row r="345" spans="1:3" x14ac:dyDescent="0.25">
      <c r="A345" s="4">
        <v>42296</v>
      </c>
      <c r="B345" s="3">
        <v>16.139999</v>
      </c>
      <c r="C345">
        <f t="shared" si="21"/>
        <v>-3.710703082799395E-3</v>
      </c>
    </row>
    <row r="346" spans="1:3" x14ac:dyDescent="0.25">
      <c r="A346" s="4">
        <v>42293</v>
      </c>
      <c r="B346" s="3">
        <v>16.120000999999998</v>
      </c>
      <c r="C346">
        <f t="shared" si="21"/>
        <v>-1.2398017707124578E-3</v>
      </c>
    </row>
    <row r="347" spans="1:3" x14ac:dyDescent="0.25">
      <c r="A347" s="4">
        <v>42292</v>
      </c>
      <c r="B347" s="3">
        <v>16.190000999999999</v>
      </c>
      <c r="C347">
        <f t="shared" si="21"/>
        <v>4.3330303428446284E-3</v>
      </c>
    </row>
    <row r="348" spans="1:3" x14ac:dyDescent="0.25">
      <c r="A348" s="4">
        <v>42291</v>
      </c>
      <c r="B348" s="3">
        <v>15.64</v>
      </c>
      <c r="C348">
        <f t="shared" si="21"/>
        <v>-3.4562094338899216E-2</v>
      </c>
    </row>
    <row r="349" spans="1:3" x14ac:dyDescent="0.25">
      <c r="A349" s="4">
        <v>42290</v>
      </c>
      <c r="B349" s="3">
        <v>15.52</v>
      </c>
      <c r="C349">
        <f t="shared" si="21"/>
        <v>-7.702220362092351E-3</v>
      </c>
    </row>
    <row r="350" spans="1:3" x14ac:dyDescent="0.25">
      <c r="A350" s="4">
        <v>42289</v>
      </c>
      <c r="B350" s="3">
        <v>15.52</v>
      </c>
      <c r="C350">
        <f t="shared" si="21"/>
        <v>0</v>
      </c>
    </row>
    <row r="351" spans="1:3" x14ac:dyDescent="0.25">
      <c r="A351" s="4">
        <v>42286</v>
      </c>
      <c r="B351" s="3">
        <v>15.58</v>
      </c>
      <c r="C351">
        <f t="shared" si="21"/>
        <v>3.8585256875294997E-3</v>
      </c>
    </row>
    <row r="352" spans="1:3" x14ac:dyDescent="0.25">
      <c r="A352" s="4">
        <v>42285</v>
      </c>
      <c r="B352" s="3">
        <v>15.75</v>
      </c>
      <c r="C352">
        <f t="shared" si="21"/>
        <v>1.0852324829039908E-2</v>
      </c>
    </row>
    <row r="353" spans="1:3" x14ac:dyDescent="0.25">
      <c r="A353" s="4">
        <v>42284</v>
      </c>
      <c r="B353" s="3">
        <v>15.75</v>
      </c>
      <c r="C353">
        <f t="shared" si="21"/>
        <v>0</v>
      </c>
    </row>
    <row r="354" spans="1:3" x14ac:dyDescent="0.25">
      <c r="A354" s="4">
        <v>42283</v>
      </c>
      <c r="B354" s="3">
        <v>15.69</v>
      </c>
      <c r="C354">
        <f t="shared" si="21"/>
        <v>-3.8167985267008537E-3</v>
      </c>
    </row>
    <row r="355" spans="1:3" x14ac:dyDescent="0.25">
      <c r="A355" s="4">
        <v>42282</v>
      </c>
      <c r="B355" s="3">
        <v>15.69</v>
      </c>
      <c r="C355">
        <f t="shared" si="21"/>
        <v>0</v>
      </c>
    </row>
    <row r="356" spans="1:3" x14ac:dyDescent="0.25">
      <c r="A356" s="4">
        <v>42279</v>
      </c>
      <c r="B356" s="3">
        <v>15.38</v>
      </c>
      <c r="C356">
        <f t="shared" si="21"/>
        <v>-1.9955602667443242E-2</v>
      </c>
    </row>
    <row r="357" spans="1:3" x14ac:dyDescent="0.25">
      <c r="A357" s="4">
        <v>42278</v>
      </c>
      <c r="B357" s="3">
        <v>15.55</v>
      </c>
      <c r="C357">
        <f t="shared" si="21"/>
        <v>1.0992674547745314E-2</v>
      </c>
    </row>
    <row r="358" spans="1:3" x14ac:dyDescent="0.25">
      <c r="A358" s="4">
        <v>42277</v>
      </c>
      <c r="B358" s="3">
        <v>15.58</v>
      </c>
      <c r="C358">
        <f t="shared" si="21"/>
        <v>1.927401817359134E-3</v>
      </c>
    </row>
    <row r="359" spans="1:3" x14ac:dyDescent="0.25">
      <c r="A359" s="4">
        <v>42276</v>
      </c>
      <c r="B359" s="3">
        <v>15.35</v>
      </c>
      <c r="C359">
        <f t="shared" si="21"/>
        <v>-1.4872566409396101E-2</v>
      </c>
    </row>
    <row r="360" spans="1:3" x14ac:dyDescent="0.25">
      <c r="A360" s="4">
        <v>42275</v>
      </c>
      <c r="B360" s="3">
        <v>15.47</v>
      </c>
      <c r="C360">
        <f t="shared" si="21"/>
        <v>7.7871905517686848E-3</v>
      </c>
    </row>
    <row r="361" spans="1:3" x14ac:dyDescent="0.25">
      <c r="A361" s="4">
        <v>42272</v>
      </c>
      <c r="B361" s="3">
        <v>15.89</v>
      </c>
      <c r="C361">
        <f t="shared" si="21"/>
        <v>2.6787315963649763E-2</v>
      </c>
    </row>
    <row r="362" spans="1:3" x14ac:dyDescent="0.25">
      <c r="A362" s="4">
        <v>42271</v>
      </c>
      <c r="B362" s="3">
        <v>15.55</v>
      </c>
      <c r="C362">
        <f t="shared" si="21"/>
        <v>-2.162934192338151E-2</v>
      </c>
    </row>
    <row r="363" spans="1:3" x14ac:dyDescent="0.25">
      <c r="A363" s="4">
        <v>42270</v>
      </c>
      <c r="B363" s="3">
        <v>15.72</v>
      </c>
      <c r="C363">
        <f t="shared" si="21"/>
        <v>1.0873148375817369E-2</v>
      </c>
    </row>
    <row r="364" spans="1:3" x14ac:dyDescent="0.25">
      <c r="A364" s="4">
        <v>42269</v>
      </c>
      <c r="B364" s="3">
        <v>15.57</v>
      </c>
      <c r="C364">
        <f t="shared" si="21"/>
        <v>-9.5878011551535133E-3</v>
      </c>
    </row>
    <row r="365" spans="1:3" x14ac:dyDescent="0.25">
      <c r="A365" s="4">
        <v>42268</v>
      </c>
      <c r="B365" s="3">
        <v>15.7</v>
      </c>
      <c r="C365">
        <f t="shared" si="21"/>
        <v>8.3147265083553402E-3</v>
      </c>
    </row>
    <row r="366" spans="1:3" x14ac:dyDescent="0.25">
      <c r="A366" s="4">
        <v>42265</v>
      </c>
      <c r="B366" s="3">
        <v>15.56</v>
      </c>
      <c r="C366">
        <f t="shared" si="21"/>
        <v>-8.9571936040167156E-3</v>
      </c>
    </row>
    <row r="367" spans="1:3" x14ac:dyDescent="0.25">
      <c r="A367" s="4">
        <v>42264</v>
      </c>
      <c r="B367" s="3">
        <v>15.86</v>
      </c>
      <c r="C367">
        <f t="shared" si="21"/>
        <v>1.9096697456456407E-2</v>
      </c>
    </row>
    <row r="368" spans="1:3" x14ac:dyDescent="0.25">
      <c r="A368" s="4">
        <v>42263</v>
      </c>
      <c r="B368" s="3">
        <v>16.329999999999998</v>
      </c>
      <c r="C368">
        <f t="shared" si="21"/>
        <v>2.920369077567166E-2</v>
      </c>
    </row>
    <row r="369" spans="1:3" x14ac:dyDescent="0.25">
      <c r="A369" s="4">
        <v>42262</v>
      </c>
      <c r="B369" s="3">
        <v>16.309999000000001</v>
      </c>
      <c r="C369">
        <f t="shared" si="21"/>
        <v>-1.2255516615314133E-3</v>
      </c>
    </row>
    <row r="370" spans="1:3" x14ac:dyDescent="0.25">
      <c r="A370" s="4">
        <v>42261</v>
      </c>
      <c r="B370" s="3">
        <v>15.96</v>
      </c>
      <c r="C370">
        <f t="shared" si="21"/>
        <v>-2.1692763299179432E-2</v>
      </c>
    </row>
    <row r="371" spans="1:3" x14ac:dyDescent="0.25">
      <c r="A371" s="4">
        <v>42258</v>
      </c>
      <c r="B371" s="3">
        <v>16.040001</v>
      </c>
      <c r="C371">
        <f t="shared" si="21"/>
        <v>5.0000727608433748E-3</v>
      </c>
    </row>
    <row r="372" spans="1:3" x14ac:dyDescent="0.25">
      <c r="A372" s="4">
        <v>42257</v>
      </c>
      <c r="B372" s="3">
        <v>16.040001</v>
      </c>
      <c r="C372">
        <f t="shared" si="21"/>
        <v>0</v>
      </c>
    </row>
    <row r="373" spans="1:3" x14ac:dyDescent="0.25">
      <c r="A373" s="4">
        <v>42256</v>
      </c>
      <c r="B373" s="3">
        <v>15.9</v>
      </c>
      <c r="C373">
        <f t="shared" si="21"/>
        <v>-8.7665555563203237E-3</v>
      </c>
    </row>
    <row r="374" spans="1:3" x14ac:dyDescent="0.25">
      <c r="A374" s="4">
        <v>42255</v>
      </c>
      <c r="B374" s="3">
        <v>16.16</v>
      </c>
      <c r="C374">
        <f t="shared" si="21"/>
        <v>1.6219943866763474E-2</v>
      </c>
    </row>
    <row r="375" spans="1:3" x14ac:dyDescent="0.25">
      <c r="A375" s="4">
        <v>42251</v>
      </c>
      <c r="B375" s="3">
        <v>15.65</v>
      </c>
      <c r="C375">
        <f t="shared" si="21"/>
        <v>-3.2068136106787069E-2</v>
      </c>
    </row>
    <row r="376" spans="1:3" x14ac:dyDescent="0.25">
      <c r="A376" s="4">
        <v>42250</v>
      </c>
      <c r="B376" s="3">
        <v>15.94</v>
      </c>
      <c r="C376">
        <f t="shared" si="21"/>
        <v>1.8360756375906624E-2</v>
      </c>
    </row>
    <row r="377" spans="1:3" x14ac:dyDescent="0.25">
      <c r="A377" s="4">
        <v>42249</v>
      </c>
      <c r="B377" s="3">
        <v>15.85</v>
      </c>
      <c r="C377">
        <f t="shared" si="21"/>
        <v>-5.6621730387793777E-3</v>
      </c>
    </row>
    <row r="378" spans="1:3" x14ac:dyDescent="0.25">
      <c r="A378" s="4">
        <v>42248</v>
      </c>
      <c r="B378" s="3">
        <v>15.58</v>
      </c>
      <c r="C378">
        <f t="shared" si="21"/>
        <v>-1.7181459880687398E-2</v>
      </c>
    </row>
    <row r="379" spans="1:3" x14ac:dyDescent="0.25">
      <c r="A379" s="4">
        <v>42247</v>
      </c>
      <c r="B379" s="3">
        <v>16.34</v>
      </c>
      <c r="C379">
        <f t="shared" si="21"/>
        <v>4.7628048989254664E-2</v>
      </c>
    </row>
    <row r="380" spans="1:3" x14ac:dyDescent="0.25">
      <c r="A380" s="4">
        <v>42244</v>
      </c>
      <c r="B380" s="3">
        <v>16.360001</v>
      </c>
      <c r="C380">
        <f t="shared" si="21"/>
        <v>1.2233028674366851E-3</v>
      </c>
    </row>
    <row r="381" spans="1:3" x14ac:dyDescent="0.25">
      <c r="A381" s="4">
        <v>42243</v>
      </c>
      <c r="B381" s="3">
        <v>16.440000999999999</v>
      </c>
      <c r="C381">
        <f t="shared" si="21"/>
        <v>4.8780581559890257E-3</v>
      </c>
    </row>
    <row r="382" spans="1:3" x14ac:dyDescent="0.25">
      <c r="A382" s="4">
        <v>42242</v>
      </c>
      <c r="B382" s="3">
        <v>16.059999000000001</v>
      </c>
      <c r="C382">
        <f t="shared" si="21"/>
        <v>-2.3385804203169401E-2</v>
      </c>
    </row>
    <row r="383" spans="1:3" x14ac:dyDescent="0.25">
      <c r="A383" s="4">
        <v>42241</v>
      </c>
      <c r="B383" s="3">
        <v>15.26</v>
      </c>
      <c r="C383">
        <f t="shared" si="21"/>
        <v>-5.109662039580222E-2</v>
      </c>
    </row>
    <row r="384" spans="1:3" x14ac:dyDescent="0.25">
      <c r="A384" s="4">
        <v>42240</v>
      </c>
      <c r="B384" s="3">
        <v>15.29</v>
      </c>
      <c r="C384">
        <f t="shared" si="21"/>
        <v>1.9639940846600222E-3</v>
      </c>
    </row>
    <row r="385" spans="1:3" x14ac:dyDescent="0.25">
      <c r="A385" s="4">
        <v>42237</v>
      </c>
      <c r="B385" s="3">
        <v>16.100000000000001</v>
      </c>
      <c r="C385">
        <f t="shared" si="21"/>
        <v>5.1620252049446452E-2</v>
      </c>
    </row>
    <row r="386" spans="1:3" x14ac:dyDescent="0.25">
      <c r="A386" s="4">
        <v>42236</v>
      </c>
      <c r="B386" s="3">
        <v>16.719999000000001</v>
      </c>
      <c r="C386">
        <f t="shared" si="21"/>
        <v>3.7786275857524101E-2</v>
      </c>
    </row>
    <row r="387" spans="1:3" x14ac:dyDescent="0.25">
      <c r="A387" s="4">
        <v>42235</v>
      </c>
      <c r="B387" s="3">
        <v>17.459999</v>
      </c>
      <c r="C387">
        <f t="shared" si="21"/>
        <v>4.3306945289744367E-2</v>
      </c>
    </row>
    <row r="388" spans="1:3" x14ac:dyDescent="0.25">
      <c r="A388" s="4">
        <v>42234</v>
      </c>
      <c r="B388" s="3">
        <v>17.690000999999999</v>
      </c>
      <c r="C388">
        <f t="shared" si="21"/>
        <v>1.3087071563118856E-2</v>
      </c>
    </row>
    <row r="389" spans="1:3" x14ac:dyDescent="0.25">
      <c r="A389" s="4">
        <v>42233</v>
      </c>
      <c r="B389" s="3">
        <v>17.77</v>
      </c>
      <c r="C389">
        <f t="shared" si="21"/>
        <v>4.5120774657552466E-3</v>
      </c>
    </row>
    <row r="390" spans="1:3" x14ac:dyDescent="0.25">
      <c r="A390" s="4">
        <v>42230</v>
      </c>
      <c r="B390" s="3">
        <v>17.700001</v>
      </c>
      <c r="C390">
        <f t="shared" ref="C390:C453" si="22">LN(B390/B389)</f>
        <v>-3.9469460896029403E-3</v>
      </c>
    </row>
    <row r="391" spans="1:3" x14ac:dyDescent="0.25">
      <c r="A391" s="4">
        <v>42229</v>
      </c>
      <c r="B391" s="3">
        <v>17.620000999999998</v>
      </c>
      <c r="C391">
        <f t="shared" si="22"/>
        <v>-4.5300188152363335E-3</v>
      </c>
    </row>
    <row r="392" spans="1:3" x14ac:dyDescent="0.25">
      <c r="A392" s="4">
        <v>42228</v>
      </c>
      <c r="B392" s="3">
        <v>17.52</v>
      </c>
      <c r="C392">
        <f t="shared" si="22"/>
        <v>-5.691591753475435E-3</v>
      </c>
    </row>
    <row r="393" spans="1:3" x14ac:dyDescent="0.25">
      <c r="A393" s="4">
        <v>42227</v>
      </c>
      <c r="B393" s="3">
        <v>17.790001</v>
      </c>
      <c r="C393">
        <f t="shared" si="22"/>
        <v>1.529347238085146E-2</v>
      </c>
    </row>
    <row r="394" spans="1:3" x14ac:dyDescent="0.25">
      <c r="A394" s="4">
        <v>42226</v>
      </c>
      <c r="B394" s="3">
        <v>18.040001</v>
      </c>
      <c r="C394">
        <f t="shared" si="22"/>
        <v>1.3955012177751696E-2</v>
      </c>
    </row>
    <row r="395" spans="1:3" x14ac:dyDescent="0.25">
      <c r="A395" s="4">
        <v>42223</v>
      </c>
      <c r="B395" s="3">
        <v>17.75</v>
      </c>
      <c r="C395">
        <f t="shared" si="22"/>
        <v>-1.6206054145423827E-2</v>
      </c>
    </row>
    <row r="396" spans="1:3" x14ac:dyDescent="0.25">
      <c r="A396" s="4">
        <v>42222</v>
      </c>
      <c r="B396" s="3">
        <v>17.809999000000001</v>
      </c>
      <c r="C396">
        <f t="shared" si="22"/>
        <v>3.3745252319125844E-3</v>
      </c>
    </row>
    <row r="397" spans="1:3" x14ac:dyDescent="0.25">
      <c r="A397" s="4">
        <v>42221</v>
      </c>
      <c r="B397" s="3">
        <v>17.870000999999998</v>
      </c>
      <c r="C397">
        <f t="shared" si="22"/>
        <v>3.363343977706542E-3</v>
      </c>
    </row>
    <row r="398" spans="1:3" x14ac:dyDescent="0.25">
      <c r="A398" s="4">
        <v>42220</v>
      </c>
      <c r="B398" s="3">
        <v>17.799999</v>
      </c>
      <c r="C398">
        <f t="shared" si="22"/>
        <v>-3.9249840127814281E-3</v>
      </c>
    </row>
    <row r="399" spans="1:3" x14ac:dyDescent="0.25">
      <c r="A399" s="4">
        <v>42219</v>
      </c>
      <c r="B399" s="3">
        <v>17.77</v>
      </c>
      <c r="C399">
        <f t="shared" si="22"/>
        <v>-1.6867589517026136E-3</v>
      </c>
    </row>
    <row r="400" spans="1:3" x14ac:dyDescent="0.25">
      <c r="A400" s="4">
        <v>42216</v>
      </c>
      <c r="B400" s="3">
        <v>17.879999000000002</v>
      </c>
      <c r="C400">
        <f t="shared" si="22"/>
        <v>6.1710716503949568E-3</v>
      </c>
    </row>
    <row r="401" spans="1:3" x14ac:dyDescent="0.25">
      <c r="A401" s="4">
        <v>42215</v>
      </c>
      <c r="B401" s="3">
        <v>18.129999000000002</v>
      </c>
      <c r="C401">
        <f t="shared" si="22"/>
        <v>1.3885255792605314E-2</v>
      </c>
    </row>
    <row r="402" spans="1:3" x14ac:dyDescent="0.25">
      <c r="A402" s="4">
        <v>42214</v>
      </c>
      <c r="B402" s="3">
        <v>18.16</v>
      </c>
      <c r="C402">
        <f t="shared" si="22"/>
        <v>1.6534035635870849E-3</v>
      </c>
    </row>
    <row r="403" spans="1:3" x14ac:dyDescent="0.25">
      <c r="A403" s="4">
        <v>42213</v>
      </c>
      <c r="B403" s="3">
        <v>17.879999000000002</v>
      </c>
      <c r="C403">
        <f t="shared" si="22"/>
        <v>-1.5538659356192315E-2</v>
      </c>
    </row>
    <row r="404" spans="1:3" x14ac:dyDescent="0.25">
      <c r="A404" s="4">
        <v>42212</v>
      </c>
      <c r="B404" s="3">
        <v>17.670000000000002</v>
      </c>
      <c r="C404">
        <f t="shared" si="22"/>
        <v>-1.1814427485349872E-2</v>
      </c>
    </row>
    <row r="405" spans="1:3" x14ac:dyDescent="0.25">
      <c r="A405" s="4">
        <v>42209</v>
      </c>
      <c r="B405" s="3">
        <v>17.899999999999999</v>
      </c>
      <c r="C405">
        <f t="shared" si="22"/>
        <v>1.2932426515104076E-2</v>
      </c>
    </row>
    <row r="406" spans="1:3" x14ac:dyDescent="0.25">
      <c r="A406" s="4">
        <v>42208</v>
      </c>
      <c r="B406" s="3">
        <v>18.18</v>
      </c>
      <c r="C406">
        <f t="shared" si="22"/>
        <v>1.5521375902623556E-2</v>
      </c>
    </row>
    <row r="407" spans="1:3" x14ac:dyDescent="0.25">
      <c r="A407" s="4">
        <v>42207</v>
      </c>
      <c r="B407" s="3">
        <v>18.450001</v>
      </c>
      <c r="C407">
        <f t="shared" si="22"/>
        <v>1.4742335937744015E-2</v>
      </c>
    </row>
    <row r="408" spans="1:3" x14ac:dyDescent="0.25">
      <c r="A408" s="4">
        <v>42206</v>
      </c>
      <c r="B408" s="3">
        <v>18.079999999999998</v>
      </c>
      <c r="C408">
        <f t="shared" si="22"/>
        <v>-2.0258069723046383E-2</v>
      </c>
    </row>
    <row r="409" spans="1:3" x14ac:dyDescent="0.25">
      <c r="A409" s="4">
        <v>42205</v>
      </c>
      <c r="B409" s="3">
        <v>18.120000999999998</v>
      </c>
      <c r="C409">
        <f t="shared" si="22"/>
        <v>2.2100008384393945E-3</v>
      </c>
    </row>
    <row r="410" spans="1:3" x14ac:dyDescent="0.25">
      <c r="A410" s="4">
        <v>42202</v>
      </c>
      <c r="B410" s="3">
        <v>18.100000000000001</v>
      </c>
      <c r="C410">
        <f t="shared" si="22"/>
        <v>-1.1044175306895397E-3</v>
      </c>
    </row>
    <row r="411" spans="1:3" x14ac:dyDescent="0.25">
      <c r="A411" s="4">
        <v>42201</v>
      </c>
      <c r="B411" s="3">
        <v>17.950001</v>
      </c>
      <c r="C411">
        <f t="shared" si="22"/>
        <v>-8.3217676271873566E-3</v>
      </c>
    </row>
    <row r="412" spans="1:3" x14ac:dyDescent="0.25">
      <c r="A412" s="4">
        <v>42200</v>
      </c>
      <c r="B412" s="3">
        <v>17.68</v>
      </c>
      <c r="C412">
        <f t="shared" si="22"/>
        <v>-1.5156113435095393E-2</v>
      </c>
    </row>
    <row r="413" spans="1:3" x14ac:dyDescent="0.25">
      <c r="A413" s="4">
        <v>42199</v>
      </c>
      <c r="B413" s="3">
        <v>17.129999000000002</v>
      </c>
      <c r="C413">
        <f t="shared" si="22"/>
        <v>-3.160280325058655E-2</v>
      </c>
    </row>
    <row r="414" spans="1:3" x14ac:dyDescent="0.25">
      <c r="A414" s="4">
        <v>42198</v>
      </c>
      <c r="B414" s="3">
        <v>17.02</v>
      </c>
      <c r="C414">
        <f t="shared" si="22"/>
        <v>-6.4421308136827556E-3</v>
      </c>
    </row>
    <row r="415" spans="1:3" x14ac:dyDescent="0.25">
      <c r="A415" s="4">
        <v>42195</v>
      </c>
      <c r="B415" s="3">
        <v>16.700001</v>
      </c>
      <c r="C415">
        <f t="shared" si="22"/>
        <v>-1.8980343842280877E-2</v>
      </c>
    </row>
    <row r="416" spans="1:3" x14ac:dyDescent="0.25">
      <c r="A416" s="4">
        <v>42194</v>
      </c>
      <c r="B416" s="3">
        <v>16.48</v>
      </c>
      <c r="C416">
        <f t="shared" si="22"/>
        <v>-1.3261254821621465E-2</v>
      </c>
    </row>
    <row r="417" spans="1:3" x14ac:dyDescent="0.25">
      <c r="A417" s="4">
        <v>42193</v>
      </c>
      <c r="B417" s="3">
        <v>16.25</v>
      </c>
      <c r="C417">
        <f t="shared" si="22"/>
        <v>-1.4054615705579171E-2</v>
      </c>
    </row>
    <row r="418" spans="1:3" x14ac:dyDescent="0.25">
      <c r="A418" s="4">
        <v>42192</v>
      </c>
      <c r="B418" s="3">
        <v>16.690000999999999</v>
      </c>
      <c r="C418">
        <f t="shared" si="22"/>
        <v>2.6716888814112681E-2</v>
      </c>
    </row>
    <row r="419" spans="1:3" x14ac:dyDescent="0.25">
      <c r="A419" s="4">
        <v>42191</v>
      </c>
      <c r="B419" s="3">
        <v>16.940000999999999</v>
      </c>
      <c r="C419">
        <f t="shared" si="22"/>
        <v>1.4867950665924555E-2</v>
      </c>
    </row>
    <row r="420" spans="1:3" x14ac:dyDescent="0.25">
      <c r="A420" s="4">
        <v>42187</v>
      </c>
      <c r="B420" s="3">
        <v>17.030000999999999</v>
      </c>
      <c r="C420">
        <f t="shared" si="22"/>
        <v>5.2988051387173277E-3</v>
      </c>
    </row>
    <row r="421" spans="1:3" x14ac:dyDescent="0.25">
      <c r="A421" s="4">
        <v>42186</v>
      </c>
      <c r="B421" s="3">
        <v>17.219999000000001</v>
      </c>
      <c r="C421">
        <f t="shared" si="22"/>
        <v>1.1094887533072771E-2</v>
      </c>
    </row>
    <row r="422" spans="1:3" x14ac:dyDescent="0.25">
      <c r="A422" s="4">
        <v>42185</v>
      </c>
      <c r="B422" s="3">
        <v>17.02</v>
      </c>
      <c r="C422">
        <f t="shared" si="22"/>
        <v>-1.1682317782345845E-2</v>
      </c>
    </row>
    <row r="423" spans="1:3" x14ac:dyDescent="0.25">
      <c r="A423" s="4">
        <v>42184</v>
      </c>
      <c r="B423" s="3">
        <v>16.889999</v>
      </c>
      <c r="C423">
        <f t="shared" si="22"/>
        <v>-7.6674515321522281E-3</v>
      </c>
    </row>
    <row r="424" spans="1:3" x14ac:dyDescent="0.25">
      <c r="A424" s="4">
        <v>42181</v>
      </c>
      <c r="B424" s="3">
        <v>17.41</v>
      </c>
      <c r="C424">
        <f t="shared" si="22"/>
        <v>3.0323082167021856E-2</v>
      </c>
    </row>
    <row r="425" spans="1:3" x14ac:dyDescent="0.25">
      <c r="A425" s="4">
        <v>42180</v>
      </c>
      <c r="B425" s="3">
        <v>17.370000999999998</v>
      </c>
      <c r="C425">
        <f t="shared" si="22"/>
        <v>-2.3001159565619162E-3</v>
      </c>
    </row>
    <row r="426" spans="1:3" x14ac:dyDescent="0.25">
      <c r="A426" s="4">
        <v>42179</v>
      </c>
      <c r="B426" s="3">
        <v>17.489999999999998</v>
      </c>
      <c r="C426">
        <f t="shared" si="22"/>
        <v>6.8846512069749531E-3</v>
      </c>
    </row>
    <row r="427" spans="1:3" x14ac:dyDescent="0.25">
      <c r="A427" s="4">
        <v>42178</v>
      </c>
      <c r="B427" s="3">
        <v>17.670000000000002</v>
      </c>
      <c r="C427">
        <f t="shared" si="22"/>
        <v>1.0238997301094505E-2</v>
      </c>
    </row>
    <row r="428" spans="1:3" x14ac:dyDescent="0.25">
      <c r="A428" s="4">
        <v>42177</v>
      </c>
      <c r="B428" s="3">
        <v>17.469999000000001</v>
      </c>
      <c r="C428">
        <f t="shared" si="22"/>
        <v>-1.1383219426626023E-2</v>
      </c>
    </row>
    <row r="429" spans="1:3" x14ac:dyDescent="0.25">
      <c r="A429" s="4">
        <v>42174</v>
      </c>
      <c r="B429" s="3">
        <v>17.170000000000002</v>
      </c>
      <c r="C429">
        <f t="shared" si="22"/>
        <v>-1.7321391995594782E-2</v>
      </c>
    </row>
    <row r="430" spans="1:3" x14ac:dyDescent="0.25">
      <c r="A430" s="4">
        <v>42173</v>
      </c>
      <c r="B430" s="3">
        <v>17.379999000000002</v>
      </c>
      <c r="C430">
        <f t="shared" si="22"/>
        <v>1.2156387390460877E-2</v>
      </c>
    </row>
    <row r="431" spans="1:3" x14ac:dyDescent="0.25">
      <c r="A431" s="4">
        <v>42172</v>
      </c>
      <c r="B431" s="3">
        <v>17.370000999999998</v>
      </c>
      <c r="C431">
        <f t="shared" si="22"/>
        <v>-5.754244763094017E-4</v>
      </c>
    </row>
    <row r="432" spans="1:3" x14ac:dyDescent="0.25">
      <c r="A432" s="4">
        <v>42171</v>
      </c>
      <c r="B432" s="3">
        <v>17.549999</v>
      </c>
      <c r="C432">
        <f t="shared" si="22"/>
        <v>1.0309255108280492E-2</v>
      </c>
    </row>
    <row r="433" spans="1:3" x14ac:dyDescent="0.25">
      <c r="A433" s="4">
        <v>42170</v>
      </c>
      <c r="B433" s="3">
        <v>17.469999000000001</v>
      </c>
      <c r="C433">
        <f t="shared" si="22"/>
        <v>-4.5688260268371E-3</v>
      </c>
    </row>
    <row r="434" spans="1:3" x14ac:dyDescent="0.25">
      <c r="A434" s="4">
        <v>42167</v>
      </c>
      <c r="B434" s="3">
        <v>17.489999999999998</v>
      </c>
      <c r="C434">
        <f t="shared" si="22"/>
        <v>1.1442221255315171E-3</v>
      </c>
    </row>
    <row r="435" spans="1:3" x14ac:dyDescent="0.25">
      <c r="A435" s="4">
        <v>42166</v>
      </c>
      <c r="B435" s="3">
        <v>17.489999999999998</v>
      </c>
      <c r="C435">
        <f t="shared" si="22"/>
        <v>0</v>
      </c>
    </row>
    <row r="436" spans="1:3" x14ac:dyDescent="0.25">
      <c r="A436" s="4">
        <v>42165</v>
      </c>
      <c r="B436" s="3">
        <v>17.59</v>
      </c>
      <c r="C436">
        <f t="shared" si="22"/>
        <v>5.7012697189561994E-3</v>
      </c>
    </row>
    <row r="437" spans="1:3" x14ac:dyDescent="0.25">
      <c r="A437" s="4">
        <v>42164</v>
      </c>
      <c r="B437" s="3">
        <v>17.309999000000001</v>
      </c>
      <c r="C437">
        <f t="shared" si="22"/>
        <v>-1.6046247331425564E-2</v>
      </c>
    </row>
    <row r="438" spans="1:3" x14ac:dyDescent="0.25">
      <c r="A438" s="4">
        <v>42163</v>
      </c>
      <c r="B438" s="3">
        <v>17.079999999999998</v>
      </c>
      <c r="C438">
        <f t="shared" si="22"/>
        <v>-1.3376123057617467E-2</v>
      </c>
    </row>
    <row r="439" spans="1:3" x14ac:dyDescent="0.25">
      <c r="A439" s="4">
        <v>42160</v>
      </c>
      <c r="B439" s="3">
        <v>17.190000999999999</v>
      </c>
      <c r="C439">
        <f t="shared" si="22"/>
        <v>6.4196892076891282E-3</v>
      </c>
    </row>
    <row r="440" spans="1:3" x14ac:dyDescent="0.25">
      <c r="A440" s="4">
        <v>42159</v>
      </c>
      <c r="B440" s="3">
        <v>16.780000999999999</v>
      </c>
      <c r="C440">
        <f t="shared" si="22"/>
        <v>-2.4140116934298749E-2</v>
      </c>
    </row>
    <row r="441" spans="1:3" x14ac:dyDescent="0.25">
      <c r="A441" s="4">
        <v>42158</v>
      </c>
      <c r="B441" s="3">
        <v>16.93</v>
      </c>
      <c r="C441">
        <f t="shared" si="22"/>
        <v>8.8994355112300885E-3</v>
      </c>
    </row>
    <row r="442" spans="1:3" x14ac:dyDescent="0.25">
      <c r="A442" s="4">
        <v>42157</v>
      </c>
      <c r="B442" s="3">
        <v>16.719999000000001</v>
      </c>
      <c r="C442">
        <f t="shared" si="22"/>
        <v>-1.2481648297102464E-2</v>
      </c>
    </row>
    <row r="443" spans="1:3" x14ac:dyDescent="0.25">
      <c r="A443" s="4">
        <v>42156</v>
      </c>
      <c r="B443" s="3">
        <v>16.549999</v>
      </c>
      <c r="C443">
        <f t="shared" si="22"/>
        <v>-1.0219506447832103E-2</v>
      </c>
    </row>
    <row r="444" spans="1:3" x14ac:dyDescent="0.25">
      <c r="A444" s="4">
        <v>42153</v>
      </c>
      <c r="B444" s="3">
        <v>16.5</v>
      </c>
      <c r="C444">
        <f t="shared" si="22"/>
        <v>-3.0256604935744074E-3</v>
      </c>
    </row>
    <row r="445" spans="1:3" x14ac:dyDescent="0.25">
      <c r="A445" s="4">
        <v>42152</v>
      </c>
      <c r="B445" s="3">
        <v>16.670000000000002</v>
      </c>
      <c r="C445">
        <f t="shared" si="22"/>
        <v>1.0250315856167884E-2</v>
      </c>
    </row>
    <row r="446" spans="1:3" x14ac:dyDescent="0.25">
      <c r="A446" s="4">
        <v>42151</v>
      </c>
      <c r="B446" s="3">
        <v>16.739999999999998</v>
      </c>
      <c r="C446">
        <f t="shared" si="22"/>
        <v>4.1903682986265088E-3</v>
      </c>
    </row>
    <row r="447" spans="1:3" x14ac:dyDescent="0.25">
      <c r="A447" s="4">
        <v>42150</v>
      </c>
      <c r="B447" s="3">
        <v>16.5</v>
      </c>
      <c r="C447">
        <f t="shared" si="22"/>
        <v>-1.4440684154794247E-2</v>
      </c>
    </row>
    <row r="448" spans="1:3" x14ac:dyDescent="0.25">
      <c r="A448" s="4">
        <v>42146</v>
      </c>
      <c r="B448" s="3">
        <v>16.75</v>
      </c>
      <c r="C448">
        <f t="shared" si="22"/>
        <v>1.5037877364540502E-2</v>
      </c>
    </row>
    <row r="449" spans="1:3" x14ac:dyDescent="0.25">
      <c r="A449" s="4">
        <v>42145</v>
      </c>
      <c r="B449" s="3">
        <v>16.73</v>
      </c>
      <c r="C449">
        <f t="shared" si="22"/>
        <v>-1.1947432723428046E-3</v>
      </c>
    </row>
    <row r="450" spans="1:3" x14ac:dyDescent="0.25">
      <c r="A450" s="4">
        <v>42144</v>
      </c>
      <c r="B450" s="3">
        <v>16.739999999999998</v>
      </c>
      <c r="C450">
        <f t="shared" si="22"/>
        <v>5.9755006259655595E-4</v>
      </c>
    </row>
    <row r="451" spans="1:3" x14ac:dyDescent="0.25">
      <c r="A451" s="4">
        <v>42143</v>
      </c>
      <c r="B451" s="3">
        <v>16.77</v>
      </c>
      <c r="C451">
        <f t="shared" si="22"/>
        <v>1.7905107737882938E-3</v>
      </c>
    </row>
    <row r="452" spans="1:3" x14ac:dyDescent="0.25">
      <c r="A452" s="4">
        <v>42142</v>
      </c>
      <c r="B452" s="3">
        <v>16.510000000000002</v>
      </c>
      <c r="C452">
        <f t="shared" si="22"/>
        <v>-1.5625317903080756E-2</v>
      </c>
    </row>
    <row r="453" spans="1:3" x14ac:dyDescent="0.25">
      <c r="A453" s="4">
        <v>42139</v>
      </c>
      <c r="B453" s="3">
        <v>16.350000000000001</v>
      </c>
      <c r="C453">
        <f t="shared" si="22"/>
        <v>-9.7383605887742513E-3</v>
      </c>
    </row>
    <row r="454" spans="1:3" x14ac:dyDescent="0.25">
      <c r="A454" s="4">
        <v>42138</v>
      </c>
      <c r="B454" s="3">
        <v>16.52</v>
      </c>
      <c r="C454">
        <f t="shared" ref="C454:C517" si="23">LN(B454/B453)</f>
        <v>1.0343870749569517E-2</v>
      </c>
    </row>
    <row r="455" spans="1:3" x14ac:dyDescent="0.25">
      <c r="A455" s="4">
        <v>42137</v>
      </c>
      <c r="B455" s="3">
        <v>16.469999000000001</v>
      </c>
      <c r="C455">
        <f t="shared" si="23"/>
        <v>-3.0312846197389073E-3</v>
      </c>
    </row>
    <row r="456" spans="1:3" x14ac:dyDescent="0.25">
      <c r="A456" s="4">
        <v>42136</v>
      </c>
      <c r="B456" s="3">
        <v>16.43</v>
      </c>
      <c r="C456">
        <f t="shared" si="23"/>
        <v>-2.431551423916393E-3</v>
      </c>
    </row>
    <row r="457" spans="1:3" x14ac:dyDescent="0.25">
      <c r="A457" s="4">
        <v>42135</v>
      </c>
      <c r="B457" s="3">
        <v>16.489999999999998</v>
      </c>
      <c r="C457">
        <f t="shared" si="23"/>
        <v>3.6452045223308357E-3</v>
      </c>
    </row>
    <row r="458" spans="1:3" x14ac:dyDescent="0.25">
      <c r="A458" s="4">
        <v>42132</v>
      </c>
      <c r="B458" s="3">
        <v>16.450001</v>
      </c>
      <c r="C458">
        <f t="shared" si="23"/>
        <v>-2.4285985698548635E-3</v>
      </c>
    </row>
    <row r="459" spans="1:3" x14ac:dyDescent="0.25">
      <c r="A459" s="4">
        <v>42131</v>
      </c>
      <c r="B459" s="3">
        <v>16.239999999999998</v>
      </c>
      <c r="C459">
        <f t="shared" si="23"/>
        <v>-1.2848203268120795E-2</v>
      </c>
    </row>
    <row r="460" spans="1:3" x14ac:dyDescent="0.25">
      <c r="A460" s="4">
        <v>42130</v>
      </c>
      <c r="B460" s="3">
        <v>16.290001</v>
      </c>
      <c r="C460">
        <f t="shared" si="23"/>
        <v>3.0741492677742572E-3</v>
      </c>
    </row>
    <row r="461" spans="1:3" x14ac:dyDescent="0.25">
      <c r="A461" s="4">
        <v>42129</v>
      </c>
      <c r="B461" s="3">
        <v>16.350000000000001</v>
      </c>
      <c r="C461">
        <f t="shared" si="23"/>
        <v>3.676413341956382E-3</v>
      </c>
    </row>
    <row r="462" spans="1:3" x14ac:dyDescent="0.25">
      <c r="A462" s="4">
        <v>42128</v>
      </c>
      <c r="B462" s="3">
        <v>16.440000999999999</v>
      </c>
      <c r="C462">
        <f t="shared" si="23"/>
        <v>5.4895531120201643E-3</v>
      </c>
    </row>
    <row r="463" spans="1:3" x14ac:dyDescent="0.25">
      <c r="A463" s="4">
        <v>42125</v>
      </c>
      <c r="B463" s="3">
        <v>16.110001</v>
      </c>
      <c r="C463">
        <f t="shared" si="23"/>
        <v>-2.0277191193155006E-2</v>
      </c>
    </row>
    <row r="464" spans="1:3" x14ac:dyDescent="0.25">
      <c r="A464" s="4">
        <v>42124</v>
      </c>
      <c r="B464" s="3">
        <v>15.93</v>
      </c>
      <c r="C464">
        <f t="shared" si="23"/>
        <v>-1.1236135340170442E-2</v>
      </c>
    </row>
    <row r="465" spans="1:3" x14ac:dyDescent="0.25">
      <c r="A465" s="4">
        <v>42123</v>
      </c>
      <c r="B465" s="3">
        <v>15.98</v>
      </c>
      <c r="C465">
        <f t="shared" si="23"/>
        <v>3.1338164161714842E-3</v>
      </c>
    </row>
    <row r="466" spans="1:3" x14ac:dyDescent="0.25">
      <c r="A466" s="4">
        <v>42122</v>
      </c>
      <c r="B466" s="3">
        <v>15.65</v>
      </c>
      <c r="C466">
        <f t="shared" si="23"/>
        <v>-2.0867023351966392E-2</v>
      </c>
    </row>
    <row r="467" spans="1:3" x14ac:dyDescent="0.25">
      <c r="A467" s="4">
        <v>42121</v>
      </c>
      <c r="B467" s="3">
        <v>15.56</v>
      </c>
      <c r="C467">
        <f t="shared" si="23"/>
        <v>-5.7673982359167097E-3</v>
      </c>
    </row>
    <row r="468" spans="1:3" x14ac:dyDescent="0.25">
      <c r="A468" s="4">
        <v>42118</v>
      </c>
      <c r="B468" s="3">
        <v>15.64</v>
      </c>
      <c r="C468">
        <f t="shared" si="23"/>
        <v>5.1282163669195292E-3</v>
      </c>
    </row>
    <row r="469" spans="1:3" x14ac:dyDescent="0.25">
      <c r="A469" s="4">
        <v>42117</v>
      </c>
      <c r="B469" s="3">
        <v>15.69</v>
      </c>
      <c r="C469">
        <f t="shared" si="23"/>
        <v>3.1918316277762294E-3</v>
      </c>
    </row>
    <row r="470" spans="1:3" x14ac:dyDescent="0.25">
      <c r="A470" s="4">
        <v>42116</v>
      </c>
      <c r="B470" s="3">
        <v>15.74</v>
      </c>
      <c r="C470">
        <f t="shared" si="23"/>
        <v>3.1816762443159161E-3</v>
      </c>
    </row>
    <row r="471" spans="1:3" x14ac:dyDescent="0.25">
      <c r="A471" s="4">
        <v>42115</v>
      </c>
      <c r="B471" s="3">
        <v>15.5</v>
      </c>
      <c r="C471">
        <f t="shared" si="23"/>
        <v>-1.5365219064056253E-2</v>
      </c>
    </row>
    <row r="472" spans="1:3" x14ac:dyDescent="0.25">
      <c r="A472" s="4">
        <v>42114</v>
      </c>
      <c r="B472" s="3">
        <v>15.57</v>
      </c>
      <c r="C472">
        <f t="shared" si="23"/>
        <v>4.5059619207061365E-3</v>
      </c>
    </row>
    <row r="473" spans="1:3" x14ac:dyDescent="0.25">
      <c r="A473" s="4">
        <v>42111</v>
      </c>
      <c r="B473" s="3">
        <v>15.56</v>
      </c>
      <c r="C473">
        <f t="shared" si="23"/>
        <v>-6.4246709566138688E-4</v>
      </c>
    </row>
    <row r="474" spans="1:3" x14ac:dyDescent="0.25">
      <c r="A474" s="4">
        <v>42110</v>
      </c>
      <c r="B474" s="3">
        <v>15.79</v>
      </c>
      <c r="C474">
        <f t="shared" si="23"/>
        <v>1.4673309517305022E-2</v>
      </c>
    </row>
    <row r="475" spans="1:3" x14ac:dyDescent="0.25">
      <c r="A475" s="4">
        <v>42109</v>
      </c>
      <c r="B475" s="3">
        <v>15.64</v>
      </c>
      <c r="C475">
        <f t="shared" si="23"/>
        <v>-9.5450931503855609E-3</v>
      </c>
    </row>
    <row r="476" spans="1:3" x14ac:dyDescent="0.25">
      <c r="A476" s="4">
        <v>42108</v>
      </c>
      <c r="B476" s="3">
        <v>15.82</v>
      </c>
      <c r="C476">
        <f t="shared" si="23"/>
        <v>1.1443227222342714E-2</v>
      </c>
    </row>
    <row r="477" spans="1:3" x14ac:dyDescent="0.25">
      <c r="A477" s="4">
        <v>42107</v>
      </c>
      <c r="B477" s="3">
        <v>15.8</v>
      </c>
      <c r="C477">
        <f t="shared" si="23"/>
        <v>-1.2650223065866339E-3</v>
      </c>
    </row>
    <row r="478" spans="1:3" x14ac:dyDescent="0.25">
      <c r="A478" s="4">
        <v>42104</v>
      </c>
      <c r="B478" s="3">
        <v>15.72</v>
      </c>
      <c r="C478">
        <f t="shared" si="23"/>
        <v>-5.0761530318606607E-3</v>
      </c>
    </row>
    <row r="479" spans="1:3" x14ac:dyDescent="0.25">
      <c r="A479" s="4">
        <v>42103</v>
      </c>
      <c r="B479" s="3">
        <v>15.71</v>
      </c>
      <c r="C479">
        <f t="shared" si="23"/>
        <v>-6.3633473353068911E-4</v>
      </c>
    </row>
    <row r="480" spans="1:3" x14ac:dyDescent="0.25">
      <c r="A480" s="4">
        <v>42102</v>
      </c>
      <c r="B480" s="3">
        <v>15.61</v>
      </c>
      <c r="C480">
        <f t="shared" si="23"/>
        <v>-6.3857177401892267E-3</v>
      </c>
    </row>
    <row r="481" spans="1:3" x14ac:dyDescent="0.25">
      <c r="A481" s="4">
        <v>42101</v>
      </c>
      <c r="B481" s="3">
        <v>15.46</v>
      </c>
      <c r="C481">
        <f t="shared" si="23"/>
        <v>-9.6556913680647411E-3</v>
      </c>
    </row>
    <row r="482" spans="1:3" x14ac:dyDescent="0.25">
      <c r="A482" s="4">
        <v>42100</v>
      </c>
      <c r="B482" s="3">
        <v>15.51</v>
      </c>
      <c r="C482">
        <f t="shared" si="23"/>
        <v>3.2289340291713729E-3</v>
      </c>
    </row>
    <row r="483" spans="1:3" x14ac:dyDescent="0.25">
      <c r="A483" s="4">
        <v>42096</v>
      </c>
      <c r="B483" s="3">
        <v>15.54</v>
      </c>
      <c r="C483">
        <f t="shared" si="23"/>
        <v>1.9323677510538603E-3</v>
      </c>
    </row>
    <row r="484" spans="1:3" x14ac:dyDescent="0.25">
      <c r="A484" s="4">
        <v>42095</v>
      </c>
      <c r="B484" s="3">
        <v>15.41</v>
      </c>
      <c r="C484">
        <f t="shared" si="23"/>
        <v>-8.4006956074769452E-3</v>
      </c>
    </row>
    <row r="485" spans="1:3" x14ac:dyDescent="0.25">
      <c r="A485" s="4">
        <v>42094</v>
      </c>
      <c r="B485" s="3">
        <v>15.39</v>
      </c>
      <c r="C485">
        <f t="shared" si="23"/>
        <v>-1.298701481236461E-3</v>
      </c>
    </row>
    <row r="486" spans="1:3" x14ac:dyDescent="0.25">
      <c r="A486" s="4">
        <v>42093</v>
      </c>
      <c r="B486" s="3">
        <v>15.52</v>
      </c>
      <c r="C486">
        <f t="shared" si="23"/>
        <v>8.4115669042847795E-3</v>
      </c>
    </row>
    <row r="487" spans="1:3" x14ac:dyDescent="0.25">
      <c r="A487" s="4">
        <v>42090</v>
      </c>
      <c r="B487" s="3">
        <v>15.31</v>
      </c>
      <c r="C487">
        <f t="shared" si="23"/>
        <v>-1.3623305085480257E-2</v>
      </c>
    </row>
    <row r="488" spans="1:3" x14ac:dyDescent="0.25">
      <c r="A488" s="4">
        <v>42089</v>
      </c>
      <c r="B488" s="3">
        <v>15.42</v>
      </c>
      <c r="C488">
        <f t="shared" si="23"/>
        <v>7.159158465591074E-3</v>
      </c>
    </row>
    <row r="489" spans="1:3" x14ac:dyDescent="0.25">
      <c r="A489" s="4">
        <v>42088</v>
      </c>
      <c r="B489" s="3">
        <v>15.41</v>
      </c>
      <c r="C489">
        <f t="shared" si="23"/>
        <v>-6.4871880315904638E-4</v>
      </c>
    </row>
    <row r="490" spans="1:3" x14ac:dyDescent="0.25">
      <c r="A490" s="4">
        <v>42087</v>
      </c>
      <c r="B490" s="3">
        <v>15.61</v>
      </c>
      <c r="C490">
        <f t="shared" si="23"/>
        <v>1.289508519531634E-2</v>
      </c>
    </row>
    <row r="491" spans="1:3" x14ac:dyDescent="0.25">
      <c r="A491" s="4">
        <v>42086</v>
      </c>
      <c r="B491" s="3">
        <v>15.72</v>
      </c>
      <c r="C491">
        <f t="shared" si="23"/>
        <v>7.0220524737199365E-3</v>
      </c>
    </row>
    <row r="492" spans="1:3" x14ac:dyDescent="0.25">
      <c r="A492" s="4">
        <v>42083</v>
      </c>
      <c r="B492" s="3">
        <v>15.84</v>
      </c>
      <c r="C492">
        <f t="shared" si="23"/>
        <v>7.6045993852192125E-3</v>
      </c>
    </row>
    <row r="493" spans="1:3" x14ac:dyDescent="0.25">
      <c r="A493" s="4">
        <v>42082</v>
      </c>
      <c r="B493" s="3">
        <v>15.61</v>
      </c>
      <c r="C493">
        <f t="shared" si="23"/>
        <v>-1.4626651858939181E-2</v>
      </c>
    </row>
    <row r="494" spans="1:3" x14ac:dyDescent="0.25">
      <c r="A494" s="4">
        <v>42081</v>
      </c>
      <c r="B494" s="3">
        <v>15.98</v>
      </c>
      <c r="C494">
        <f t="shared" si="23"/>
        <v>2.3426205810788043E-2</v>
      </c>
    </row>
    <row r="495" spans="1:3" x14ac:dyDescent="0.25">
      <c r="A495" s="4">
        <v>42080</v>
      </c>
      <c r="B495" s="3">
        <v>16.09</v>
      </c>
      <c r="C495">
        <f t="shared" si="23"/>
        <v>6.8600206661631616E-3</v>
      </c>
    </row>
    <row r="496" spans="1:3" x14ac:dyDescent="0.25">
      <c r="A496" s="4">
        <v>42079</v>
      </c>
      <c r="B496" s="3">
        <v>16.129999000000002</v>
      </c>
      <c r="C496">
        <f t="shared" si="23"/>
        <v>2.4828691365436691E-3</v>
      </c>
    </row>
    <row r="497" spans="1:3" x14ac:dyDescent="0.25">
      <c r="A497" s="4">
        <v>42076</v>
      </c>
      <c r="B497" s="3">
        <v>16.09</v>
      </c>
      <c r="C497">
        <f t="shared" si="23"/>
        <v>-2.4828691365435932E-3</v>
      </c>
    </row>
    <row r="498" spans="1:3" x14ac:dyDescent="0.25">
      <c r="A498" s="4">
        <v>42075</v>
      </c>
      <c r="B498" s="3">
        <v>16.09</v>
      </c>
      <c r="C498">
        <f t="shared" si="23"/>
        <v>0</v>
      </c>
    </row>
    <row r="499" spans="1:3" x14ac:dyDescent="0.25">
      <c r="A499" s="4">
        <v>42074</v>
      </c>
      <c r="B499" s="3">
        <v>16.110001</v>
      </c>
      <c r="C499">
        <f t="shared" si="23"/>
        <v>1.2422982578358011E-3</v>
      </c>
    </row>
    <row r="500" spans="1:3" x14ac:dyDescent="0.25">
      <c r="A500" s="4">
        <v>42073</v>
      </c>
      <c r="B500" s="3">
        <v>15.79</v>
      </c>
      <c r="C500">
        <f t="shared" si="23"/>
        <v>-2.0063430994576865E-2</v>
      </c>
    </row>
    <row r="501" spans="1:3" x14ac:dyDescent="0.25">
      <c r="A501" s="4">
        <v>42072</v>
      </c>
      <c r="B501" s="3">
        <v>16.170000000000002</v>
      </c>
      <c r="C501">
        <f t="shared" si="23"/>
        <v>2.3780845321464874E-2</v>
      </c>
    </row>
    <row r="502" spans="1:3" x14ac:dyDescent="0.25">
      <c r="A502" s="4">
        <v>42069</v>
      </c>
      <c r="B502" s="3">
        <v>16.219999000000001</v>
      </c>
      <c r="C502">
        <f t="shared" si="23"/>
        <v>3.0873134459682709E-3</v>
      </c>
    </row>
    <row r="503" spans="1:3" x14ac:dyDescent="0.25">
      <c r="A503" s="4">
        <v>42068</v>
      </c>
      <c r="B503" s="3">
        <v>16</v>
      </c>
      <c r="C503">
        <f t="shared" si="23"/>
        <v>-1.3656264795202698E-2</v>
      </c>
    </row>
    <row r="504" spans="1:3" x14ac:dyDescent="0.25">
      <c r="A504" s="4">
        <v>42067</v>
      </c>
      <c r="B504" s="3">
        <v>15.84</v>
      </c>
      <c r="C504">
        <f t="shared" si="23"/>
        <v>-1.0050335853501451E-2</v>
      </c>
    </row>
    <row r="505" spans="1:3" x14ac:dyDescent="0.25">
      <c r="A505" s="4">
        <v>42066</v>
      </c>
      <c r="B505" s="3">
        <v>16.040001</v>
      </c>
      <c r="C505">
        <f t="shared" si="23"/>
        <v>1.2547278396226418E-2</v>
      </c>
    </row>
    <row r="506" spans="1:3" x14ac:dyDescent="0.25">
      <c r="A506" s="4">
        <v>42065</v>
      </c>
      <c r="B506" s="3">
        <v>16.010000000000002</v>
      </c>
      <c r="C506">
        <f t="shared" si="23"/>
        <v>-1.8721377738827899E-3</v>
      </c>
    </row>
    <row r="507" spans="1:3" x14ac:dyDescent="0.25">
      <c r="A507" s="4">
        <v>42062</v>
      </c>
      <c r="B507" s="3">
        <v>15.81</v>
      </c>
      <c r="C507">
        <f t="shared" si="23"/>
        <v>-1.2570875787242756E-2</v>
      </c>
    </row>
    <row r="508" spans="1:3" x14ac:dyDescent="0.25">
      <c r="A508" s="4">
        <v>42061</v>
      </c>
      <c r="B508" s="3">
        <v>16.040001</v>
      </c>
      <c r="C508">
        <f t="shared" si="23"/>
        <v>1.4443013561125489E-2</v>
      </c>
    </row>
    <row r="509" spans="1:3" x14ac:dyDescent="0.25">
      <c r="A509" s="4">
        <v>42060</v>
      </c>
      <c r="B509" s="3">
        <v>16.489999999999998</v>
      </c>
      <c r="C509">
        <f t="shared" si="23"/>
        <v>2.7668471789001198E-2</v>
      </c>
    </row>
    <row r="510" spans="1:3" x14ac:dyDescent="0.25">
      <c r="A510" s="4">
        <v>42059</v>
      </c>
      <c r="B510" s="3">
        <v>16.379999000000002</v>
      </c>
      <c r="C510">
        <f t="shared" si="23"/>
        <v>-6.6931191966468906E-3</v>
      </c>
    </row>
    <row r="511" spans="1:3" x14ac:dyDescent="0.25">
      <c r="A511" s="4">
        <v>42058</v>
      </c>
      <c r="B511" s="3">
        <v>16.200001</v>
      </c>
      <c r="C511">
        <f t="shared" si="23"/>
        <v>-1.1049713408128931E-2</v>
      </c>
    </row>
    <row r="512" spans="1:3" x14ac:dyDescent="0.25">
      <c r="A512" s="4">
        <v>42055</v>
      </c>
      <c r="B512" s="3">
        <v>16.379999000000002</v>
      </c>
      <c r="C512">
        <f t="shared" si="23"/>
        <v>1.1049713408128891E-2</v>
      </c>
    </row>
    <row r="513" spans="1:3" x14ac:dyDescent="0.25">
      <c r="A513" s="4">
        <v>42054</v>
      </c>
      <c r="B513" s="3">
        <v>16.209999</v>
      </c>
      <c r="C513">
        <f t="shared" si="23"/>
        <v>-1.0432743317592306E-2</v>
      </c>
    </row>
    <row r="514" spans="1:3" x14ac:dyDescent="0.25">
      <c r="A514" s="4">
        <v>42053</v>
      </c>
      <c r="B514" s="3">
        <v>16.299999</v>
      </c>
      <c r="C514">
        <f t="shared" si="23"/>
        <v>5.5367724057534028E-3</v>
      </c>
    </row>
    <row r="515" spans="1:3" x14ac:dyDescent="0.25">
      <c r="A515" s="4">
        <v>42052</v>
      </c>
      <c r="B515" s="3">
        <v>16.629999000000002</v>
      </c>
      <c r="C515">
        <f t="shared" si="23"/>
        <v>2.0043186609522094E-2</v>
      </c>
    </row>
    <row r="516" spans="1:3" x14ac:dyDescent="0.25">
      <c r="A516" s="4">
        <v>42048</v>
      </c>
      <c r="B516" s="3">
        <v>16.610001</v>
      </c>
      <c r="C516">
        <f t="shared" si="23"/>
        <v>-1.2032492426458886E-3</v>
      </c>
    </row>
    <row r="517" spans="1:3" x14ac:dyDescent="0.25">
      <c r="A517" s="4">
        <v>42047</v>
      </c>
      <c r="B517" s="3">
        <v>16.670000000000002</v>
      </c>
      <c r="C517">
        <f t="shared" si="23"/>
        <v>3.6057129328050251E-3</v>
      </c>
    </row>
    <row r="518" spans="1:3" x14ac:dyDescent="0.25">
      <c r="A518" s="4">
        <v>42046</v>
      </c>
      <c r="B518" s="3">
        <v>16.360001</v>
      </c>
      <c r="C518">
        <f t="shared" ref="C518:C581" si="24">LN(B518/B517)</f>
        <v>-1.8771304463409178E-2</v>
      </c>
    </row>
    <row r="519" spans="1:3" x14ac:dyDescent="0.25">
      <c r="A519" s="4">
        <v>42045</v>
      </c>
      <c r="B519" s="3">
        <v>16.420000000000002</v>
      </c>
      <c r="C519">
        <f t="shared" si="24"/>
        <v>3.6607117249887583E-3</v>
      </c>
    </row>
    <row r="520" spans="1:3" x14ac:dyDescent="0.25">
      <c r="A520" s="4">
        <v>42044</v>
      </c>
      <c r="B520" s="3">
        <v>16.350000000000001</v>
      </c>
      <c r="C520">
        <f t="shared" si="24"/>
        <v>-4.2722066810197594E-3</v>
      </c>
    </row>
    <row r="521" spans="1:3" x14ac:dyDescent="0.25">
      <c r="A521" s="4">
        <v>42041</v>
      </c>
      <c r="B521" s="3">
        <v>16.489999999999998</v>
      </c>
      <c r="C521">
        <f t="shared" si="24"/>
        <v>8.5262392282448793E-3</v>
      </c>
    </row>
    <row r="522" spans="1:3" x14ac:dyDescent="0.25">
      <c r="A522" s="4">
        <v>42040</v>
      </c>
      <c r="B522" s="3">
        <v>15.97</v>
      </c>
      <c r="C522">
        <f t="shared" si="24"/>
        <v>-3.2042174344586352E-2</v>
      </c>
    </row>
    <row r="523" spans="1:3" x14ac:dyDescent="0.25">
      <c r="A523" s="4">
        <v>42039</v>
      </c>
      <c r="B523" s="3">
        <v>15.79</v>
      </c>
      <c r="C523">
        <f t="shared" si="24"/>
        <v>-1.1335133959370419E-2</v>
      </c>
    </row>
    <row r="524" spans="1:3" x14ac:dyDescent="0.25">
      <c r="A524" s="4">
        <v>42038</v>
      </c>
      <c r="B524" s="3">
        <v>15.89</v>
      </c>
      <c r="C524">
        <f t="shared" si="24"/>
        <v>6.3131522810739452E-3</v>
      </c>
    </row>
    <row r="525" spans="1:3" x14ac:dyDescent="0.25">
      <c r="A525" s="4">
        <v>42037</v>
      </c>
      <c r="B525" s="3">
        <v>15.46</v>
      </c>
      <c r="C525">
        <f t="shared" si="24"/>
        <v>-2.7433937389348715E-2</v>
      </c>
    </row>
    <row r="526" spans="1:3" x14ac:dyDescent="0.25">
      <c r="A526" s="4">
        <v>42034</v>
      </c>
      <c r="B526" s="3">
        <v>15.15</v>
      </c>
      <c r="C526">
        <f t="shared" si="24"/>
        <v>-2.0255511203897802E-2</v>
      </c>
    </row>
    <row r="527" spans="1:3" x14ac:dyDescent="0.25">
      <c r="A527" s="4">
        <v>42033</v>
      </c>
      <c r="B527" s="3">
        <v>15.43</v>
      </c>
      <c r="C527">
        <f t="shared" si="24"/>
        <v>1.8313134419691193E-2</v>
      </c>
    </row>
    <row r="528" spans="1:3" x14ac:dyDescent="0.25">
      <c r="A528" s="4">
        <v>42032</v>
      </c>
      <c r="B528" s="3">
        <v>15.2</v>
      </c>
      <c r="C528">
        <f t="shared" si="24"/>
        <v>-1.50182385228388E-2</v>
      </c>
    </row>
    <row r="529" spans="1:3" x14ac:dyDescent="0.25">
      <c r="A529" s="4">
        <v>42031</v>
      </c>
      <c r="B529" s="3">
        <v>15.63</v>
      </c>
      <c r="C529">
        <f t="shared" si="24"/>
        <v>2.7896716581154543E-2</v>
      </c>
    </row>
    <row r="530" spans="1:3" x14ac:dyDescent="0.25">
      <c r="A530" s="4">
        <v>42030</v>
      </c>
      <c r="B530" s="3">
        <v>15.85</v>
      </c>
      <c r="C530">
        <f t="shared" si="24"/>
        <v>1.3977355889904326E-2</v>
      </c>
    </row>
    <row r="531" spans="1:3" x14ac:dyDescent="0.25">
      <c r="A531" s="4">
        <v>42027</v>
      </c>
      <c r="B531" s="3">
        <v>15.73</v>
      </c>
      <c r="C531">
        <f t="shared" si="24"/>
        <v>-7.5997832531030946E-3</v>
      </c>
    </row>
    <row r="532" spans="1:3" x14ac:dyDescent="0.25">
      <c r="A532" s="4">
        <v>42026</v>
      </c>
      <c r="B532" s="3">
        <v>16.09</v>
      </c>
      <c r="C532">
        <f t="shared" si="24"/>
        <v>2.2628243934105379E-2</v>
      </c>
    </row>
    <row r="533" spans="1:3" x14ac:dyDescent="0.25">
      <c r="A533" s="4">
        <v>42025</v>
      </c>
      <c r="B533" s="3">
        <v>15.41</v>
      </c>
      <c r="C533">
        <f t="shared" si="24"/>
        <v>-4.3181311672267485E-2</v>
      </c>
    </row>
    <row r="534" spans="1:3" x14ac:dyDescent="0.25">
      <c r="A534" s="4">
        <v>42024</v>
      </c>
      <c r="B534" s="3">
        <v>15.26</v>
      </c>
      <c r="C534">
        <f t="shared" si="24"/>
        <v>-9.7816234757135134E-3</v>
      </c>
    </row>
    <row r="535" spans="1:3" x14ac:dyDescent="0.25">
      <c r="A535" s="4">
        <v>42020</v>
      </c>
      <c r="B535" s="3">
        <v>15.38</v>
      </c>
      <c r="C535">
        <f t="shared" si="24"/>
        <v>7.8329382211871114E-3</v>
      </c>
    </row>
    <row r="536" spans="1:3" x14ac:dyDescent="0.25">
      <c r="A536" s="4">
        <v>42019</v>
      </c>
      <c r="B536" s="3">
        <v>15.2</v>
      </c>
      <c r="C536">
        <f t="shared" si="24"/>
        <v>-1.1772536225267348E-2</v>
      </c>
    </row>
    <row r="537" spans="1:3" x14ac:dyDescent="0.25">
      <c r="A537" s="4">
        <v>42018</v>
      </c>
      <c r="B537" s="3">
        <v>16.040001</v>
      </c>
      <c r="C537">
        <f t="shared" si="24"/>
        <v>5.3790236930275459E-2</v>
      </c>
    </row>
    <row r="538" spans="1:3" x14ac:dyDescent="0.25">
      <c r="A538" s="4">
        <v>42017</v>
      </c>
      <c r="B538" s="3">
        <v>16.450001</v>
      </c>
      <c r="C538">
        <f t="shared" si="24"/>
        <v>2.5239873219146374E-2</v>
      </c>
    </row>
    <row r="539" spans="1:3" x14ac:dyDescent="0.25">
      <c r="A539" s="4">
        <v>42016</v>
      </c>
      <c r="B539" s="3">
        <v>16.68</v>
      </c>
      <c r="C539">
        <f t="shared" si="24"/>
        <v>1.3884858928948111E-2</v>
      </c>
    </row>
    <row r="540" spans="1:3" x14ac:dyDescent="0.25">
      <c r="A540" s="4">
        <v>42013</v>
      </c>
      <c r="B540" s="3">
        <v>16.98</v>
      </c>
      <c r="C540">
        <f t="shared" si="24"/>
        <v>1.7825783952600666E-2</v>
      </c>
    </row>
    <row r="541" spans="1:3" x14ac:dyDescent="0.25">
      <c r="A541" s="4">
        <v>42012</v>
      </c>
      <c r="B541" s="3">
        <v>17.290001</v>
      </c>
      <c r="C541">
        <f t="shared" si="24"/>
        <v>1.8092176648896046E-2</v>
      </c>
    </row>
    <row r="542" spans="1:3" x14ac:dyDescent="0.25">
      <c r="A542" s="4">
        <v>42011</v>
      </c>
      <c r="B542" s="3">
        <v>16.940000999999999</v>
      </c>
      <c r="C542">
        <f t="shared" si="24"/>
        <v>-2.0450609276313703E-2</v>
      </c>
    </row>
    <row r="543" spans="1:3" x14ac:dyDescent="0.25">
      <c r="A543" s="4">
        <v>42010</v>
      </c>
      <c r="B543" s="3">
        <v>16.860001</v>
      </c>
      <c r="C543">
        <f t="shared" si="24"/>
        <v>-4.733736370095055E-3</v>
      </c>
    </row>
    <row r="544" spans="1:3" x14ac:dyDescent="0.25">
      <c r="A544" s="4">
        <v>42009</v>
      </c>
      <c r="B544" s="3">
        <v>17.379999000000002</v>
      </c>
      <c r="C544">
        <f t="shared" si="24"/>
        <v>3.0376050414156447E-2</v>
      </c>
    </row>
    <row r="545" spans="1:3" x14ac:dyDescent="0.25">
      <c r="A545" s="4">
        <v>42006</v>
      </c>
      <c r="B545" s="3">
        <v>17.899999999999999</v>
      </c>
      <c r="C545">
        <f t="shared" si="24"/>
        <v>2.9480650546864089E-2</v>
      </c>
    </row>
    <row r="546" spans="1:3" x14ac:dyDescent="0.25">
      <c r="A546" s="4">
        <v>42004</v>
      </c>
      <c r="B546" s="3">
        <v>17.889999</v>
      </c>
      <c r="C546">
        <f t="shared" si="24"/>
        <v>-5.5887122323223387E-4</v>
      </c>
    </row>
    <row r="547" spans="1:3" x14ac:dyDescent="0.25">
      <c r="A547" s="4">
        <v>42003</v>
      </c>
      <c r="B547" s="3">
        <v>18.129999000000002</v>
      </c>
      <c r="C547">
        <f t="shared" si="24"/>
        <v>1.3326127986083349E-2</v>
      </c>
    </row>
    <row r="548" spans="1:3" x14ac:dyDescent="0.25">
      <c r="A548" s="4">
        <v>42002</v>
      </c>
      <c r="B548" s="3">
        <v>18.110001</v>
      </c>
      <c r="C548">
        <f t="shared" si="24"/>
        <v>-1.1036424961282328E-3</v>
      </c>
    </row>
    <row r="549" spans="1:3" x14ac:dyDescent="0.25">
      <c r="A549" s="4">
        <v>41999</v>
      </c>
      <c r="B549" s="3">
        <v>17.98</v>
      </c>
      <c r="C549">
        <f t="shared" si="24"/>
        <v>-7.2042980699578065E-3</v>
      </c>
    </row>
    <row r="550" spans="1:3" x14ac:dyDescent="0.25">
      <c r="A550" s="4">
        <v>41997</v>
      </c>
      <c r="B550" s="3">
        <v>17.98</v>
      </c>
      <c r="C550">
        <f t="shared" si="24"/>
        <v>0</v>
      </c>
    </row>
    <row r="551" spans="1:3" x14ac:dyDescent="0.25">
      <c r="A551" s="4">
        <v>41996</v>
      </c>
      <c r="B551" s="3">
        <v>17.93</v>
      </c>
      <c r="C551">
        <f t="shared" si="24"/>
        <v>-2.7847414264327709E-3</v>
      </c>
    </row>
    <row r="552" spans="1:3" x14ac:dyDescent="0.25">
      <c r="A552" s="4">
        <v>41995</v>
      </c>
      <c r="B552" s="3">
        <v>17.709999</v>
      </c>
      <c r="C552">
        <f t="shared" si="24"/>
        <v>-1.2345892287574744E-2</v>
      </c>
    </row>
    <row r="553" spans="1:3" x14ac:dyDescent="0.25">
      <c r="A553" s="4">
        <v>41992</v>
      </c>
      <c r="B553" s="3">
        <v>17.620000999999998</v>
      </c>
      <c r="C553">
        <f t="shared" si="24"/>
        <v>-5.0947180677460178E-3</v>
      </c>
    </row>
    <row r="554" spans="1:3" x14ac:dyDescent="0.25">
      <c r="A554" s="4">
        <v>41991</v>
      </c>
      <c r="B554" s="3">
        <v>17.530000999999999</v>
      </c>
      <c r="C554">
        <f t="shared" si="24"/>
        <v>-5.1209212835136948E-3</v>
      </c>
    </row>
    <row r="555" spans="1:3" x14ac:dyDescent="0.25">
      <c r="A555" s="4">
        <v>41990</v>
      </c>
      <c r="B555" s="3">
        <v>17.260000000000002</v>
      </c>
      <c r="C555">
        <f t="shared" si="24"/>
        <v>-1.5522070322925031E-2</v>
      </c>
    </row>
    <row r="556" spans="1:3" x14ac:dyDescent="0.25">
      <c r="A556" s="4">
        <v>41989</v>
      </c>
      <c r="B556" s="3">
        <v>16.719999000000001</v>
      </c>
      <c r="C556">
        <f t="shared" si="24"/>
        <v>-3.1786137807340603E-2</v>
      </c>
    </row>
    <row r="557" spans="1:3" x14ac:dyDescent="0.25">
      <c r="A557" s="4">
        <v>41988</v>
      </c>
      <c r="B557" s="3">
        <v>16.850000000000001</v>
      </c>
      <c r="C557">
        <f t="shared" si="24"/>
        <v>7.7451089504294275E-3</v>
      </c>
    </row>
    <row r="558" spans="1:3" x14ac:dyDescent="0.25">
      <c r="A558" s="4">
        <v>41985</v>
      </c>
      <c r="B558" s="3">
        <v>17.129999000000002</v>
      </c>
      <c r="C558">
        <f t="shared" si="24"/>
        <v>1.6480597160539862E-2</v>
      </c>
    </row>
    <row r="559" spans="1:3" x14ac:dyDescent="0.25">
      <c r="A559" s="4">
        <v>41984</v>
      </c>
      <c r="B559" s="3">
        <v>17.469999000000001</v>
      </c>
      <c r="C559">
        <f t="shared" si="24"/>
        <v>1.9653812946068269E-2</v>
      </c>
    </row>
    <row r="560" spans="1:3" x14ac:dyDescent="0.25">
      <c r="A560" s="4">
        <v>41983</v>
      </c>
      <c r="B560" s="3">
        <v>17.379999000000002</v>
      </c>
      <c r="C560">
        <f t="shared" si="24"/>
        <v>-5.1650046051339837E-3</v>
      </c>
    </row>
    <row r="561" spans="1:3" x14ac:dyDescent="0.25">
      <c r="A561" s="4">
        <v>41982</v>
      </c>
      <c r="B561" s="3">
        <v>17.559999000000001</v>
      </c>
      <c r="C561">
        <f t="shared" si="24"/>
        <v>1.0303468959515817E-2</v>
      </c>
    </row>
    <row r="562" spans="1:3" x14ac:dyDescent="0.25">
      <c r="A562" s="4">
        <v>41981</v>
      </c>
      <c r="B562" s="3">
        <v>17.66</v>
      </c>
      <c r="C562">
        <f t="shared" si="24"/>
        <v>5.678663916453189E-3</v>
      </c>
    </row>
    <row r="563" spans="1:3" x14ac:dyDescent="0.25">
      <c r="A563" s="4">
        <v>41978</v>
      </c>
      <c r="B563" s="3">
        <v>17.68</v>
      </c>
      <c r="C563">
        <f t="shared" si="24"/>
        <v>1.1318620336833308E-3</v>
      </c>
    </row>
    <row r="564" spans="1:3" x14ac:dyDescent="0.25">
      <c r="A564" s="4">
        <v>41977</v>
      </c>
      <c r="B564" s="3">
        <v>17.209999</v>
      </c>
      <c r="C564">
        <f t="shared" si="24"/>
        <v>-2.6943505091803453E-2</v>
      </c>
    </row>
    <row r="565" spans="1:3" x14ac:dyDescent="0.25">
      <c r="A565" s="4">
        <v>41976</v>
      </c>
      <c r="B565" s="3">
        <v>17.290001</v>
      </c>
      <c r="C565">
        <f t="shared" si="24"/>
        <v>4.6378054144034777E-3</v>
      </c>
    </row>
    <row r="566" spans="1:3" x14ac:dyDescent="0.25">
      <c r="A566" s="4">
        <v>41975</v>
      </c>
      <c r="B566" s="3">
        <v>17.149999999999999</v>
      </c>
      <c r="C566">
        <f t="shared" si="24"/>
        <v>-8.1301839201485763E-3</v>
      </c>
    </row>
    <row r="567" spans="1:3" x14ac:dyDescent="0.25">
      <c r="A567" s="4">
        <v>41974</v>
      </c>
      <c r="B567" s="3">
        <v>16.790001</v>
      </c>
      <c r="C567">
        <f t="shared" si="24"/>
        <v>-2.1214642963239633E-2</v>
      </c>
    </row>
    <row r="568" spans="1:3" x14ac:dyDescent="0.25">
      <c r="A568" s="4">
        <v>41971</v>
      </c>
      <c r="B568" s="3">
        <v>17.040001</v>
      </c>
      <c r="C568">
        <f t="shared" si="24"/>
        <v>1.4780049437904849E-2</v>
      </c>
    </row>
    <row r="569" spans="1:3" x14ac:dyDescent="0.25">
      <c r="A569" s="4">
        <v>41969</v>
      </c>
      <c r="B569" s="3">
        <v>17.110001</v>
      </c>
      <c r="C569">
        <f t="shared" si="24"/>
        <v>4.0995662628399952E-3</v>
      </c>
    </row>
    <row r="570" spans="1:3" x14ac:dyDescent="0.25">
      <c r="A570" s="4">
        <v>41968</v>
      </c>
      <c r="B570" s="3">
        <v>17.100000000000001</v>
      </c>
      <c r="C570">
        <f t="shared" si="24"/>
        <v>-5.8468284083973789E-4</v>
      </c>
    </row>
    <row r="571" spans="1:3" x14ac:dyDescent="0.25">
      <c r="A571" s="4">
        <v>41967</v>
      </c>
      <c r="B571" s="3">
        <v>17.18</v>
      </c>
      <c r="C571">
        <f t="shared" si="24"/>
        <v>4.6674530474950212E-3</v>
      </c>
    </row>
    <row r="572" spans="1:3" x14ac:dyDescent="0.25">
      <c r="A572" s="4">
        <v>41964</v>
      </c>
      <c r="B572" s="3">
        <v>17.120000999999998</v>
      </c>
      <c r="C572">
        <f t="shared" si="24"/>
        <v>-3.4984874313001282E-3</v>
      </c>
    </row>
    <row r="573" spans="1:3" x14ac:dyDescent="0.25">
      <c r="A573" s="4">
        <v>41963</v>
      </c>
      <c r="B573" s="3">
        <v>17</v>
      </c>
      <c r="C573">
        <f t="shared" si="24"/>
        <v>-7.0340850685931726E-3</v>
      </c>
    </row>
    <row r="574" spans="1:3" x14ac:dyDescent="0.25">
      <c r="A574" s="4">
        <v>41962</v>
      </c>
      <c r="B574" s="3">
        <v>17.059999000000001</v>
      </c>
      <c r="C574">
        <f t="shared" si="24"/>
        <v>3.5231393906682844E-3</v>
      </c>
    </row>
    <row r="575" spans="1:3" x14ac:dyDescent="0.25">
      <c r="A575" s="4">
        <v>41961</v>
      </c>
      <c r="B575" s="3">
        <v>17.139999</v>
      </c>
      <c r="C575">
        <f t="shared" si="24"/>
        <v>4.6783713796905591E-3</v>
      </c>
    </row>
    <row r="576" spans="1:3" x14ac:dyDescent="0.25">
      <c r="A576" s="4">
        <v>41960</v>
      </c>
      <c r="B576" s="3">
        <v>17.09</v>
      </c>
      <c r="C576">
        <f t="shared" si="24"/>
        <v>-2.9213576990752932E-3</v>
      </c>
    </row>
    <row r="577" spans="1:3" x14ac:dyDescent="0.25">
      <c r="A577" s="4">
        <v>41957</v>
      </c>
      <c r="B577" s="3">
        <v>17.139999</v>
      </c>
      <c r="C577">
        <f t="shared" si="24"/>
        <v>2.9213576990753101E-3</v>
      </c>
    </row>
    <row r="578" spans="1:3" x14ac:dyDescent="0.25">
      <c r="A578" s="4">
        <v>41956</v>
      </c>
      <c r="B578" s="3">
        <v>17.219999000000001</v>
      </c>
      <c r="C578">
        <f t="shared" si="24"/>
        <v>4.6565861009990241E-3</v>
      </c>
    </row>
    <row r="579" spans="1:3" x14ac:dyDescent="0.25">
      <c r="A579" s="4">
        <v>41955</v>
      </c>
      <c r="B579" s="3">
        <v>17.290001</v>
      </c>
      <c r="C579">
        <f t="shared" si="24"/>
        <v>4.0569166045235283E-3</v>
      </c>
    </row>
    <row r="580" spans="1:3" x14ac:dyDescent="0.25">
      <c r="A580" s="4">
        <v>41954</v>
      </c>
      <c r="B580" s="3">
        <v>17.32</v>
      </c>
      <c r="C580">
        <f t="shared" si="24"/>
        <v>1.7335456021916732E-3</v>
      </c>
    </row>
    <row r="581" spans="1:3" x14ac:dyDescent="0.25">
      <c r="A581" s="4">
        <v>41953</v>
      </c>
      <c r="B581" s="3">
        <v>17.370000999999998</v>
      </c>
      <c r="C581">
        <f t="shared" si="24"/>
        <v>2.8827346892467075E-3</v>
      </c>
    </row>
    <row r="582" spans="1:3" x14ac:dyDescent="0.25">
      <c r="A582" s="4">
        <v>41950</v>
      </c>
      <c r="B582" s="3">
        <v>17.360001</v>
      </c>
      <c r="C582">
        <f t="shared" ref="C582:C645" si="25">LN(B582/B581)</f>
        <v>-5.7587098764656905E-4</v>
      </c>
    </row>
    <row r="583" spans="1:3" x14ac:dyDescent="0.25">
      <c r="A583" s="4">
        <v>41949</v>
      </c>
      <c r="B583" s="3">
        <v>17.360001</v>
      </c>
      <c r="C583">
        <f t="shared" si="25"/>
        <v>0</v>
      </c>
    </row>
    <row r="584" spans="1:3" x14ac:dyDescent="0.25">
      <c r="A584" s="4">
        <v>41948</v>
      </c>
      <c r="B584" s="3">
        <v>17.34</v>
      </c>
      <c r="C584">
        <f t="shared" si="25"/>
        <v>-1.1527954834933214E-3</v>
      </c>
    </row>
    <row r="585" spans="1:3" x14ac:dyDescent="0.25">
      <c r="A585" s="4">
        <v>41947</v>
      </c>
      <c r="B585" s="3">
        <v>17.209999</v>
      </c>
      <c r="C585">
        <f t="shared" si="25"/>
        <v>-7.5254192347018892E-3</v>
      </c>
    </row>
    <row r="586" spans="1:3" x14ac:dyDescent="0.25">
      <c r="A586" s="4">
        <v>41946</v>
      </c>
      <c r="B586" s="3">
        <v>17.27</v>
      </c>
      <c r="C586">
        <f t="shared" si="25"/>
        <v>3.480340040893413E-3</v>
      </c>
    </row>
    <row r="587" spans="1:3" x14ac:dyDescent="0.25">
      <c r="A587" s="4">
        <v>41943</v>
      </c>
      <c r="B587" s="3">
        <v>17.16</v>
      </c>
      <c r="C587">
        <f t="shared" si="25"/>
        <v>-6.38979809877101E-3</v>
      </c>
    </row>
    <row r="588" spans="1:3" x14ac:dyDescent="0.25">
      <c r="A588" s="4">
        <v>41942</v>
      </c>
      <c r="B588" s="3">
        <v>17.030000999999999</v>
      </c>
      <c r="C588">
        <f t="shared" si="25"/>
        <v>-7.6045406653150313E-3</v>
      </c>
    </row>
    <row r="589" spans="1:3" x14ac:dyDescent="0.25">
      <c r="A589" s="4">
        <v>41941</v>
      </c>
      <c r="B589" s="3">
        <v>16.989999999999998</v>
      </c>
      <c r="C589">
        <f t="shared" si="25"/>
        <v>-2.3516177106606188E-3</v>
      </c>
    </row>
    <row r="590" spans="1:3" x14ac:dyDescent="0.25">
      <c r="A590" s="4">
        <v>41940</v>
      </c>
      <c r="B590" s="3">
        <v>16.799999</v>
      </c>
      <c r="C590">
        <f t="shared" si="25"/>
        <v>-1.1246108798438677E-2</v>
      </c>
    </row>
    <row r="591" spans="1:3" x14ac:dyDescent="0.25">
      <c r="A591" s="4">
        <v>41939</v>
      </c>
      <c r="B591" s="3">
        <v>16.59</v>
      </c>
      <c r="C591">
        <f t="shared" si="25"/>
        <v>-1.2578722683048793E-2</v>
      </c>
    </row>
    <row r="592" spans="1:3" x14ac:dyDescent="0.25">
      <c r="A592" s="4">
        <v>41936</v>
      </c>
      <c r="B592" s="3">
        <v>16.719999000000001</v>
      </c>
      <c r="C592">
        <f t="shared" si="25"/>
        <v>7.8054436455883168E-3</v>
      </c>
    </row>
    <row r="593" spans="1:3" x14ac:dyDescent="0.25">
      <c r="A593" s="4">
        <v>41935</v>
      </c>
      <c r="B593" s="3">
        <v>16.600000000000001</v>
      </c>
      <c r="C593">
        <f t="shared" si="25"/>
        <v>-7.2028524854438119E-3</v>
      </c>
    </row>
    <row r="594" spans="1:3" x14ac:dyDescent="0.25">
      <c r="A594" s="4">
        <v>41934</v>
      </c>
      <c r="B594" s="3">
        <v>16.399999999999999</v>
      </c>
      <c r="C594">
        <f t="shared" si="25"/>
        <v>-1.2121360532344963E-2</v>
      </c>
    </row>
    <row r="595" spans="1:3" x14ac:dyDescent="0.25">
      <c r="A595" s="4">
        <v>41933</v>
      </c>
      <c r="B595" s="3">
        <v>16.600000000000001</v>
      </c>
      <c r="C595">
        <f t="shared" si="25"/>
        <v>1.2121360532345041E-2</v>
      </c>
    </row>
    <row r="596" spans="1:3" x14ac:dyDescent="0.25">
      <c r="A596" s="4">
        <v>41932</v>
      </c>
      <c r="B596" s="3">
        <v>16.260000000000002</v>
      </c>
      <c r="C596">
        <f t="shared" si="25"/>
        <v>-2.0694591242832981E-2</v>
      </c>
    </row>
    <row r="597" spans="1:3" x14ac:dyDescent="0.25">
      <c r="A597" s="4">
        <v>41929</v>
      </c>
      <c r="B597" s="3">
        <v>16.209999</v>
      </c>
      <c r="C597">
        <f t="shared" si="25"/>
        <v>-3.0798300623964305E-3</v>
      </c>
    </row>
    <row r="598" spans="1:3" x14ac:dyDescent="0.25">
      <c r="A598" s="4">
        <v>41928</v>
      </c>
      <c r="B598" s="3">
        <v>16.079999999999998</v>
      </c>
      <c r="C598">
        <f t="shared" si="25"/>
        <v>-8.0520103064480094E-3</v>
      </c>
    </row>
    <row r="599" spans="1:3" x14ac:dyDescent="0.25">
      <c r="A599" s="4">
        <v>41927</v>
      </c>
      <c r="B599" s="3">
        <v>15.76</v>
      </c>
      <c r="C599">
        <f t="shared" si="25"/>
        <v>-2.010117932108715E-2</v>
      </c>
    </row>
    <row r="600" spans="1:3" x14ac:dyDescent="0.25">
      <c r="A600" s="4">
        <v>41926</v>
      </c>
      <c r="B600" s="3">
        <v>16.52</v>
      </c>
      <c r="C600">
        <f t="shared" si="25"/>
        <v>4.7096683663099027E-2</v>
      </c>
    </row>
    <row r="601" spans="1:3" x14ac:dyDescent="0.25">
      <c r="A601" s="4">
        <v>41925</v>
      </c>
      <c r="B601" s="3">
        <v>16.399999999999999</v>
      </c>
      <c r="C601">
        <f t="shared" si="25"/>
        <v>-7.2904332626793442E-3</v>
      </c>
    </row>
    <row r="602" spans="1:3" x14ac:dyDescent="0.25">
      <c r="A602" s="4">
        <v>41922</v>
      </c>
      <c r="B602" s="3">
        <v>16.48</v>
      </c>
      <c r="C602">
        <f t="shared" si="25"/>
        <v>4.8661896511729063E-3</v>
      </c>
    </row>
    <row r="603" spans="1:3" x14ac:dyDescent="0.25">
      <c r="A603" s="4">
        <v>41921</v>
      </c>
      <c r="B603" s="3">
        <v>16.59</v>
      </c>
      <c r="C603">
        <f t="shared" si="25"/>
        <v>6.6525797210273963E-3</v>
      </c>
    </row>
    <row r="604" spans="1:3" x14ac:dyDescent="0.25">
      <c r="A604" s="4">
        <v>41920</v>
      </c>
      <c r="B604" s="3">
        <v>17.120000999999998</v>
      </c>
      <c r="C604">
        <f t="shared" si="25"/>
        <v>3.1447324922456089E-2</v>
      </c>
    </row>
    <row r="605" spans="1:3" x14ac:dyDescent="0.25">
      <c r="A605" s="4">
        <v>41919</v>
      </c>
      <c r="B605" s="3">
        <v>16.879999000000002</v>
      </c>
      <c r="C605">
        <f t="shared" si="25"/>
        <v>-1.4117999198705962E-2</v>
      </c>
    </row>
    <row r="606" spans="1:3" x14ac:dyDescent="0.25">
      <c r="A606" s="4">
        <v>41918</v>
      </c>
      <c r="B606" s="3">
        <v>17.290001</v>
      </c>
      <c r="C606">
        <f t="shared" si="25"/>
        <v>2.3998927605994234E-2</v>
      </c>
    </row>
    <row r="607" spans="1:3" x14ac:dyDescent="0.25">
      <c r="A607" s="4">
        <v>41915</v>
      </c>
      <c r="B607" s="3">
        <v>17.290001</v>
      </c>
      <c r="C607">
        <f t="shared" si="25"/>
        <v>0</v>
      </c>
    </row>
    <row r="608" spans="1:3" x14ac:dyDescent="0.25">
      <c r="A608" s="4">
        <v>41914</v>
      </c>
      <c r="B608" s="3">
        <v>16.879999000000002</v>
      </c>
      <c r="C608">
        <f t="shared" si="25"/>
        <v>-2.3998927605994133E-2</v>
      </c>
    </row>
    <row r="609" spans="1:3" x14ac:dyDescent="0.25">
      <c r="A609" s="4">
        <v>41913</v>
      </c>
      <c r="B609" s="3">
        <v>16.82</v>
      </c>
      <c r="C609">
        <f t="shared" si="25"/>
        <v>-3.5607753813012687E-3</v>
      </c>
    </row>
    <row r="610" spans="1:3" x14ac:dyDescent="0.25">
      <c r="A610" s="4">
        <v>41912</v>
      </c>
      <c r="B610" s="3">
        <v>17.049999</v>
      </c>
      <c r="C610">
        <f t="shared" si="25"/>
        <v>1.3581490533695543E-2</v>
      </c>
    </row>
    <row r="611" spans="1:3" x14ac:dyDescent="0.25">
      <c r="A611" s="4">
        <v>41911</v>
      </c>
      <c r="B611" s="3">
        <v>17.010000000000002</v>
      </c>
      <c r="C611">
        <f t="shared" si="25"/>
        <v>-2.3487386707271634E-3</v>
      </c>
    </row>
    <row r="612" spans="1:3" x14ac:dyDescent="0.25">
      <c r="A612" s="4">
        <v>41908</v>
      </c>
      <c r="B612" s="3">
        <v>17.030000999999999</v>
      </c>
      <c r="C612">
        <f t="shared" si="25"/>
        <v>1.1751469867306156E-3</v>
      </c>
    </row>
    <row r="613" spans="1:3" x14ac:dyDescent="0.25">
      <c r="A613" s="4">
        <v>41907</v>
      </c>
      <c r="B613" s="3">
        <v>16.850000000000001</v>
      </c>
      <c r="C613">
        <f t="shared" si="25"/>
        <v>-1.0625896596130318E-2</v>
      </c>
    </row>
    <row r="614" spans="1:3" x14ac:dyDescent="0.25">
      <c r="A614" s="4">
        <v>41906</v>
      </c>
      <c r="B614" s="3">
        <v>17.18</v>
      </c>
      <c r="C614">
        <f t="shared" si="25"/>
        <v>1.9395259757738439E-2</v>
      </c>
    </row>
    <row r="615" spans="1:3" x14ac:dyDescent="0.25">
      <c r="A615" s="4">
        <v>41905</v>
      </c>
      <c r="B615" s="3">
        <v>17.049999</v>
      </c>
      <c r="C615">
        <f t="shared" si="25"/>
        <v>-7.5957714776116719E-3</v>
      </c>
    </row>
    <row r="616" spans="1:3" x14ac:dyDescent="0.25">
      <c r="A616" s="4">
        <v>41904</v>
      </c>
      <c r="B616" s="3">
        <v>17.030000999999999</v>
      </c>
      <c r="C616">
        <f t="shared" si="25"/>
        <v>-1.1735916839965288E-3</v>
      </c>
    </row>
    <row r="617" spans="1:3" x14ac:dyDescent="0.25">
      <c r="A617" s="4">
        <v>41901</v>
      </c>
      <c r="B617" s="3">
        <v>16.950001</v>
      </c>
      <c r="C617">
        <f t="shared" si="25"/>
        <v>-4.7086605709935137E-3</v>
      </c>
    </row>
    <row r="618" spans="1:3" x14ac:dyDescent="0.25">
      <c r="A618" s="4">
        <v>41900</v>
      </c>
      <c r="B618" s="3">
        <v>17.040001</v>
      </c>
      <c r="C618">
        <f t="shared" si="25"/>
        <v>5.2956872631062862E-3</v>
      </c>
    </row>
    <row r="619" spans="1:3" x14ac:dyDescent="0.25">
      <c r="A619" s="4">
        <v>41899</v>
      </c>
      <c r="B619" s="3">
        <v>16.77</v>
      </c>
      <c r="C619">
        <f t="shared" si="25"/>
        <v>-1.5972004251496467E-2</v>
      </c>
    </row>
    <row r="620" spans="1:3" x14ac:dyDescent="0.25">
      <c r="A620" s="4">
        <v>41898</v>
      </c>
      <c r="B620" s="3">
        <v>16.709999</v>
      </c>
      <c r="C620">
        <f t="shared" si="25"/>
        <v>-3.5842930722214598E-3</v>
      </c>
    </row>
    <row r="621" spans="1:3" x14ac:dyDescent="0.25">
      <c r="A621" s="4">
        <v>41897</v>
      </c>
      <c r="B621" s="3">
        <v>16.739999999999998</v>
      </c>
      <c r="C621">
        <f t="shared" si="25"/>
        <v>1.7937822984331177E-3</v>
      </c>
    </row>
    <row r="622" spans="1:3" x14ac:dyDescent="0.25">
      <c r="A622" s="4">
        <v>41894</v>
      </c>
      <c r="B622" s="3">
        <v>16.790001</v>
      </c>
      <c r="C622">
        <f t="shared" si="25"/>
        <v>2.9824655873800453E-3</v>
      </c>
    </row>
    <row r="623" spans="1:3" x14ac:dyDescent="0.25">
      <c r="A623" s="4">
        <v>41893</v>
      </c>
      <c r="B623" s="3">
        <v>16.57</v>
      </c>
      <c r="C623">
        <f t="shared" si="25"/>
        <v>-1.3189699210237596E-2</v>
      </c>
    </row>
    <row r="624" spans="1:3" x14ac:dyDescent="0.25">
      <c r="A624" s="4">
        <v>41892</v>
      </c>
      <c r="B624" s="3">
        <v>16.360001</v>
      </c>
      <c r="C624">
        <f t="shared" si="25"/>
        <v>-1.2754439139177976E-2</v>
      </c>
    </row>
    <row r="625" spans="1:3" x14ac:dyDescent="0.25">
      <c r="A625" s="4">
        <v>41891</v>
      </c>
      <c r="B625" s="3">
        <v>16.139999</v>
      </c>
      <c r="C625">
        <f t="shared" si="25"/>
        <v>-1.3538791415361382E-2</v>
      </c>
    </row>
    <row r="626" spans="1:3" x14ac:dyDescent="0.25">
      <c r="A626" s="4">
        <v>41890</v>
      </c>
      <c r="B626" s="3">
        <v>16.350000000000001</v>
      </c>
      <c r="C626">
        <f t="shared" si="25"/>
        <v>1.2927296459330277E-2</v>
      </c>
    </row>
    <row r="627" spans="1:3" x14ac:dyDescent="0.25">
      <c r="A627" s="4">
        <v>41887</v>
      </c>
      <c r="B627" s="3">
        <v>16.02</v>
      </c>
      <c r="C627">
        <f t="shared" si="25"/>
        <v>-2.0389955703049294E-2</v>
      </c>
    </row>
    <row r="628" spans="1:3" x14ac:dyDescent="0.25">
      <c r="A628" s="4">
        <v>41886</v>
      </c>
      <c r="B628" s="3">
        <v>16.110001</v>
      </c>
      <c r="C628">
        <f t="shared" si="25"/>
        <v>5.6023176219144226E-3</v>
      </c>
    </row>
    <row r="629" spans="1:3" x14ac:dyDescent="0.25">
      <c r="A629" s="4">
        <v>41885</v>
      </c>
      <c r="B629" s="3">
        <v>16.100000000000001</v>
      </c>
      <c r="C629">
        <f t="shared" si="25"/>
        <v>-6.2098727171014704E-4</v>
      </c>
    </row>
    <row r="630" spans="1:3" x14ac:dyDescent="0.25">
      <c r="A630" s="4">
        <v>41884</v>
      </c>
      <c r="B630" s="3">
        <v>16.27</v>
      </c>
      <c r="C630">
        <f t="shared" si="25"/>
        <v>1.0503649240528996E-2</v>
      </c>
    </row>
    <row r="631" spans="1:3" x14ac:dyDescent="0.25">
      <c r="A631" s="4">
        <v>41880</v>
      </c>
      <c r="B631" s="3">
        <v>16.09</v>
      </c>
      <c r="C631">
        <f t="shared" si="25"/>
        <v>-1.1124960226654526E-2</v>
      </c>
    </row>
    <row r="632" spans="1:3" x14ac:dyDescent="0.25">
      <c r="A632" s="4">
        <v>41879</v>
      </c>
      <c r="B632" s="3">
        <v>16.010000000000002</v>
      </c>
      <c r="C632">
        <f t="shared" si="25"/>
        <v>-4.9844339956684278E-3</v>
      </c>
    </row>
    <row r="633" spans="1:3" x14ac:dyDescent="0.25">
      <c r="A633" s="4">
        <v>41878</v>
      </c>
      <c r="B633" s="3">
        <v>16.200001</v>
      </c>
      <c r="C633">
        <f t="shared" si="25"/>
        <v>1.179777695810815E-2</v>
      </c>
    </row>
    <row r="634" spans="1:3" x14ac:dyDescent="0.25">
      <c r="A634" s="4">
        <v>41877</v>
      </c>
      <c r="B634" s="3">
        <v>16.329999999999998</v>
      </c>
      <c r="C634">
        <f t="shared" si="25"/>
        <v>7.9926030156420805E-3</v>
      </c>
    </row>
    <row r="635" spans="1:3" x14ac:dyDescent="0.25">
      <c r="A635" s="4">
        <v>41876</v>
      </c>
      <c r="B635" s="3">
        <v>16.290001</v>
      </c>
      <c r="C635">
        <f t="shared" si="25"/>
        <v>-2.4524229810675975E-3</v>
      </c>
    </row>
    <row r="636" spans="1:3" x14ac:dyDescent="0.25">
      <c r="A636" s="4">
        <v>41873</v>
      </c>
      <c r="B636" s="3">
        <v>16.129999000000002</v>
      </c>
      <c r="C636">
        <f t="shared" si="25"/>
        <v>-9.8706538604706705E-3</v>
      </c>
    </row>
    <row r="637" spans="1:3" x14ac:dyDescent="0.25">
      <c r="A637" s="4">
        <v>41872</v>
      </c>
      <c r="B637" s="3">
        <v>16.16</v>
      </c>
      <c r="C637">
        <f t="shared" si="25"/>
        <v>1.8582229521138286E-3</v>
      </c>
    </row>
    <row r="638" spans="1:3" x14ac:dyDescent="0.25">
      <c r="A638" s="4">
        <v>41871</v>
      </c>
      <c r="B638" s="3">
        <v>15.52</v>
      </c>
      <c r="C638">
        <f t="shared" si="25"/>
        <v>-4.0409538337876666E-2</v>
      </c>
    </row>
    <row r="639" spans="1:3" x14ac:dyDescent="0.25">
      <c r="A639" s="4">
        <v>41870</v>
      </c>
      <c r="B639" s="3">
        <v>15.45</v>
      </c>
      <c r="C639">
        <f t="shared" si="25"/>
        <v>-4.5205114113182066E-3</v>
      </c>
    </row>
    <row r="640" spans="1:3" x14ac:dyDescent="0.25">
      <c r="A640" s="4">
        <v>41869</v>
      </c>
      <c r="B640" s="3">
        <v>15.45</v>
      </c>
      <c r="C640">
        <f t="shared" si="25"/>
        <v>0</v>
      </c>
    </row>
    <row r="641" spans="1:3" x14ac:dyDescent="0.25">
      <c r="A641" s="4">
        <v>41866</v>
      </c>
      <c r="B641" s="3">
        <v>15.22</v>
      </c>
      <c r="C641">
        <f t="shared" si="25"/>
        <v>-1.4998650910214625E-2</v>
      </c>
    </row>
    <row r="642" spans="1:3" x14ac:dyDescent="0.25">
      <c r="A642" s="4">
        <v>41865</v>
      </c>
      <c r="B642" s="3">
        <v>15.32</v>
      </c>
      <c r="C642">
        <f t="shared" si="25"/>
        <v>6.5488118789054622E-3</v>
      </c>
    </row>
    <row r="643" spans="1:3" x14ac:dyDescent="0.25">
      <c r="A643" s="4">
        <v>41864</v>
      </c>
      <c r="B643" s="3">
        <v>15.25</v>
      </c>
      <c r="C643">
        <f t="shared" si="25"/>
        <v>-4.5796612590246061E-3</v>
      </c>
    </row>
    <row r="644" spans="1:3" x14ac:dyDescent="0.25">
      <c r="A644" s="4">
        <v>41863</v>
      </c>
      <c r="B644" s="3">
        <v>15.21</v>
      </c>
      <c r="C644">
        <f t="shared" si="25"/>
        <v>-2.6263967822191328E-3</v>
      </c>
    </row>
    <row r="645" spans="1:3" x14ac:dyDescent="0.25">
      <c r="A645" s="4">
        <v>41862</v>
      </c>
      <c r="B645" s="3">
        <v>15.22</v>
      </c>
      <c r="C645">
        <f t="shared" si="25"/>
        <v>6.5724616233822023E-4</v>
      </c>
    </row>
    <row r="646" spans="1:3" x14ac:dyDescent="0.25">
      <c r="A646" s="4">
        <v>41859</v>
      </c>
      <c r="B646" s="3">
        <v>15.2</v>
      </c>
      <c r="C646">
        <f t="shared" ref="C646:C709" si="26">LN(B646/B645)</f>
        <v>-1.31492458130914E-3</v>
      </c>
    </row>
    <row r="647" spans="1:3" x14ac:dyDescent="0.25">
      <c r="A647" s="4">
        <v>41858</v>
      </c>
      <c r="B647" s="3">
        <v>15.12</v>
      </c>
      <c r="C647">
        <f t="shared" si="26"/>
        <v>-5.2770571008437812E-3</v>
      </c>
    </row>
    <row r="648" spans="1:3" x14ac:dyDescent="0.25">
      <c r="A648" s="4">
        <v>41857</v>
      </c>
      <c r="B648" s="3">
        <v>15.2</v>
      </c>
      <c r="C648">
        <f t="shared" si="26"/>
        <v>5.2770571008438193E-3</v>
      </c>
    </row>
    <row r="649" spans="1:3" x14ac:dyDescent="0.25">
      <c r="A649" s="4">
        <v>41856</v>
      </c>
      <c r="B649" s="3">
        <v>15</v>
      </c>
      <c r="C649">
        <f t="shared" si="26"/>
        <v>-1.3245226750020567E-2</v>
      </c>
    </row>
    <row r="650" spans="1:3" x14ac:dyDescent="0.25">
      <c r="A650" s="4">
        <v>41855</v>
      </c>
      <c r="B650" s="3">
        <v>15.05</v>
      </c>
      <c r="C650">
        <f t="shared" si="26"/>
        <v>3.3277900926747457E-3</v>
      </c>
    </row>
    <row r="651" spans="1:3" x14ac:dyDescent="0.25">
      <c r="A651" s="4">
        <v>41852</v>
      </c>
      <c r="B651" s="3">
        <v>14.98</v>
      </c>
      <c r="C651">
        <f t="shared" si="26"/>
        <v>-4.6620131058113011E-3</v>
      </c>
    </row>
    <row r="652" spans="1:3" x14ac:dyDescent="0.25">
      <c r="A652" s="4">
        <v>41851</v>
      </c>
      <c r="B652" s="3">
        <v>15.25</v>
      </c>
      <c r="C652">
        <f t="shared" si="26"/>
        <v>1.7863524964347205E-2</v>
      </c>
    </row>
    <row r="653" spans="1:3" x14ac:dyDescent="0.25">
      <c r="A653" s="4">
        <v>41850</v>
      </c>
      <c r="B653" s="3">
        <v>15.58</v>
      </c>
      <c r="C653">
        <f t="shared" si="26"/>
        <v>2.1408537389181574E-2</v>
      </c>
    </row>
    <row r="654" spans="1:3" x14ac:dyDescent="0.25">
      <c r="A654" s="4">
        <v>41849</v>
      </c>
      <c r="B654" s="3">
        <v>15.34</v>
      </c>
      <c r="C654">
        <f t="shared" si="26"/>
        <v>-1.5524244503492116E-2</v>
      </c>
    </row>
    <row r="655" spans="1:3" x14ac:dyDescent="0.25">
      <c r="A655" s="4">
        <v>41848</v>
      </c>
      <c r="B655" s="3">
        <v>15.5</v>
      </c>
      <c r="C655">
        <f t="shared" si="26"/>
        <v>1.0376227986090798E-2</v>
      </c>
    </row>
    <row r="656" spans="1:3" x14ac:dyDescent="0.25">
      <c r="A656" s="4">
        <v>41845</v>
      </c>
      <c r="B656" s="3">
        <v>15.59</v>
      </c>
      <c r="C656">
        <f t="shared" si="26"/>
        <v>5.789659144484263E-3</v>
      </c>
    </row>
    <row r="657" spans="1:3" x14ac:dyDescent="0.25">
      <c r="A657" s="4">
        <v>41844</v>
      </c>
      <c r="B657" s="3">
        <v>15.62</v>
      </c>
      <c r="C657">
        <f t="shared" si="26"/>
        <v>1.9224613418546896E-3</v>
      </c>
    </row>
    <row r="658" spans="1:3" x14ac:dyDescent="0.25">
      <c r="A658" s="4">
        <v>41843</v>
      </c>
      <c r="B658" s="3">
        <v>15.52</v>
      </c>
      <c r="C658">
        <f t="shared" si="26"/>
        <v>-6.4226296564672469E-3</v>
      </c>
    </row>
    <row r="659" spans="1:3" x14ac:dyDescent="0.25">
      <c r="A659" s="4">
        <v>41842</v>
      </c>
      <c r="B659" s="3">
        <v>15.52</v>
      </c>
      <c r="C659">
        <f t="shared" si="26"/>
        <v>0</v>
      </c>
    </row>
    <row r="660" spans="1:3" x14ac:dyDescent="0.25">
      <c r="A660" s="4">
        <v>41841</v>
      </c>
      <c r="B660" s="3">
        <v>15.52</v>
      </c>
      <c r="C660">
        <f t="shared" si="26"/>
        <v>0</v>
      </c>
    </row>
    <row r="661" spans="1:3" x14ac:dyDescent="0.25">
      <c r="A661" s="4">
        <v>41838</v>
      </c>
      <c r="B661" s="3">
        <v>15.49</v>
      </c>
      <c r="C661">
        <f t="shared" si="26"/>
        <v>-1.9348603262954217E-3</v>
      </c>
    </row>
    <row r="662" spans="1:3" x14ac:dyDescent="0.25">
      <c r="A662" s="4">
        <v>41837</v>
      </c>
      <c r="B662" s="3">
        <v>15.2</v>
      </c>
      <c r="C662">
        <f t="shared" si="26"/>
        <v>-1.8899226576546628E-2</v>
      </c>
    </row>
    <row r="663" spans="1:3" x14ac:dyDescent="0.25">
      <c r="A663" s="4">
        <v>41836</v>
      </c>
      <c r="B663" s="3">
        <v>15.51</v>
      </c>
      <c r="C663">
        <f t="shared" si="26"/>
        <v>2.018954933621684E-2</v>
      </c>
    </row>
    <row r="664" spans="1:3" x14ac:dyDescent="0.25">
      <c r="A664" s="4">
        <v>41835</v>
      </c>
      <c r="B664" s="3">
        <v>15.81</v>
      </c>
      <c r="C664">
        <f t="shared" si="26"/>
        <v>1.9157674032933183E-2</v>
      </c>
    </row>
    <row r="665" spans="1:3" x14ac:dyDescent="0.25">
      <c r="A665" s="4">
        <v>41834</v>
      </c>
      <c r="B665" s="3">
        <v>15.57</v>
      </c>
      <c r="C665">
        <f t="shared" si="26"/>
        <v>-1.5296665375473648E-2</v>
      </c>
    </row>
    <row r="666" spans="1:3" x14ac:dyDescent="0.25">
      <c r="A666" s="4">
        <v>41831</v>
      </c>
      <c r="B666" s="3">
        <v>15.38</v>
      </c>
      <c r="C666">
        <f t="shared" si="26"/>
        <v>-1.2278021768409008E-2</v>
      </c>
    </row>
    <row r="667" spans="1:3" x14ac:dyDescent="0.25">
      <c r="A667" s="4">
        <v>41830</v>
      </c>
      <c r="B667" s="3">
        <v>15.44</v>
      </c>
      <c r="C667">
        <f t="shared" si="26"/>
        <v>3.8935805191320197E-3</v>
      </c>
    </row>
    <row r="668" spans="1:3" x14ac:dyDescent="0.25">
      <c r="A668" s="4">
        <v>41829</v>
      </c>
      <c r="B668" s="3">
        <v>15.6</v>
      </c>
      <c r="C668">
        <f t="shared" si="26"/>
        <v>1.0309369658861287E-2</v>
      </c>
    </row>
    <row r="669" spans="1:3" x14ac:dyDescent="0.25">
      <c r="A669" s="4">
        <v>41828</v>
      </c>
      <c r="B669" s="3">
        <v>15.58</v>
      </c>
      <c r="C669">
        <f t="shared" si="26"/>
        <v>-1.2828738128891524E-3</v>
      </c>
    </row>
    <row r="670" spans="1:3" x14ac:dyDescent="0.25">
      <c r="A670" s="4">
        <v>41827</v>
      </c>
      <c r="B670" s="3">
        <v>15.94</v>
      </c>
      <c r="C670">
        <f t="shared" si="26"/>
        <v>2.2843632919466828E-2</v>
      </c>
    </row>
    <row r="671" spans="1:3" x14ac:dyDescent="0.25">
      <c r="A671" s="4">
        <v>41823</v>
      </c>
      <c r="B671" s="3">
        <v>16.030000999999999</v>
      </c>
      <c r="C671">
        <f t="shared" si="26"/>
        <v>5.6303556424223784E-3</v>
      </c>
    </row>
    <row r="672" spans="1:3" x14ac:dyDescent="0.25">
      <c r="A672" s="4">
        <v>41822</v>
      </c>
      <c r="B672" s="3">
        <v>15.85</v>
      </c>
      <c r="C672">
        <f t="shared" si="26"/>
        <v>-1.129252868120178E-2</v>
      </c>
    </row>
    <row r="673" spans="1:3" x14ac:dyDescent="0.25">
      <c r="A673" s="4">
        <v>41821</v>
      </c>
      <c r="B673" s="3">
        <v>15.6</v>
      </c>
      <c r="C673">
        <f t="shared" si="26"/>
        <v>-1.5898586067798273E-2</v>
      </c>
    </row>
    <row r="674" spans="1:3" x14ac:dyDescent="0.25">
      <c r="A674" s="4">
        <v>41820</v>
      </c>
      <c r="B674" s="3">
        <v>15.37</v>
      </c>
      <c r="C674">
        <f t="shared" si="26"/>
        <v>-1.4853356704986928E-2</v>
      </c>
    </row>
    <row r="675" spans="1:3" x14ac:dyDescent="0.25">
      <c r="A675" s="4">
        <v>41817</v>
      </c>
      <c r="B675" s="3">
        <v>15.33</v>
      </c>
      <c r="C675">
        <f t="shared" si="26"/>
        <v>-2.6058646667816735E-3</v>
      </c>
    </row>
    <row r="676" spans="1:3" x14ac:dyDescent="0.25">
      <c r="A676" s="4">
        <v>41816</v>
      </c>
      <c r="B676" s="3">
        <v>15.41</v>
      </c>
      <c r="C676">
        <f t="shared" si="26"/>
        <v>5.2049564483016243E-3</v>
      </c>
    </row>
    <row r="677" spans="1:3" x14ac:dyDescent="0.25">
      <c r="A677" s="4">
        <v>41815</v>
      </c>
      <c r="B677" s="3">
        <v>15.47</v>
      </c>
      <c r="C677">
        <f t="shared" si="26"/>
        <v>3.8860152529504016E-3</v>
      </c>
    </row>
    <row r="678" spans="1:3" x14ac:dyDescent="0.25">
      <c r="A678" s="4">
        <v>41814</v>
      </c>
      <c r="B678" s="3">
        <v>15.49</v>
      </c>
      <c r="C678">
        <f t="shared" si="26"/>
        <v>1.2919898438025052E-3</v>
      </c>
    </row>
    <row r="679" spans="1:3" x14ac:dyDescent="0.25">
      <c r="A679" s="4">
        <v>41813</v>
      </c>
      <c r="B679" s="3">
        <v>15.64</v>
      </c>
      <c r="C679">
        <f t="shared" si="26"/>
        <v>9.6370806883876725E-3</v>
      </c>
    </row>
    <row r="680" spans="1:3" x14ac:dyDescent="0.25">
      <c r="A680" s="4">
        <v>41810</v>
      </c>
      <c r="B680" s="3">
        <v>15.45</v>
      </c>
      <c r="C680">
        <f t="shared" si="26"/>
        <v>-1.222273177341068E-2</v>
      </c>
    </row>
    <row r="681" spans="1:3" x14ac:dyDescent="0.25">
      <c r="A681" s="4">
        <v>41809</v>
      </c>
      <c r="B681" s="3">
        <v>15.55</v>
      </c>
      <c r="C681">
        <f t="shared" si="26"/>
        <v>6.4516352814888165E-3</v>
      </c>
    </row>
    <row r="682" spans="1:3" x14ac:dyDescent="0.25">
      <c r="A682" s="4">
        <v>41808</v>
      </c>
      <c r="B682" s="3">
        <v>15.65</v>
      </c>
      <c r="C682">
        <f t="shared" si="26"/>
        <v>6.4102783609190188E-3</v>
      </c>
    </row>
    <row r="683" spans="1:3" x14ac:dyDescent="0.25">
      <c r="A683" s="4">
        <v>41807</v>
      </c>
      <c r="B683" s="3">
        <v>15.59</v>
      </c>
      <c r="C683">
        <f t="shared" si="26"/>
        <v>-3.8412339164770552E-3</v>
      </c>
    </row>
    <row r="684" spans="1:3" x14ac:dyDescent="0.25">
      <c r="A684" s="4">
        <v>41806</v>
      </c>
      <c r="B684" s="3">
        <v>15.28</v>
      </c>
      <c r="C684">
        <f t="shared" si="26"/>
        <v>-2.0084899331310739E-2</v>
      </c>
    </row>
    <row r="685" spans="1:3" x14ac:dyDescent="0.25">
      <c r="A685" s="4">
        <v>41803</v>
      </c>
      <c r="B685" s="3">
        <v>15.44</v>
      </c>
      <c r="C685">
        <f t="shared" si="26"/>
        <v>1.041676085825558E-2</v>
      </c>
    </row>
    <row r="686" spans="1:3" x14ac:dyDescent="0.25">
      <c r="A686" s="4">
        <v>41802</v>
      </c>
      <c r="B686" s="3">
        <v>15.42</v>
      </c>
      <c r="C686">
        <f t="shared" si="26"/>
        <v>-1.2961764614466856E-3</v>
      </c>
    </row>
    <row r="687" spans="1:3" x14ac:dyDescent="0.25">
      <c r="A687" s="4">
        <v>41801</v>
      </c>
      <c r="B687" s="3">
        <v>15.59</v>
      </c>
      <c r="C687">
        <f t="shared" si="26"/>
        <v>1.0964314934501682E-2</v>
      </c>
    </row>
    <row r="688" spans="1:3" x14ac:dyDescent="0.25">
      <c r="A688" s="4">
        <v>41800</v>
      </c>
      <c r="B688" s="3">
        <v>15.92</v>
      </c>
      <c r="C688">
        <f t="shared" si="26"/>
        <v>2.0946497346551747E-2</v>
      </c>
    </row>
    <row r="689" spans="1:3" x14ac:dyDescent="0.25">
      <c r="A689" s="4">
        <v>41799</v>
      </c>
      <c r="B689" s="3">
        <v>15.84</v>
      </c>
      <c r="C689">
        <f t="shared" si="26"/>
        <v>-5.0377940299571808E-3</v>
      </c>
    </row>
    <row r="690" spans="1:3" x14ac:dyDescent="0.25">
      <c r="A690" s="4">
        <v>41796</v>
      </c>
      <c r="B690" s="3">
        <v>15.59</v>
      </c>
      <c r="C690">
        <f t="shared" si="26"/>
        <v>-1.590870331659465E-2</v>
      </c>
    </row>
    <row r="691" spans="1:3" x14ac:dyDescent="0.25">
      <c r="A691" s="4">
        <v>41795</v>
      </c>
      <c r="B691" s="3">
        <v>15.43</v>
      </c>
      <c r="C691">
        <f t="shared" si="26"/>
        <v>-1.0316016694615699E-2</v>
      </c>
    </row>
    <row r="692" spans="1:3" x14ac:dyDescent="0.25">
      <c r="A692" s="4">
        <v>41794</v>
      </c>
      <c r="B692" s="3">
        <v>15.21</v>
      </c>
      <c r="C692">
        <f t="shared" si="26"/>
        <v>-1.4360560103867874E-2</v>
      </c>
    </row>
    <row r="693" spans="1:3" x14ac:dyDescent="0.25">
      <c r="A693" s="4">
        <v>41793</v>
      </c>
      <c r="B693" s="3">
        <v>15.21</v>
      </c>
      <c r="C693">
        <f t="shared" si="26"/>
        <v>0</v>
      </c>
    </row>
    <row r="694" spans="1:3" x14ac:dyDescent="0.25">
      <c r="A694" s="4">
        <v>41792</v>
      </c>
      <c r="B694" s="3">
        <v>15.26</v>
      </c>
      <c r="C694">
        <f t="shared" si="26"/>
        <v>3.2819195851093294E-3</v>
      </c>
    </row>
    <row r="695" spans="1:3" x14ac:dyDescent="0.25">
      <c r="A695" s="4">
        <v>41789</v>
      </c>
      <c r="B695" s="3">
        <v>15.14</v>
      </c>
      <c r="C695">
        <f t="shared" si="26"/>
        <v>-7.8947778470081498E-3</v>
      </c>
    </row>
    <row r="696" spans="1:3" x14ac:dyDescent="0.25">
      <c r="A696" s="4">
        <v>41788</v>
      </c>
      <c r="B696" s="3">
        <v>15.15</v>
      </c>
      <c r="C696">
        <f t="shared" si="26"/>
        <v>6.6028394607550972E-4</v>
      </c>
    </row>
    <row r="697" spans="1:3" x14ac:dyDescent="0.25">
      <c r="A697" s="4">
        <v>41787</v>
      </c>
      <c r="B697" s="3">
        <v>15.14</v>
      </c>
      <c r="C697">
        <f t="shared" si="26"/>
        <v>-6.6028394607539468E-4</v>
      </c>
    </row>
    <row r="698" spans="1:3" x14ac:dyDescent="0.25">
      <c r="A698" s="4">
        <v>41786</v>
      </c>
      <c r="B698" s="3">
        <v>15.22</v>
      </c>
      <c r="C698">
        <f t="shared" si="26"/>
        <v>5.2701044242370234E-3</v>
      </c>
    </row>
    <row r="699" spans="1:3" x14ac:dyDescent="0.25">
      <c r="A699" s="4">
        <v>41782</v>
      </c>
      <c r="B699" s="3">
        <v>14.72</v>
      </c>
      <c r="C699">
        <f t="shared" si="26"/>
        <v>-3.3403239132809591E-2</v>
      </c>
    </row>
    <row r="700" spans="1:3" x14ac:dyDescent="0.25">
      <c r="A700" s="4">
        <v>41781</v>
      </c>
      <c r="B700" s="3">
        <v>14.71</v>
      </c>
      <c r="C700">
        <f t="shared" si="26"/>
        <v>-6.7957868738399067E-4</v>
      </c>
    </row>
    <row r="701" spans="1:3" x14ac:dyDescent="0.25">
      <c r="A701" s="4">
        <v>41780</v>
      </c>
      <c r="B701" s="3">
        <v>14.61</v>
      </c>
      <c r="C701">
        <f t="shared" si="26"/>
        <v>-6.821308850738078E-3</v>
      </c>
    </row>
    <row r="702" spans="1:3" x14ac:dyDescent="0.25">
      <c r="A702" s="4">
        <v>41779</v>
      </c>
      <c r="B702" s="3">
        <v>14.53</v>
      </c>
      <c r="C702">
        <f t="shared" si="26"/>
        <v>-5.4907481804166228E-3</v>
      </c>
    </row>
    <row r="703" spans="1:3" x14ac:dyDescent="0.25">
      <c r="A703" s="4">
        <v>41778</v>
      </c>
      <c r="B703" s="3">
        <v>14.67</v>
      </c>
      <c r="C703">
        <f t="shared" si="26"/>
        <v>9.5891145726989431E-3</v>
      </c>
    </row>
    <row r="704" spans="1:3" x14ac:dyDescent="0.25">
      <c r="A704" s="4">
        <v>41775</v>
      </c>
      <c r="B704" s="3">
        <v>14.51</v>
      </c>
      <c r="C704">
        <f t="shared" si="26"/>
        <v>-1.096652525879387E-2</v>
      </c>
    </row>
    <row r="705" spans="1:3" x14ac:dyDescent="0.25">
      <c r="A705" s="4">
        <v>41774</v>
      </c>
      <c r="B705" s="3">
        <v>14.55</v>
      </c>
      <c r="C705">
        <f t="shared" si="26"/>
        <v>2.7529267214050799E-3</v>
      </c>
    </row>
    <row r="706" spans="1:3" x14ac:dyDescent="0.25">
      <c r="A706" s="4">
        <v>41773</v>
      </c>
      <c r="B706" s="3">
        <v>14.84</v>
      </c>
      <c r="C706">
        <f t="shared" si="26"/>
        <v>1.97352441217328E-2</v>
      </c>
    </row>
    <row r="707" spans="1:3" x14ac:dyDescent="0.25">
      <c r="A707" s="4">
        <v>41772</v>
      </c>
      <c r="B707" s="3">
        <v>15.03</v>
      </c>
      <c r="C707">
        <f t="shared" si="26"/>
        <v>1.2721966025648596E-2</v>
      </c>
    </row>
    <row r="708" spans="1:3" x14ac:dyDescent="0.25">
      <c r="A708" s="4">
        <v>41771</v>
      </c>
      <c r="B708" s="3">
        <v>15.07</v>
      </c>
      <c r="C708">
        <f t="shared" si="26"/>
        <v>2.6578088735210396E-3</v>
      </c>
    </row>
    <row r="709" spans="1:3" x14ac:dyDescent="0.25">
      <c r="A709" s="4">
        <v>41768</v>
      </c>
      <c r="B709" s="3">
        <v>14.74</v>
      </c>
      <c r="C709">
        <f t="shared" si="26"/>
        <v>-2.2141125877213518E-2</v>
      </c>
    </row>
    <row r="710" spans="1:3" x14ac:dyDescent="0.25">
      <c r="A710" s="4">
        <v>41767</v>
      </c>
      <c r="B710" s="3">
        <v>14.93</v>
      </c>
      <c r="C710">
        <f t="shared" ref="C710:C773" si="27">LN(B710/B709)</f>
        <v>1.280772478990836E-2</v>
      </c>
    </row>
    <row r="711" spans="1:3" x14ac:dyDescent="0.25">
      <c r="A711" s="4">
        <v>41766</v>
      </c>
      <c r="B711" s="3">
        <v>14.8</v>
      </c>
      <c r="C711">
        <f t="shared" si="27"/>
        <v>-8.7454307810295433E-3</v>
      </c>
    </row>
    <row r="712" spans="1:3" x14ac:dyDescent="0.25">
      <c r="A712" s="4">
        <v>41765</v>
      </c>
      <c r="B712" s="3">
        <v>14.73</v>
      </c>
      <c r="C712">
        <f t="shared" si="27"/>
        <v>-4.7409502955304845E-3</v>
      </c>
    </row>
    <row r="713" spans="1:3" x14ac:dyDescent="0.25">
      <c r="A713" s="4">
        <v>41764</v>
      </c>
      <c r="B713" s="3">
        <v>15.08</v>
      </c>
      <c r="C713">
        <f t="shared" si="27"/>
        <v>2.3483132105271011E-2</v>
      </c>
    </row>
    <row r="714" spans="1:3" x14ac:dyDescent="0.25">
      <c r="A714" s="4">
        <v>41761</v>
      </c>
      <c r="B714" s="3">
        <v>15.25</v>
      </c>
      <c r="C714">
        <f t="shared" si="27"/>
        <v>1.1210140473610516E-2</v>
      </c>
    </row>
    <row r="715" spans="1:3" x14ac:dyDescent="0.25">
      <c r="A715" s="4">
        <v>41760</v>
      </c>
      <c r="B715" s="3">
        <v>15.09</v>
      </c>
      <c r="C715">
        <f t="shared" si="27"/>
        <v>-1.0547230273663059E-2</v>
      </c>
    </row>
    <row r="716" spans="1:3" x14ac:dyDescent="0.25">
      <c r="A716" s="4">
        <v>41759</v>
      </c>
      <c r="B716" s="3">
        <v>15.14</v>
      </c>
      <c r="C716">
        <f t="shared" si="27"/>
        <v>3.3079752295453405E-3</v>
      </c>
    </row>
    <row r="717" spans="1:3" x14ac:dyDescent="0.25">
      <c r="A717" s="4">
        <v>41758</v>
      </c>
      <c r="B717" s="3">
        <v>15.24</v>
      </c>
      <c r="C717">
        <f t="shared" si="27"/>
        <v>6.5833022491973963E-3</v>
      </c>
    </row>
    <row r="718" spans="1:3" x14ac:dyDescent="0.25">
      <c r="A718" s="4">
        <v>41757</v>
      </c>
      <c r="B718" s="3">
        <v>14.95</v>
      </c>
      <c r="C718">
        <f t="shared" si="27"/>
        <v>-1.9212250421804897E-2</v>
      </c>
    </row>
    <row r="719" spans="1:3" x14ac:dyDescent="0.25">
      <c r="A719" s="4">
        <v>41754</v>
      </c>
      <c r="B719" s="3">
        <v>15.95</v>
      </c>
      <c r="C719">
        <f t="shared" si="27"/>
        <v>6.4747529394158107E-2</v>
      </c>
    </row>
    <row r="720" spans="1:3" x14ac:dyDescent="0.25">
      <c r="A720" s="4">
        <v>41753</v>
      </c>
      <c r="B720" s="3">
        <v>16.34</v>
      </c>
      <c r="C720">
        <f t="shared" si="27"/>
        <v>2.4157260201003176E-2</v>
      </c>
    </row>
    <row r="721" spans="1:3" x14ac:dyDescent="0.25">
      <c r="A721" s="4">
        <v>41752</v>
      </c>
      <c r="B721" s="3">
        <v>16.370000999999998</v>
      </c>
      <c r="C721">
        <f t="shared" si="27"/>
        <v>1.8343630385396865E-3</v>
      </c>
    </row>
    <row r="722" spans="1:3" x14ac:dyDescent="0.25">
      <c r="A722" s="4">
        <v>41751</v>
      </c>
      <c r="B722" s="3">
        <v>16.290001</v>
      </c>
      <c r="C722">
        <f t="shared" si="27"/>
        <v>-4.8989684690904306E-3</v>
      </c>
    </row>
    <row r="723" spans="1:3" x14ac:dyDescent="0.25">
      <c r="A723" s="4">
        <v>41750</v>
      </c>
      <c r="B723" s="3">
        <v>16.09</v>
      </c>
      <c r="C723">
        <f t="shared" si="27"/>
        <v>-1.2353522997014263E-2</v>
      </c>
    </row>
    <row r="724" spans="1:3" x14ac:dyDescent="0.25">
      <c r="A724" s="4">
        <v>41746</v>
      </c>
      <c r="B724" s="3">
        <v>16.149999999999999</v>
      </c>
      <c r="C724">
        <f t="shared" si="27"/>
        <v>3.7220886643735515E-3</v>
      </c>
    </row>
    <row r="725" spans="1:3" x14ac:dyDescent="0.25">
      <c r="A725" s="4">
        <v>41745</v>
      </c>
      <c r="B725" s="3">
        <v>16.129999000000002</v>
      </c>
      <c r="C725">
        <f t="shared" si="27"/>
        <v>-1.2392195278300034E-3</v>
      </c>
    </row>
    <row r="726" spans="1:3" x14ac:dyDescent="0.25">
      <c r="A726" s="4">
        <v>41744</v>
      </c>
      <c r="B726" s="3">
        <v>16.389999</v>
      </c>
      <c r="C726">
        <f t="shared" si="27"/>
        <v>1.5990501602088238E-2</v>
      </c>
    </row>
    <row r="727" spans="1:3" x14ac:dyDescent="0.25">
      <c r="A727" s="4">
        <v>41743</v>
      </c>
      <c r="B727" s="3">
        <v>16</v>
      </c>
      <c r="C727">
        <f t="shared" si="27"/>
        <v>-2.4082609503142501E-2</v>
      </c>
    </row>
    <row r="728" spans="1:3" x14ac:dyDescent="0.25">
      <c r="A728" s="4">
        <v>41740</v>
      </c>
      <c r="B728" s="3">
        <v>15.77</v>
      </c>
      <c r="C728">
        <f t="shared" si="27"/>
        <v>-1.447932126483425E-2</v>
      </c>
    </row>
    <row r="729" spans="1:3" x14ac:dyDescent="0.25">
      <c r="A729" s="4">
        <v>41739</v>
      </c>
      <c r="B729" s="3">
        <v>16.120000999999998</v>
      </c>
      <c r="C729">
        <f t="shared" si="27"/>
        <v>2.1951398138272578E-2</v>
      </c>
    </row>
    <row r="730" spans="1:3" x14ac:dyDescent="0.25">
      <c r="A730" s="4">
        <v>41738</v>
      </c>
      <c r="B730" s="3">
        <v>16.620000999999998</v>
      </c>
      <c r="C730">
        <f t="shared" si="27"/>
        <v>3.0546050482552344E-2</v>
      </c>
    </row>
    <row r="731" spans="1:3" x14ac:dyDescent="0.25">
      <c r="A731" s="4">
        <v>41737</v>
      </c>
      <c r="B731" s="3">
        <v>16.440000999999999</v>
      </c>
      <c r="C731">
        <f t="shared" si="27"/>
        <v>-1.0889399140489458E-2</v>
      </c>
    </row>
    <row r="732" spans="1:3" x14ac:dyDescent="0.25">
      <c r="A732" s="4">
        <v>41736</v>
      </c>
      <c r="B732" s="3">
        <v>16.379999000000002</v>
      </c>
      <c r="C732">
        <f t="shared" si="27"/>
        <v>-3.6564330804220412E-3</v>
      </c>
    </row>
    <row r="733" spans="1:3" x14ac:dyDescent="0.25">
      <c r="A733" s="4">
        <v>41733</v>
      </c>
      <c r="B733" s="3">
        <v>16.719999000000001</v>
      </c>
      <c r="C733">
        <f t="shared" si="27"/>
        <v>2.0544530473080792E-2</v>
      </c>
    </row>
    <row r="734" spans="1:3" x14ac:dyDescent="0.25">
      <c r="A734" s="4">
        <v>41732</v>
      </c>
      <c r="B734" s="3">
        <v>17.149999999999999</v>
      </c>
      <c r="C734">
        <f t="shared" si="27"/>
        <v>2.5392625764007512E-2</v>
      </c>
    </row>
    <row r="735" spans="1:3" x14ac:dyDescent="0.25">
      <c r="A735" s="4">
        <v>41731</v>
      </c>
      <c r="B735" s="3">
        <v>17.23</v>
      </c>
      <c r="C735">
        <f t="shared" si="27"/>
        <v>4.653876927889356E-3</v>
      </c>
    </row>
    <row r="736" spans="1:3" x14ac:dyDescent="0.25">
      <c r="A736" s="4">
        <v>41730</v>
      </c>
      <c r="B736" s="3">
        <v>17.34</v>
      </c>
      <c r="C736">
        <f t="shared" si="27"/>
        <v>6.3639208125574097E-3</v>
      </c>
    </row>
    <row r="737" spans="1:3" x14ac:dyDescent="0.25">
      <c r="A737" s="4">
        <v>41729</v>
      </c>
      <c r="B737" s="3">
        <v>17.200001</v>
      </c>
      <c r="C737">
        <f t="shared" si="27"/>
        <v>-8.1065293934552696E-3</v>
      </c>
    </row>
    <row r="738" spans="1:3" x14ac:dyDescent="0.25">
      <c r="A738" s="4">
        <v>41726</v>
      </c>
      <c r="B738" s="3">
        <v>16.98</v>
      </c>
      <c r="C738">
        <f t="shared" si="27"/>
        <v>-1.2873261075739271E-2</v>
      </c>
    </row>
    <row r="739" spans="1:3" x14ac:dyDescent="0.25">
      <c r="A739" s="4">
        <v>41725</v>
      </c>
      <c r="B739" s="3">
        <v>17.010000000000002</v>
      </c>
      <c r="C739">
        <f t="shared" si="27"/>
        <v>1.7652255245691492E-3</v>
      </c>
    </row>
    <row r="740" spans="1:3" x14ac:dyDescent="0.25">
      <c r="A740" s="4">
        <v>41724</v>
      </c>
      <c r="B740" s="3">
        <v>17.18</v>
      </c>
      <c r="C740">
        <f t="shared" si="27"/>
        <v>9.9445101483388258E-3</v>
      </c>
    </row>
    <row r="741" spans="1:3" x14ac:dyDescent="0.25">
      <c r="A741" s="4">
        <v>41723</v>
      </c>
      <c r="B741" s="3">
        <v>17.209999</v>
      </c>
      <c r="C741">
        <f t="shared" si="27"/>
        <v>1.7446355615846794E-3</v>
      </c>
    </row>
    <row r="742" spans="1:3" x14ac:dyDescent="0.25">
      <c r="A742" s="4">
        <v>41722</v>
      </c>
      <c r="B742" s="3">
        <v>17.370000999999998</v>
      </c>
      <c r="C742">
        <f t="shared" si="27"/>
        <v>9.2540857058417882E-3</v>
      </c>
    </row>
    <row r="743" spans="1:3" x14ac:dyDescent="0.25">
      <c r="A743" s="4">
        <v>41719</v>
      </c>
      <c r="B743" s="3">
        <v>17.559999000000001</v>
      </c>
      <c r="C743">
        <f t="shared" si="27"/>
        <v>1.0878893435825245E-2</v>
      </c>
    </row>
    <row r="744" spans="1:3" x14ac:dyDescent="0.25">
      <c r="A744" s="4">
        <v>41718</v>
      </c>
      <c r="B744" s="3">
        <v>17.920000000000002</v>
      </c>
      <c r="C744">
        <f t="shared" si="27"/>
        <v>2.0293876287423671E-2</v>
      </c>
    </row>
    <row r="745" spans="1:3" x14ac:dyDescent="0.25">
      <c r="A745" s="4">
        <v>41717</v>
      </c>
      <c r="B745" s="3">
        <v>17.440000999999999</v>
      </c>
      <c r="C745">
        <f t="shared" si="27"/>
        <v>-2.7150931726503073E-2</v>
      </c>
    </row>
    <row r="746" spans="1:3" x14ac:dyDescent="0.25">
      <c r="A746" s="4">
        <v>41716</v>
      </c>
      <c r="B746" s="3">
        <v>17.190000999999999</v>
      </c>
      <c r="C746">
        <f t="shared" si="27"/>
        <v>-1.4438598252168691E-2</v>
      </c>
    </row>
    <row r="747" spans="1:3" x14ac:dyDescent="0.25">
      <c r="A747" s="4">
        <v>41715</v>
      </c>
      <c r="B747" s="3">
        <v>17.110001</v>
      </c>
      <c r="C747">
        <f t="shared" si="27"/>
        <v>-4.6647312186586798E-3</v>
      </c>
    </row>
    <row r="748" spans="1:3" x14ac:dyDescent="0.25">
      <c r="A748" s="4">
        <v>41712</v>
      </c>
      <c r="B748" s="3">
        <v>16.799999</v>
      </c>
      <c r="C748">
        <f t="shared" si="27"/>
        <v>-1.8284319464052137E-2</v>
      </c>
    </row>
    <row r="749" spans="1:3" x14ac:dyDescent="0.25">
      <c r="A749" s="4">
        <v>41711</v>
      </c>
      <c r="B749" s="3">
        <v>17.16</v>
      </c>
      <c r="C749">
        <f t="shared" si="27"/>
        <v>2.1202267174414209E-2</v>
      </c>
    </row>
    <row r="750" spans="1:3" x14ac:dyDescent="0.25">
      <c r="A750" s="4">
        <v>41710</v>
      </c>
      <c r="B750" s="3">
        <v>17.280000999999999</v>
      </c>
      <c r="C750">
        <f t="shared" si="27"/>
        <v>6.9687271864619701E-3</v>
      </c>
    </row>
    <row r="751" spans="1:3" x14ac:dyDescent="0.25">
      <c r="A751" s="4">
        <v>41709</v>
      </c>
      <c r="B751" s="3">
        <v>17.27</v>
      </c>
      <c r="C751">
        <f t="shared" si="27"/>
        <v>-5.7892908769099233E-4</v>
      </c>
    </row>
    <row r="752" spans="1:3" x14ac:dyDescent="0.25">
      <c r="A752" s="4">
        <v>41708</v>
      </c>
      <c r="B752" s="3">
        <v>17.469999000000001</v>
      </c>
      <c r="C752">
        <f t="shared" si="27"/>
        <v>1.1514174746391907E-2</v>
      </c>
    </row>
    <row r="753" spans="1:3" x14ac:dyDescent="0.25">
      <c r="A753" s="4">
        <v>41705</v>
      </c>
      <c r="B753" s="3">
        <v>17.329999999999998</v>
      </c>
      <c r="C753">
        <f t="shared" si="27"/>
        <v>-8.045963177464522E-3</v>
      </c>
    </row>
    <row r="754" spans="1:3" x14ac:dyDescent="0.25">
      <c r="A754" s="4">
        <v>41704</v>
      </c>
      <c r="B754" s="3">
        <v>17.350000000000001</v>
      </c>
      <c r="C754">
        <f t="shared" si="27"/>
        <v>1.1534026653536773E-3</v>
      </c>
    </row>
    <row r="755" spans="1:3" x14ac:dyDescent="0.25">
      <c r="A755" s="4">
        <v>41703</v>
      </c>
      <c r="B755" s="3">
        <v>17.25</v>
      </c>
      <c r="C755">
        <f t="shared" si="27"/>
        <v>-5.7803629154995371E-3</v>
      </c>
    </row>
    <row r="756" spans="1:3" x14ac:dyDescent="0.25">
      <c r="A756" s="4">
        <v>41702</v>
      </c>
      <c r="B756" s="3">
        <v>16.73</v>
      </c>
      <c r="C756">
        <f t="shared" si="27"/>
        <v>-3.0608628478636154E-2</v>
      </c>
    </row>
    <row r="757" spans="1:3" x14ac:dyDescent="0.25">
      <c r="A757" s="4">
        <v>41701</v>
      </c>
      <c r="B757" s="3">
        <v>16.299999</v>
      </c>
      <c r="C757">
        <f t="shared" si="27"/>
        <v>-2.6038468535711148E-2</v>
      </c>
    </row>
    <row r="758" spans="1:3" x14ac:dyDescent="0.25">
      <c r="A758" s="4">
        <v>41698</v>
      </c>
      <c r="B758" s="3">
        <v>16.530000999999999</v>
      </c>
      <c r="C758">
        <f t="shared" si="27"/>
        <v>1.4011925865977161E-2</v>
      </c>
    </row>
    <row r="759" spans="1:3" x14ac:dyDescent="0.25">
      <c r="A759" s="4">
        <v>41697</v>
      </c>
      <c r="B759" s="3">
        <v>16.489999999999998</v>
      </c>
      <c r="C759">
        <f t="shared" si="27"/>
        <v>-2.4228357574912632E-3</v>
      </c>
    </row>
    <row r="760" spans="1:3" x14ac:dyDescent="0.25">
      <c r="A760" s="4">
        <v>41696</v>
      </c>
      <c r="B760" s="3">
        <v>16.329999999999998</v>
      </c>
      <c r="C760">
        <f t="shared" si="27"/>
        <v>-9.7502295891337548E-3</v>
      </c>
    </row>
    <row r="761" spans="1:3" x14ac:dyDescent="0.25">
      <c r="A761" s="4">
        <v>41695</v>
      </c>
      <c r="B761" s="3">
        <v>16.34</v>
      </c>
      <c r="C761">
        <f t="shared" si="27"/>
        <v>6.1218244948320539E-4</v>
      </c>
    </row>
    <row r="762" spans="1:3" x14ac:dyDescent="0.25">
      <c r="A762" s="4">
        <v>41694</v>
      </c>
      <c r="B762" s="3">
        <v>16.530000999999999</v>
      </c>
      <c r="C762">
        <f t="shared" si="27"/>
        <v>1.1560882897141876E-2</v>
      </c>
    </row>
    <row r="763" spans="1:3" x14ac:dyDescent="0.25">
      <c r="A763" s="4">
        <v>41691</v>
      </c>
      <c r="B763" s="3">
        <v>16.290001</v>
      </c>
      <c r="C763">
        <f t="shared" si="27"/>
        <v>-1.4625488327692535E-2</v>
      </c>
    </row>
    <row r="764" spans="1:3" x14ac:dyDescent="0.25">
      <c r="A764" s="4">
        <v>41690</v>
      </c>
      <c r="B764" s="3">
        <v>16.299999</v>
      </c>
      <c r="C764">
        <f t="shared" si="27"/>
        <v>6.1356246171533676E-4</v>
      </c>
    </row>
    <row r="765" spans="1:3" x14ac:dyDescent="0.25">
      <c r="A765" s="4">
        <v>41689</v>
      </c>
      <c r="B765" s="3">
        <v>16.200001</v>
      </c>
      <c r="C765">
        <f t="shared" si="27"/>
        <v>-6.1537424962899608E-3</v>
      </c>
    </row>
    <row r="766" spans="1:3" x14ac:dyDescent="0.25">
      <c r="A766" s="4">
        <v>41688</v>
      </c>
      <c r="B766" s="3">
        <v>16.469999000000001</v>
      </c>
      <c r="C766">
        <f t="shared" si="27"/>
        <v>1.652917950636142E-2</v>
      </c>
    </row>
    <row r="767" spans="1:3" x14ac:dyDescent="0.25">
      <c r="A767" s="4">
        <v>41684</v>
      </c>
      <c r="B767" s="3">
        <v>16.700001</v>
      </c>
      <c r="C767">
        <f t="shared" si="27"/>
        <v>1.3868295829854225E-2</v>
      </c>
    </row>
    <row r="768" spans="1:3" x14ac:dyDescent="0.25">
      <c r="A768" s="4">
        <v>41683</v>
      </c>
      <c r="B768" s="3">
        <v>16.75</v>
      </c>
      <c r="C768">
        <f t="shared" si="27"/>
        <v>2.9894789681283109E-3</v>
      </c>
    </row>
    <row r="769" spans="1:3" x14ac:dyDescent="0.25">
      <c r="A769" s="4">
        <v>41682</v>
      </c>
      <c r="B769" s="3">
        <v>16.75</v>
      </c>
      <c r="C769">
        <f t="shared" si="27"/>
        <v>0</v>
      </c>
    </row>
    <row r="770" spans="1:3" x14ac:dyDescent="0.25">
      <c r="A770" s="4">
        <v>41681</v>
      </c>
      <c r="B770" s="3">
        <v>16.879999000000002</v>
      </c>
      <c r="C770">
        <f t="shared" si="27"/>
        <v>7.7311716550278325E-3</v>
      </c>
    </row>
    <row r="771" spans="1:3" x14ac:dyDescent="0.25">
      <c r="A771" s="4">
        <v>41680</v>
      </c>
      <c r="B771" s="3">
        <v>16.719999000000001</v>
      </c>
      <c r="C771">
        <f t="shared" si="27"/>
        <v>-9.5238820781618182E-3</v>
      </c>
    </row>
    <row r="772" spans="1:3" x14ac:dyDescent="0.25">
      <c r="A772" s="4">
        <v>41677</v>
      </c>
      <c r="B772" s="3">
        <v>16.82</v>
      </c>
      <c r="C772">
        <f t="shared" si="27"/>
        <v>5.9631066968605928E-3</v>
      </c>
    </row>
    <row r="773" spans="1:3" x14ac:dyDescent="0.25">
      <c r="A773" s="4">
        <v>41676</v>
      </c>
      <c r="B773" s="3">
        <v>16.690000999999999</v>
      </c>
      <c r="C773">
        <f t="shared" si="27"/>
        <v>-7.7588569549427418E-3</v>
      </c>
    </row>
    <row r="774" spans="1:3" x14ac:dyDescent="0.25">
      <c r="A774" s="4">
        <v>41675</v>
      </c>
      <c r="B774" s="3">
        <v>16.399999999999999</v>
      </c>
      <c r="C774">
        <f t="shared" ref="C774:C837" si="28">LN(B774/B773)</f>
        <v>-1.7528462759706674E-2</v>
      </c>
    </row>
    <row r="775" spans="1:3" x14ac:dyDescent="0.25">
      <c r="A775" s="4">
        <v>41674</v>
      </c>
      <c r="B775" s="3">
        <v>16.350000000000001</v>
      </c>
      <c r="C775">
        <f t="shared" si="28"/>
        <v>-3.0534374868901202E-3</v>
      </c>
    </row>
    <row r="776" spans="1:3" x14ac:dyDescent="0.25">
      <c r="A776" s="4">
        <v>41673</v>
      </c>
      <c r="B776" s="3">
        <v>16.350000000000001</v>
      </c>
      <c r="C776">
        <f t="shared" si="28"/>
        <v>0</v>
      </c>
    </row>
    <row r="777" spans="1:3" x14ac:dyDescent="0.25">
      <c r="A777" s="4">
        <v>41670</v>
      </c>
      <c r="B777" s="3">
        <v>16.75</v>
      </c>
      <c r="C777">
        <f t="shared" si="28"/>
        <v>2.4170360927812971E-2</v>
      </c>
    </row>
    <row r="778" spans="1:3" x14ac:dyDescent="0.25">
      <c r="A778" s="4">
        <v>41669</v>
      </c>
      <c r="B778" s="3">
        <v>16.93</v>
      </c>
      <c r="C778">
        <f t="shared" si="28"/>
        <v>1.068893787396844E-2</v>
      </c>
    </row>
    <row r="779" spans="1:3" x14ac:dyDescent="0.25">
      <c r="A779" s="4">
        <v>41668</v>
      </c>
      <c r="B779" s="3">
        <v>16.68</v>
      </c>
      <c r="C779">
        <f t="shared" si="28"/>
        <v>-1.4876799214443199E-2</v>
      </c>
    </row>
    <row r="780" spans="1:3" x14ac:dyDescent="0.25">
      <c r="A780" s="4">
        <v>41667</v>
      </c>
      <c r="B780" s="3">
        <v>16.73</v>
      </c>
      <c r="C780">
        <f t="shared" si="28"/>
        <v>2.9931180681318859E-3</v>
      </c>
    </row>
    <row r="781" spans="1:3" x14ac:dyDescent="0.25">
      <c r="A781" s="4">
        <v>41666</v>
      </c>
      <c r="B781" s="3">
        <v>16.309999000000001</v>
      </c>
      <c r="C781">
        <f t="shared" si="28"/>
        <v>-2.5425159677890396E-2</v>
      </c>
    </row>
    <row r="782" spans="1:3" x14ac:dyDescent="0.25">
      <c r="A782" s="4">
        <v>41663</v>
      </c>
      <c r="B782" s="3">
        <v>16.450001</v>
      </c>
      <c r="C782">
        <f t="shared" si="28"/>
        <v>8.5471826808104761E-3</v>
      </c>
    </row>
    <row r="783" spans="1:3" x14ac:dyDescent="0.25">
      <c r="A783" s="4">
        <v>41662</v>
      </c>
      <c r="B783" s="3">
        <v>16.860001</v>
      </c>
      <c r="C783">
        <f t="shared" si="28"/>
        <v>2.4618473884036145E-2</v>
      </c>
    </row>
    <row r="784" spans="1:3" x14ac:dyDescent="0.25">
      <c r="A784" s="4">
        <v>41661</v>
      </c>
      <c r="B784" s="3">
        <v>17.149999999999999</v>
      </c>
      <c r="C784">
        <f t="shared" si="28"/>
        <v>1.7054161726260109E-2</v>
      </c>
    </row>
    <row r="785" spans="1:3" x14ac:dyDescent="0.25">
      <c r="A785" s="4">
        <v>41660</v>
      </c>
      <c r="B785" s="3">
        <v>17.010000000000002</v>
      </c>
      <c r="C785">
        <f t="shared" si="28"/>
        <v>-8.1967672041784023E-3</v>
      </c>
    </row>
    <row r="786" spans="1:3" x14ac:dyDescent="0.25">
      <c r="A786" s="4">
        <v>41656</v>
      </c>
      <c r="B786" s="3">
        <v>17.010000000000002</v>
      </c>
      <c r="C786">
        <f t="shared" si="28"/>
        <v>0</v>
      </c>
    </row>
    <row r="787" spans="1:3" x14ac:dyDescent="0.25">
      <c r="A787" s="4">
        <v>41655</v>
      </c>
      <c r="B787" s="3">
        <v>17.079999999999998</v>
      </c>
      <c r="C787">
        <f t="shared" si="28"/>
        <v>4.1067819526532812E-3</v>
      </c>
    </row>
    <row r="788" spans="1:3" x14ac:dyDescent="0.25">
      <c r="A788" s="4">
        <v>41654</v>
      </c>
      <c r="B788" s="3">
        <v>17.149999999999999</v>
      </c>
      <c r="C788">
        <f t="shared" si="28"/>
        <v>4.0899852515250664E-3</v>
      </c>
    </row>
    <row r="789" spans="1:3" x14ac:dyDescent="0.25">
      <c r="A789" s="4">
        <v>41653</v>
      </c>
      <c r="B789" s="3">
        <v>16.77</v>
      </c>
      <c r="C789">
        <f t="shared" si="28"/>
        <v>-2.2406597776831388E-2</v>
      </c>
    </row>
    <row r="790" spans="1:3" x14ac:dyDescent="0.25">
      <c r="A790" s="4">
        <v>41652</v>
      </c>
      <c r="B790" s="3">
        <v>16.43</v>
      </c>
      <c r="C790">
        <f t="shared" si="28"/>
        <v>-2.0482643785940755E-2</v>
      </c>
    </row>
    <row r="791" spans="1:3" x14ac:dyDescent="0.25">
      <c r="A791" s="4">
        <v>41649</v>
      </c>
      <c r="B791" s="3">
        <v>16.77</v>
      </c>
      <c r="C791">
        <f t="shared" si="28"/>
        <v>2.0482643785940773E-2</v>
      </c>
    </row>
    <row r="792" spans="1:3" x14ac:dyDescent="0.25">
      <c r="A792" s="4">
        <v>41648</v>
      </c>
      <c r="B792" s="3">
        <v>16.829999999999998</v>
      </c>
      <c r="C792">
        <f t="shared" si="28"/>
        <v>3.5714323675971795E-3</v>
      </c>
    </row>
    <row r="793" spans="1:3" x14ac:dyDescent="0.25">
      <c r="A793" s="4">
        <v>41647</v>
      </c>
      <c r="B793" s="3">
        <v>16.579999999999998</v>
      </c>
      <c r="C793">
        <f t="shared" si="28"/>
        <v>-1.4965858495565721E-2</v>
      </c>
    </row>
    <row r="794" spans="1:3" x14ac:dyDescent="0.25">
      <c r="A794" s="4">
        <v>41646</v>
      </c>
      <c r="B794" s="3">
        <v>16.5</v>
      </c>
      <c r="C794">
        <f t="shared" si="28"/>
        <v>-4.8367688006138825E-3</v>
      </c>
    </row>
    <row r="795" spans="1:3" x14ac:dyDescent="0.25">
      <c r="A795" s="4">
        <v>41645</v>
      </c>
      <c r="B795" s="3">
        <v>16.66</v>
      </c>
      <c r="C795">
        <f t="shared" si="28"/>
        <v>9.6502558321617683E-3</v>
      </c>
    </row>
    <row r="796" spans="1:3" x14ac:dyDescent="0.25">
      <c r="A796" s="4">
        <v>41642</v>
      </c>
      <c r="B796" s="3">
        <v>16.41</v>
      </c>
      <c r="C796">
        <f t="shared" si="28"/>
        <v>-1.5119731636697113E-2</v>
      </c>
    </row>
    <row r="797" spans="1:3" x14ac:dyDescent="0.25">
      <c r="A797" s="4">
        <v>41641</v>
      </c>
      <c r="B797" s="3">
        <v>16.100000000000001</v>
      </c>
      <c r="C797">
        <f t="shared" si="28"/>
        <v>-1.9071633111582095E-2</v>
      </c>
    </row>
    <row r="798" spans="1:3" x14ac:dyDescent="0.25">
      <c r="A798" s="4">
        <v>41639</v>
      </c>
      <c r="B798" s="3">
        <v>15.57</v>
      </c>
      <c r="C798">
        <f t="shared" si="28"/>
        <v>-3.347328614451045E-2</v>
      </c>
    </row>
    <row r="799" spans="1:3" x14ac:dyDescent="0.25">
      <c r="A799" s="4">
        <v>41638</v>
      </c>
      <c r="B799" s="3">
        <v>15.54</v>
      </c>
      <c r="C799">
        <f t="shared" si="28"/>
        <v>-1.928640906405597E-3</v>
      </c>
    </row>
    <row r="800" spans="1:3" x14ac:dyDescent="0.25">
      <c r="A800" s="4">
        <v>41635</v>
      </c>
      <c r="B800" s="3">
        <v>15.67</v>
      </c>
      <c r="C800">
        <f t="shared" si="28"/>
        <v>8.330711428428025E-3</v>
      </c>
    </row>
    <row r="801" spans="1:3" x14ac:dyDescent="0.25">
      <c r="A801" s="4">
        <v>41634</v>
      </c>
      <c r="B801" s="3">
        <v>15.65</v>
      </c>
      <c r="C801">
        <f t="shared" si="28"/>
        <v>-1.277139381767175E-3</v>
      </c>
    </row>
    <row r="802" spans="1:3" x14ac:dyDescent="0.25">
      <c r="A802" s="4">
        <v>41632</v>
      </c>
      <c r="B802" s="3">
        <v>15.7</v>
      </c>
      <c r="C802">
        <f t="shared" si="28"/>
        <v>3.1897953681000808E-3</v>
      </c>
    </row>
    <row r="803" spans="1:3" x14ac:dyDescent="0.25">
      <c r="A803" s="4">
        <v>41631</v>
      </c>
      <c r="B803" s="3">
        <v>15.69</v>
      </c>
      <c r="C803">
        <f t="shared" si="28"/>
        <v>-6.3714560932114908E-4</v>
      </c>
    </row>
    <row r="804" spans="1:3" x14ac:dyDescent="0.25">
      <c r="A804" s="4">
        <v>41628</v>
      </c>
      <c r="B804" s="3">
        <v>15.6</v>
      </c>
      <c r="C804">
        <f t="shared" si="28"/>
        <v>-5.752652489449811E-3</v>
      </c>
    </row>
    <row r="805" spans="1:3" x14ac:dyDescent="0.25">
      <c r="A805" s="4">
        <v>41627</v>
      </c>
      <c r="B805" s="3">
        <v>15.75</v>
      </c>
      <c r="C805">
        <f t="shared" si="28"/>
        <v>9.5694510161506725E-3</v>
      </c>
    </row>
    <row r="806" spans="1:3" x14ac:dyDescent="0.25">
      <c r="A806" s="4">
        <v>41626</v>
      </c>
      <c r="B806" s="3">
        <v>15.69</v>
      </c>
      <c r="C806">
        <f t="shared" si="28"/>
        <v>-3.8167985267008537E-3</v>
      </c>
    </row>
    <row r="807" spans="1:3" x14ac:dyDescent="0.25">
      <c r="A807" s="4">
        <v>41625</v>
      </c>
      <c r="B807" s="3">
        <v>15.18</v>
      </c>
      <c r="C807">
        <f t="shared" si="28"/>
        <v>-3.3044794777457288E-2</v>
      </c>
    </row>
    <row r="808" spans="1:3" x14ac:dyDescent="0.25">
      <c r="A808" s="4">
        <v>41624</v>
      </c>
      <c r="B808" s="3">
        <v>15.24</v>
      </c>
      <c r="C808">
        <f t="shared" si="28"/>
        <v>3.9447782910163251E-3</v>
      </c>
    </row>
    <row r="809" spans="1:3" x14ac:dyDescent="0.25">
      <c r="A809" s="4">
        <v>41621</v>
      </c>
      <c r="B809" s="3">
        <v>15.18</v>
      </c>
      <c r="C809">
        <f t="shared" si="28"/>
        <v>-3.9447782910163407E-3</v>
      </c>
    </row>
    <row r="810" spans="1:3" x14ac:dyDescent="0.25">
      <c r="A810" s="4">
        <v>41620</v>
      </c>
      <c r="B810" s="3">
        <v>15.25</v>
      </c>
      <c r="C810">
        <f t="shared" si="28"/>
        <v>4.6007310859368829E-3</v>
      </c>
    </row>
    <row r="811" spans="1:3" x14ac:dyDescent="0.25">
      <c r="A811" s="4">
        <v>41619</v>
      </c>
      <c r="B811" s="3">
        <v>15.25</v>
      </c>
      <c r="C811">
        <f t="shared" si="28"/>
        <v>0</v>
      </c>
    </row>
    <row r="812" spans="1:3" x14ac:dyDescent="0.25">
      <c r="A812" s="4">
        <v>41618</v>
      </c>
      <c r="B812" s="3">
        <v>15.56</v>
      </c>
      <c r="C812">
        <f t="shared" si="28"/>
        <v>2.0124015696824971E-2</v>
      </c>
    </row>
    <row r="813" spans="1:3" x14ac:dyDescent="0.25">
      <c r="A813" s="4">
        <v>41617</v>
      </c>
      <c r="B813" s="3">
        <v>15.58</v>
      </c>
      <c r="C813">
        <f t="shared" si="28"/>
        <v>1.2845216923566189E-3</v>
      </c>
    </row>
    <row r="814" spans="1:3" x14ac:dyDescent="0.25">
      <c r="A814" s="4">
        <v>41614</v>
      </c>
      <c r="B814" s="3">
        <v>15.56</v>
      </c>
      <c r="C814">
        <f t="shared" si="28"/>
        <v>-1.2845216923566276E-3</v>
      </c>
    </row>
    <row r="815" spans="1:3" x14ac:dyDescent="0.25">
      <c r="A815" s="4">
        <v>41613</v>
      </c>
      <c r="B815" s="3">
        <v>15.43</v>
      </c>
      <c r="C815">
        <f t="shared" si="28"/>
        <v>-8.3898523751761277E-3</v>
      </c>
    </row>
    <row r="816" spans="1:3" x14ac:dyDescent="0.25">
      <c r="A816" s="4">
        <v>41612</v>
      </c>
      <c r="B816" s="3">
        <v>15.63</v>
      </c>
      <c r="C816">
        <f t="shared" si="28"/>
        <v>1.2878478058315931E-2</v>
      </c>
    </row>
    <row r="817" spans="1:3" x14ac:dyDescent="0.25">
      <c r="A817" s="4">
        <v>41611</v>
      </c>
      <c r="B817" s="3">
        <v>15.54</v>
      </c>
      <c r="C817">
        <f t="shared" si="28"/>
        <v>-5.7747994938839083E-3</v>
      </c>
    </row>
    <row r="818" spans="1:3" x14ac:dyDescent="0.25">
      <c r="A818" s="4">
        <v>41610</v>
      </c>
      <c r="B818" s="3">
        <v>15.73</v>
      </c>
      <c r="C818">
        <f t="shared" si="28"/>
        <v>1.2152372130685233E-2</v>
      </c>
    </row>
    <row r="819" spans="1:3" x14ac:dyDescent="0.25">
      <c r="A819" s="4">
        <v>41607</v>
      </c>
      <c r="B819" s="3">
        <v>15.82</v>
      </c>
      <c r="C819">
        <f t="shared" si="28"/>
        <v>5.7052452693213572E-3</v>
      </c>
    </row>
    <row r="820" spans="1:3" x14ac:dyDescent="0.25">
      <c r="A820" s="4">
        <v>41605</v>
      </c>
      <c r="B820" s="3">
        <v>15.83</v>
      </c>
      <c r="C820">
        <f t="shared" si="28"/>
        <v>6.319115534130454E-4</v>
      </c>
    </row>
    <row r="821" spans="1:3" x14ac:dyDescent="0.25">
      <c r="A821" s="4">
        <v>41604</v>
      </c>
      <c r="B821" s="3">
        <v>15.88</v>
      </c>
      <c r="C821">
        <f t="shared" si="28"/>
        <v>3.153581926068866E-3</v>
      </c>
    </row>
    <row r="822" spans="1:3" x14ac:dyDescent="0.25">
      <c r="A822" s="4">
        <v>41603</v>
      </c>
      <c r="B822" s="3">
        <v>15.81</v>
      </c>
      <c r="C822">
        <f t="shared" si="28"/>
        <v>-4.4178045976089857E-3</v>
      </c>
    </row>
    <row r="823" spans="1:3" x14ac:dyDescent="0.25">
      <c r="A823" s="4">
        <v>41600</v>
      </c>
      <c r="B823" s="3">
        <v>15.64</v>
      </c>
      <c r="C823">
        <f t="shared" si="28"/>
        <v>-1.0810916104215617E-2</v>
      </c>
    </row>
    <row r="824" spans="1:3" x14ac:dyDescent="0.25">
      <c r="A824" s="4">
        <v>41599</v>
      </c>
      <c r="B824" s="3">
        <v>15.59</v>
      </c>
      <c r="C824">
        <f t="shared" si="28"/>
        <v>-3.202052047479898E-3</v>
      </c>
    </row>
    <row r="825" spans="1:3" x14ac:dyDescent="0.25">
      <c r="A825" s="4">
        <v>41598</v>
      </c>
      <c r="B825" s="3">
        <v>15.14</v>
      </c>
      <c r="C825">
        <f t="shared" si="28"/>
        <v>-2.9289435060382445E-2</v>
      </c>
    </row>
    <row r="826" spans="1:3" x14ac:dyDescent="0.25">
      <c r="A826" s="4">
        <v>41597</v>
      </c>
      <c r="B826" s="3">
        <v>15.2</v>
      </c>
      <c r="C826">
        <f t="shared" si="28"/>
        <v>3.9551798429277932E-3</v>
      </c>
    </row>
    <row r="827" spans="1:3" x14ac:dyDescent="0.25">
      <c r="A827" s="4">
        <v>41596</v>
      </c>
      <c r="B827" s="3">
        <v>14.92</v>
      </c>
      <c r="C827">
        <f t="shared" si="28"/>
        <v>-1.8592833076615859E-2</v>
      </c>
    </row>
    <row r="828" spans="1:3" x14ac:dyDescent="0.25">
      <c r="A828" s="4">
        <v>41593</v>
      </c>
      <c r="B828" s="3">
        <v>14.92</v>
      </c>
      <c r="C828">
        <f t="shared" si="28"/>
        <v>0</v>
      </c>
    </row>
    <row r="829" spans="1:3" x14ac:dyDescent="0.25">
      <c r="A829" s="4">
        <v>41592</v>
      </c>
      <c r="B829" s="3">
        <v>14.8</v>
      </c>
      <c r="C829">
        <f t="shared" si="28"/>
        <v>-8.0754140055453068E-3</v>
      </c>
    </row>
    <row r="830" spans="1:3" x14ac:dyDescent="0.25">
      <c r="A830" s="4">
        <v>41591</v>
      </c>
      <c r="B830" s="3">
        <v>14.64</v>
      </c>
      <c r="C830">
        <f t="shared" si="28"/>
        <v>-1.0869672236903879E-2</v>
      </c>
    </row>
    <row r="831" spans="1:3" x14ac:dyDescent="0.25">
      <c r="A831" s="4">
        <v>41590</v>
      </c>
      <c r="B831" s="3">
        <v>14.32</v>
      </c>
      <c r="C831">
        <f t="shared" si="28"/>
        <v>-2.210034700066597E-2</v>
      </c>
    </row>
    <row r="832" spans="1:3" x14ac:dyDescent="0.25">
      <c r="A832" s="4">
        <v>41589</v>
      </c>
      <c r="B832" s="3">
        <v>14.4</v>
      </c>
      <c r="C832">
        <f t="shared" si="28"/>
        <v>5.5710450494554295E-3</v>
      </c>
    </row>
    <row r="833" spans="1:3" x14ac:dyDescent="0.25">
      <c r="A833" s="4">
        <v>41586</v>
      </c>
      <c r="B833" s="3">
        <v>14.32</v>
      </c>
      <c r="C833">
        <f t="shared" si="28"/>
        <v>-5.5710450494553601E-3</v>
      </c>
    </row>
    <row r="834" spans="1:3" x14ac:dyDescent="0.25">
      <c r="A834" s="4">
        <v>41585</v>
      </c>
      <c r="B834" s="3">
        <v>13.8</v>
      </c>
      <c r="C834">
        <f t="shared" si="28"/>
        <v>-3.6988569369340536E-2</v>
      </c>
    </row>
    <row r="835" spans="1:3" x14ac:dyDescent="0.25">
      <c r="A835" s="4">
        <v>41584</v>
      </c>
      <c r="B835" s="3">
        <v>13.96</v>
      </c>
      <c r="C835">
        <f t="shared" si="28"/>
        <v>1.1527505171067414E-2</v>
      </c>
    </row>
    <row r="836" spans="1:3" x14ac:dyDescent="0.25">
      <c r="A836" s="4">
        <v>41583</v>
      </c>
      <c r="B836" s="3">
        <v>13.93</v>
      </c>
      <c r="C836">
        <f t="shared" si="28"/>
        <v>-2.151309542512133E-3</v>
      </c>
    </row>
    <row r="837" spans="1:3" x14ac:dyDescent="0.25">
      <c r="A837" s="4">
        <v>41582</v>
      </c>
      <c r="B837" s="3">
        <v>14.04</v>
      </c>
      <c r="C837">
        <f t="shared" si="28"/>
        <v>7.8656108059507786E-3</v>
      </c>
    </row>
    <row r="838" spans="1:3" x14ac:dyDescent="0.25">
      <c r="A838" s="4">
        <v>41579</v>
      </c>
      <c r="B838" s="3">
        <v>14.02</v>
      </c>
      <c r="C838">
        <f t="shared" ref="C838:C901" si="29">LN(B838/B837)</f>
        <v>-1.4255169912209499E-3</v>
      </c>
    </row>
    <row r="839" spans="1:3" x14ac:dyDescent="0.25">
      <c r="A839" s="4">
        <v>41578</v>
      </c>
      <c r="B839" s="3">
        <v>13.97</v>
      </c>
      <c r="C839">
        <f t="shared" si="29"/>
        <v>-3.5727083375734878E-3</v>
      </c>
    </row>
    <row r="840" spans="1:3" x14ac:dyDescent="0.25">
      <c r="A840" s="4">
        <v>41577</v>
      </c>
      <c r="B840" s="3">
        <v>14.17</v>
      </c>
      <c r="C840">
        <f t="shared" si="29"/>
        <v>1.4214880433718494E-2</v>
      </c>
    </row>
    <row r="841" spans="1:3" x14ac:dyDescent="0.25">
      <c r="A841" s="4">
        <v>41576</v>
      </c>
      <c r="B841" s="3">
        <v>14.15</v>
      </c>
      <c r="C841">
        <f t="shared" si="29"/>
        <v>-1.4124296133424374E-3</v>
      </c>
    </row>
    <row r="842" spans="1:3" x14ac:dyDescent="0.25">
      <c r="A842" s="4">
        <v>41575</v>
      </c>
      <c r="B842" s="3">
        <v>14.23</v>
      </c>
      <c r="C842">
        <f t="shared" si="29"/>
        <v>5.6377880125142773E-3</v>
      </c>
    </row>
    <row r="843" spans="1:3" x14ac:dyDescent="0.25">
      <c r="A843" s="4">
        <v>41572</v>
      </c>
      <c r="B843" s="3">
        <v>14.26</v>
      </c>
      <c r="C843">
        <f t="shared" si="29"/>
        <v>2.1060028843887936E-3</v>
      </c>
    </row>
    <row r="844" spans="1:3" x14ac:dyDescent="0.25">
      <c r="A844" s="4">
        <v>41571</v>
      </c>
      <c r="B844" s="3">
        <v>14.17</v>
      </c>
      <c r="C844">
        <f t="shared" si="29"/>
        <v>-6.3313612835608239E-3</v>
      </c>
    </row>
    <row r="845" spans="1:3" x14ac:dyDescent="0.25">
      <c r="A845" s="4">
        <v>41570</v>
      </c>
      <c r="B845" s="3">
        <v>14.21</v>
      </c>
      <c r="C845">
        <f t="shared" si="29"/>
        <v>2.8188884064202012E-3</v>
      </c>
    </row>
    <row r="846" spans="1:3" x14ac:dyDescent="0.25">
      <c r="A846" s="4">
        <v>41569</v>
      </c>
      <c r="B846" s="3">
        <v>14.52</v>
      </c>
      <c r="C846">
        <f t="shared" si="29"/>
        <v>2.1581067287640657E-2</v>
      </c>
    </row>
    <row r="847" spans="1:3" x14ac:dyDescent="0.25">
      <c r="A847" s="4">
        <v>41568</v>
      </c>
      <c r="B847" s="3">
        <v>14.52</v>
      </c>
      <c r="C847">
        <f t="shared" si="29"/>
        <v>0</v>
      </c>
    </row>
    <row r="848" spans="1:3" x14ac:dyDescent="0.25">
      <c r="A848" s="4">
        <v>41565</v>
      </c>
      <c r="B848" s="3">
        <v>14.63</v>
      </c>
      <c r="C848">
        <f t="shared" si="29"/>
        <v>7.5472056353829038E-3</v>
      </c>
    </row>
    <row r="849" spans="1:3" x14ac:dyDescent="0.25">
      <c r="A849" s="4">
        <v>41564</v>
      </c>
      <c r="B849" s="3">
        <v>14.66</v>
      </c>
      <c r="C849">
        <f t="shared" si="29"/>
        <v>2.0484814264724875E-3</v>
      </c>
    </row>
    <row r="850" spans="1:3" x14ac:dyDescent="0.25">
      <c r="A850" s="4">
        <v>41563</v>
      </c>
      <c r="B850" s="3">
        <v>14.56</v>
      </c>
      <c r="C850">
        <f t="shared" si="29"/>
        <v>-6.8446536899654841E-3</v>
      </c>
    </row>
    <row r="851" spans="1:3" x14ac:dyDescent="0.25">
      <c r="A851" s="4">
        <v>41562</v>
      </c>
      <c r="B851" s="3">
        <v>14.24</v>
      </c>
      <c r="C851">
        <f t="shared" si="29"/>
        <v>-2.2223136784710235E-2</v>
      </c>
    </row>
    <row r="852" spans="1:3" x14ac:dyDescent="0.25">
      <c r="A852" s="4">
        <v>41561</v>
      </c>
      <c r="B852" s="3">
        <v>14.35</v>
      </c>
      <c r="C852">
        <f t="shared" si="29"/>
        <v>7.6950362218004128E-3</v>
      </c>
    </row>
    <row r="853" spans="1:3" x14ac:dyDescent="0.25">
      <c r="A853" s="4">
        <v>41558</v>
      </c>
      <c r="B853" s="3">
        <v>14.19</v>
      </c>
      <c r="C853">
        <f t="shared" si="29"/>
        <v>-1.1212451033678867E-2</v>
      </c>
    </row>
    <row r="854" spans="1:3" x14ac:dyDescent="0.25">
      <c r="A854" s="4">
        <v>41557</v>
      </c>
      <c r="B854" s="3">
        <v>14.23</v>
      </c>
      <c r="C854">
        <f t="shared" si="29"/>
        <v>2.8149209298098158E-3</v>
      </c>
    </row>
    <row r="855" spans="1:3" x14ac:dyDescent="0.25">
      <c r="A855" s="4">
        <v>41556</v>
      </c>
      <c r="B855" s="3">
        <v>13.84</v>
      </c>
      <c r="C855">
        <f t="shared" si="29"/>
        <v>-2.778946191223752E-2</v>
      </c>
    </row>
    <row r="856" spans="1:3" x14ac:dyDescent="0.25">
      <c r="A856" s="4">
        <v>41555</v>
      </c>
      <c r="B856" s="3">
        <v>13.69</v>
      </c>
      <c r="C856">
        <f t="shared" si="29"/>
        <v>-1.0897310889166002E-2</v>
      </c>
    </row>
    <row r="857" spans="1:3" x14ac:dyDescent="0.25">
      <c r="A857" s="4">
        <v>41554</v>
      </c>
      <c r="B857" s="3">
        <v>13.81</v>
      </c>
      <c r="C857">
        <f t="shared" si="29"/>
        <v>8.7273281208433678E-3</v>
      </c>
    </row>
    <row r="858" spans="1:3" x14ac:dyDescent="0.25">
      <c r="A858" s="4">
        <v>41551</v>
      </c>
      <c r="B858" s="3">
        <v>14.05</v>
      </c>
      <c r="C858">
        <f t="shared" si="29"/>
        <v>1.7229428358554007E-2</v>
      </c>
    </row>
    <row r="859" spans="1:3" x14ac:dyDescent="0.25">
      <c r="A859" s="4">
        <v>41550</v>
      </c>
      <c r="B859" s="3">
        <v>14</v>
      </c>
      <c r="C859">
        <f t="shared" si="29"/>
        <v>-3.5650661644962569E-3</v>
      </c>
    </row>
    <row r="860" spans="1:3" x14ac:dyDescent="0.25">
      <c r="A860" s="4">
        <v>41549</v>
      </c>
      <c r="B860" s="3">
        <v>14.06</v>
      </c>
      <c r="C860">
        <f t="shared" si="29"/>
        <v>4.276556767260172E-3</v>
      </c>
    </row>
    <row r="861" spans="1:3" x14ac:dyDescent="0.25">
      <c r="A861" s="4">
        <v>41548</v>
      </c>
      <c r="B861" s="3">
        <v>13.9</v>
      </c>
      <c r="C861">
        <f t="shared" si="29"/>
        <v>-1.1445046245872821E-2</v>
      </c>
    </row>
    <row r="862" spans="1:3" x14ac:dyDescent="0.25">
      <c r="A862" s="4">
        <v>41547</v>
      </c>
      <c r="B862" s="3">
        <v>13.8</v>
      </c>
      <c r="C862">
        <f t="shared" si="29"/>
        <v>-7.2202479734870201E-3</v>
      </c>
    </row>
    <row r="863" spans="1:3" x14ac:dyDescent="0.25">
      <c r="A863" s="4">
        <v>41544</v>
      </c>
      <c r="B863" s="3">
        <v>13.9</v>
      </c>
      <c r="C863">
        <f t="shared" si="29"/>
        <v>7.2202479734870973E-3</v>
      </c>
    </row>
    <row r="864" spans="1:3" x14ac:dyDescent="0.25">
      <c r="A864" s="4">
        <v>41543</v>
      </c>
      <c r="B864" s="3">
        <v>14.08</v>
      </c>
      <c r="C864">
        <f t="shared" si="29"/>
        <v>1.2866510593250276E-2</v>
      </c>
    </row>
    <row r="865" spans="1:3" x14ac:dyDescent="0.25">
      <c r="A865" s="4">
        <v>41542</v>
      </c>
      <c r="B865" s="3">
        <v>14.14</v>
      </c>
      <c r="C865">
        <f t="shared" si="29"/>
        <v>4.2523097385304756E-3</v>
      </c>
    </row>
    <row r="866" spans="1:3" x14ac:dyDescent="0.25">
      <c r="A866" s="4">
        <v>41541</v>
      </c>
      <c r="B866" s="3">
        <v>14.09</v>
      </c>
      <c r="C866">
        <f t="shared" si="29"/>
        <v>-3.5423345578379155E-3</v>
      </c>
    </row>
    <row r="867" spans="1:3" x14ac:dyDescent="0.25">
      <c r="A867" s="4">
        <v>41540</v>
      </c>
      <c r="B867" s="3">
        <v>14.14</v>
      </c>
      <c r="C867">
        <f t="shared" si="29"/>
        <v>3.5423345578380048E-3</v>
      </c>
    </row>
    <row r="868" spans="1:3" x14ac:dyDescent="0.25">
      <c r="A868" s="4">
        <v>41537</v>
      </c>
      <c r="B868" s="3">
        <v>14.44</v>
      </c>
      <c r="C868">
        <f t="shared" si="29"/>
        <v>2.0994472996253431E-2</v>
      </c>
    </row>
    <row r="869" spans="1:3" x14ac:dyDescent="0.25">
      <c r="A869" s="4">
        <v>41536</v>
      </c>
      <c r="B869" s="3">
        <v>14.61</v>
      </c>
      <c r="C869">
        <f t="shared" si="29"/>
        <v>1.1704092297927998E-2</v>
      </c>
    </row>
    <row r="870" spans="1:3" x14ac:dyDescent="0.25">
      <c r="A870" s="4">
        <v>41535</v>
      </c>
      <c r="B870" s="3">
        <v>14.71</v>
      </c>
      <c r="C870">
        <f t="shared" si="29"/>
        <v>6.8213088507381734E-3</v>
      </c>
    </row>
    <row r="871" spans="1:3" x14ac:dyDescent="0.25">
      <c r="A871" s="4">
        <v>41534</v>
      </c>
      <c r="B871" s="3">
        <v>14.55</v>
      </c>
      <c r="C871">
        <f t="shared" si="29"/>
        <v>-1.0936540995844676E-2</v>
      </c>
    </row>
    <row r="872" spans="1:3" x14ac:dyDescent="0.25">
      <c r="A872" s="4">
        <v>41533</v>
      </c>
      <c r="B872" s="3">
        <v>14.53</v>
      </c>
      <c r="C872">
        <f t="shared" si="29"/>
        <v>-1.3755160353100906E-3</v>
      </c>
    </row>
    <row r="873" spans="1:3" x14ac:dyDescent="0.25">
      <c r="A873" s="4">
        <v>41530</v>
      </c>
      <c r="B873" s="3">
        <v>14.49</v>
      </c>
      <c r="C873">
        <f t="shared" si="29"/>
        <v>-2.7567212496004195E-3</v>
      </c>
    </row>
    <row r="874" spans="1:3" x14ac:dyDescent="0.25">
      <c r="A874" s="4">
        <v>41529</v>
      </c>
      <c r="B874" s="3">
        <v>14.48</v>
      </c>
      <c r="C874">
        <f t="shared" si="29"/>
        <v>-6.9036937502064315E-4</v>
      </c>
    </row>
    <row r="875" spans="1:3" x14ac:dyDescent="0.25">
      <c r="A875" s="4">
        <v>41528</v>
      </c>
      <c r="B875" s="3">
        <v>14.65</v>
      </c>
      <c r="C875">
        <f t="shared" si="29"/>
        <v>1.1671948505505908E-2</v>
      </c>
    </row>
    <row r="876" spans="1:3" x14ac:dyDescent="0.25">
      <c r="A876" s="4">
        <v>41527</v>
      </c>
      <c r="B876" s="3">
        <v>14.61</v>
      </c>
      <c r="C876">
        <f t="shared" si="29"/>
        <v>-2.7341097004682838E-3</v>
      </c>
    </row>
    <row r="877" spans="1:3" x14ac:dyDescent="0.25">
      <c r="A877" s="4">
        <v>41526</v>
      </c>
      <c r="B877" s="3">
        <v>14.48</v>
      </c>
      <c r="C877">
        <f t="shared" si="29"/>
        <v>-8.937838805037698E-3</v>
      </c>
    </row>
    <row r="878" spans="1:3" x14ac:dyDescent="0.25">
      <c r="A878" s="4">
        <v>41523</v>
      </c>
      <c r="B878" s="3">
        <v>14.36</v>
      </c>
      <c r="C878">
        <f t="shared" si="29"/>
        <v>-8.3218233374922172E-3</v>
      </c>
    </row>
    <row r="879" spans="1:3" x14ac:dyDescent="0.25">
      <c r="A879" s="4">
        <v>41522</v>
      </c>
      <c r="B879" s="3">
        <v>14.37</v>
      </c>
      <c r="C879">
        <f t="shared" si="29"/>
        <v>6.9613647085542407E-4</v>
      </c>
    </row>
    <row r="880" spans="1:3" x14ac:dyDescent="0.25">
      <c r="A880" s="4">
        <v>41521</v>
      </c>
      <c r="B880" s="3">
        <v>14.32</v>
      </c>
      <c r="C880">
        <f t="shared" si="29"/>
        <v>-3.4855385584339001E-3</v>
      </c>
    </row>
    <row r="881" spans="1:3" x14ac:dyDescent="0.25">
      <c r="A881" s="4">
        <v>41520</v>
      </c>
      <c r="B881" s="3">
        <v>14.25</v>
      </c>
      <c r="C881">
        <f t="shared" si="29"/>
        <v>-4.9002548178400671E-3</v>
      </c>
    </row>
    <row r="882" spans="1:3" x14ac:dyDescent="0.25">
      <c r="A882" s="4">
        <v>41516</v>
      </c>
      <c r="B882" s="3">
        <v>14.12</v>
      </c>
      <c r="C882">
        <f t="shared" si="29"/>
        <v>-9.1646746495635204E-3</v>
      </c>
    </row>
    <row r="883" spans="1:3" x14ac:dyDescent="0.25">
      <c r="A883" s="4">
        <v>41515</v>
      </c>
      <c r="B883" s="3">
        <v>14.17</v>
      </c>
      <c r="C883">
        <f t="shared" si="29"/>
        <v>3.5348216374930293E-3</v>
      </c>
    </row>
    <row r="884" spans="1:3" x14ac:dyDescent="0.25">
      <c r="A884" s="4">
        <v>41514</v>
      </c>
      <c r="B884" s="3">
        <v>14.12</v>
      </c>
      <c r="C884">
        <f t="shared" si="29"/>
        <v>-3.5348216374931061E-3</v>
      </c>
    </row>
    <row r="885" spans="1:3" x14ac:dyDescent="0.25">
      <c r="A885" s="4">
        <v>41513</v>
      </c>
      <c r="B885" s="3">
        <v>14.11</v>
      </c>
      <c r="C885">
        <f t="shared" si="29"/>
        <v>-7.0846620037342276E-4</v>
      </c>
    </row>
    <row r="886" spans="1:3" x14ac:dyDescent="0.25">
      <c r="A886" s="4">
        <v>41512</v>
      </c>
      <c r="B886" s="3">
        <v>14.49</v>
      </c>
      <c r="C886">
        <f t="shared" si="29"/>
        <v>2.6574990467868369E-2</v>
      </c>
    </row>
    <row r="887" spans="1:3" x14ac:dyDescent="0.25">
      <c r="A887" s="4">
        <v>41509</v>
      </c>
      <c r="B887" s="3">
        <v>14.57</v>
      </c>
      <c r="C887">
        <f t="shared" si="29"/>
        <v>5.5058638745224152E-3</v>
      </c>
    </row>
    <row r="888" spans="1:3" x14ac:dyDescent="0.25">
      <c r="A888" s="4">
        <v>41508</v>
      </c>
      <c r="B888" s="3">
        <v>14.57</v>
      </c>
      <c r="C888">
        <f t="shared" si="29"/>
        <v>0</v>
      </c>
    </row>
    <row r="889" spans="1:3" x14ac:dyDescent="0.25">
      <c r="A889" s="4">
        <v>41507</v>
      </c>
      <c r="B889" s="3">
        <v>14.34</v>
      </c>
      <c r="C889">
        <f t="shared" si="29"/>
        <v>-1.591178503563917E-2</v>
      </c>
    </row>
    <row r="890" spans="1:3" x14ac:dyDescent="0.25">
      <c r="A890" s="4">
        <v>41506</v>
      </c>
      <c r="B890" s="3">
        <v>14.29</v>
      </c>
      <c r="C890">
        <f t="shared" si="29"/>
        <v>-3.4928432296982984E-3</v>
      </c>
    </row>
    <row r="891" spans="1:3" x14ac:dyDescent="0.25">
      <c r="A891" s="4">
        <v>41505</v>
      </c>
      <c r="B891" s="3">
        <v>14.15</v>
      </c>
      <c r="C891">
        <f t="shared" si="29"/>
        <v>-9.8453678525293031E-3</v>
      </c>
    </row>
    <row r="892" spans="1:3" x14ac:dyDescent="0.25">
      <c r="A892" s="4">
        <v>41502</v>
      </c>
      <c r="B892" s="3">
        <v>14.42</v>
      </c>
      <c r="C892">
        <f t="shared" si="29"/>
        <v>1.8901507767556433E-2</v>
      </c>
    </row>
    <row r="893" spans="1:3" x14ac:dyDescent="0.25">
      <c r="A893" s="4">
        <v>41501</v>
      </c>
      <c r="B893" s="3">
        <v>14.32</v>
      </c>
      <c r="C893">
        <f t="shared" si="29"/>
        <v>-6.9589703243034574E-3</v>
      </c>
    </row>
    <row r="894" spans="1:3" x14ac:dyDescent="0.25">
      <c r="A894" s="4">
        <v>41500</v>
      </c>
      <c r="B894" s="3">
        <v>14.6</v>
      </c>
      <c r="C894">
        <f t="shared" si="29"/>
        <v>1.9364367181791152E-2</v>
      </c>
    </row>
    <row r="895" spans="1:3" x14ac:dyDescent="0.25">
      <c r="A895" s="4">
        <v>41499</v>
      </c>
      <c r="B895" s="3">
        <v>14.51</v>
      </c>
      <c r="C895">
        <f t="shared" si="29"/>
        <v>-6.1834618181942783E-3</v>
      </c>
    </row>
    <row r="896" spans="1:3" x14ac:dyDescent="0.25">
      <c r="A896" s="4">
        <v>41498</v>
      </c>
      <c r="B896" s="3">
        <v>14.41</v>
      </c>
      <c r="C896">
        <f t="shared" si="29"/>
        <v>-6.9156568846657435E-3</v>
      </c>
    </row>
    <row r="897" spans="1:3" x14ac:dyDescent="0.25">
      <c r="A897" s="4">
        <v>41495</v>
      </c>
      <c r="B897" s="3">
        <v>14.45</v>
      </c>
      <c r="C897">
        <f t="shared" si="29"/>
        <v>2.7720045470104918E-3</v>
      </c>
    </row>
    <row r="898" spans="1:3" x14ac:dyDescent="0.25">
      <c r="A898" s="4">
        <v>41494</v>
      </c>
      <c r="B898" s="3">
        <v>14.61</v>
      </c>
      <c r="C898">
        <f t="shared" si="29"/>
        <v>1.1011811204166895E-2</v>
      </c>
    </row>
    <row r="899" spans="1:3" x14ac:dyDescent="0.25">
      <c r="A899" s="4">
        <v>41493</v>
      </c>
      <c r="B899" s="3">
        <v>14.53</v>
      </c>
      <c r="C899">
        <f t="shared" si="29"/>
        <v>-5.4907481804166228E-3</v>
      </c>
    </row>
    <row r="900" spans="1:3" x14ac:dyDescent="0.25">
      <c r="A900" s="4">
        <v>41492</v>
      </c>
      <c r="B900" s="3">
        <v>14.64</v>
      </c>
      <c r="C900">
        <f t="shared" si="29"/>
        <v>7.5420309509741466E-3</v>
      </c>
    </row>
    <row r="901" spans="1:3" x14ac:dyDescent="0.25">
      <c r="A901" s="4">
        <v>41491</v>
      </c>
      <c r="B901" s="3">
        <v>14.8</v>
      </c>
      <c r="C901">
        <f t="shared" si="29"/>
        <v>1.0869672236903891E-2</v>
      </c>
    </row>
    <row r="902" spans="1:3" x14ac:dyDescent="0.25">
      <c r="A902" s="4">
        <v>41488</v>
      </c>
      <c r="B902" s="3">
        <v>14.84</v>
      </c>
      <c r="C902">
        <f t="shared" ref="C902:C965" si="30">LN(B902/B901)</f>
        <v>2.6990569691649835E-3</v>
      </c>
    </row>
    <row r="903" spans="1:3" x14ac:dyDescent="0.25">
      <c r="A903" s="4">
        <v>41487</v>
      </c>
      <c r="B903" s="3">
        <v>14.95</v>
      </c>
      <c r="C903">
        <f t="shared" si="30"/>
        <v>7.3850620974610336E-3</v>
      </c>
    </row>
    <row r="904" spans="1:3" x14ac:dyDescent="0.25">
      <c r="A904" s="4">
        <v>41486</v>
      </c>
      <c r="B904" s="3">
        <v>14.6</v>
      </c>
      <c r="C904">
        <f t="shared" si="30"/>
        <v>-2.3689771122404665E-2</v>
      </c>
    </row>
    <row r="905" spans="1:3" x14ac:dyDescent="0.25">
      <c r="A905" s="4">
        <v>41485</v>
      </c>
      <c r="B905" s="3">
        <v>14.52</v>
      </c>
      <c r="C905">
        <f t="shared" si="30"/>
        <v>-5.4945193176407017E-3</v>
      </c>
    </row>
    <row r="906" spans="1:3" x14ac:dyDescent="0.25">
      <c r="A906" s="4">
        <v>41484</v>
      </c>
      <c r="B906" s="3">
        <v>14.52</v>
      </c>
      <c r="C906">
        <f t="shared" si="30"/>
        <v>0</v>
      </c>
    </row>
    <row r="907" spans="1:3" x14ac:dyDescent="0.25">
      <c r="A907" s="4">
        <v>41481</v>
      </c>
      <c r="B907" s="3">
        <v>14.73</v>
      </c>
      <c r="C907">
        <f t="shared" si="30"/>
        <v>1.435922107788888E-2</v>
      </c>
    </row>
    <row r="908" spans="1:3" x14ac:dyDescent="0.25">
      <c r="A908" s="4">
        <v>41480</v>
      </c>
      <c r="B908" s="3">
        <v>14.83</v>
      </c>
      <c r="C908">
        <f t="shared" si="30"/>
        <v>6.7659256753018586E-3</v>
      </c>
    </row>
    <row r="909" spans="1:3" x14ac:dyDescent="0.25">
      <c r="A909" s="4">
        <v>41479</v>
      </c>
      <c r="B909" s="3">
        <v>14.71</v>
      </c>
      <c r="C909">
        <f t="shared" si="30"/>
        <v>-8.1246215364945227E-3</v>
      </c>
    </row>
    <row r="910" spans="1:3" x14ac:dyDescent="0.25">
      <c r="A910" s="4">
        <v>41478</v>
      </c>
      <c r="B910" s="3">
        <v>14.94</v>
      </c>
      <c r="C910">
        <f t="shared" si="30"/>
        <v>1.5514645091325018E-2</v>
      </c>
    </row>
    <row r="911" spans="1:3" x14ac:dyDescent="0.25">
      <c r="A911" s="4">
        <v>41477</v>
      </c>
      <c r="B911" s="3">
        <v>14.92</v>
      </c>
      <c r="C911">
        <f t="shared" si="30"/>
        <v>-1.3395849290564722E-3</v>
      </c>
    </row>
    <row r="912" spans="1:3" x14ac:dyDescent="0.25">
      <c r="A912" s="4">
        <v>41474</v>
      </c>
      <c r="B912" s="3">
        <v>14.75</v>
      </c>
      <c r="C912">
        <f t="shared" si="30"/>
        <v>-1.1459511989785912E-2</v>
      </c>
    </row>
    <row r="913" spans="1:3" x14ac:dyDescent="0.25">
      <c r="A913" s="4">
        <v>41473</v>
      </c>
      <c r="B913" s="3">
        <v>14.76</v>
      </c>
      <c r="C913">
        <f t="shared" si="30"/>
        <v>6.7773638649759496E-4</v>
      </c>
    </row>
    <row r="914" spans="1:3" x14ac:dyDescent="0.25">
      <c r="A914" s="4">
        <v>41472</v>
      </c>
      <c r="B914" s="3">
        <v>14.31</v>
      </c>
      <c r="C914">
        <f t="shared" si="30"/>
        <v>-3.096222560396681E-2</v>
      </c>
    </row>
    <row r="915" spans="1:3" x14ac:dyDescent="0.25">
      <c r="A915" s="4">
        <v>41471</v>
      </c>
      <c r="B915" s="3">
        <v>13.92</v>
      </c>
      <c r="C915">
        <f t="shared" si="30"/>
        <v>-2.7631938662085985E-2</v>
      </c>
    </row>
    <row r="916" spans="1:3" x14ac:dyDescent="0.25">
      <c r="A916" s="4">
        <v>41470</v>
      </c>
      <c r="B916" s="3">
        <v>13.88</v>
      </c>
      <c r="C916">
        <f t="shared" si="30"/>
        <v>-2.8776998276150581E-3</v>
      </c>
    </row>
    <row r="917" spans="1:3" x14ac:dyDescent="0.25">
      <c r="A917" s="4">
        <v>41467</v>
      </c>
      <c r="B917" s="3">
        <v>13.78</v>
      </c>
      <c r="C917">
        <f t="shared" si="30"/>
        <v>-7.2306894931460589E-3</v>
      </c>
    </row>
    <row r="918" spans="1:3" x14ac:dyDescent="0.25">
      <c r="A918" s="4">
        <v>41466</v>
      </c>
      <c r="B918" s="3">
        <v>13.51</v>
      </c>
      <c r="C918">
        <f t="shared" si="30"/>
        <v>-1.9788113613405E-2</v>
      </c>
    </row>
    <row r="919" spans="1:3" x14ac:dyDescent="0.25">
      <c r="A919" s="4">
        <v>41465</v>
      </c>
      <c r="B919" s="3">
        <v>13.37</v>
      </c>
      <c r="C919">
        <f t="shared" si="30"/>
        <v>-1.0416760858255715E-2</v>
      </c>
    </row>
    <row r="920" spans="1:3" x14ac:dyDescent="0.25">
      <c r="A920" s="4">
        <v>41464</v>
      </c>
      <c r="B920" s="3">
        <v>13.53</v>
      </c>
      <c r="C920">
        <f t="shared" si="30"/>
        <v>1.1896051068844936E-2</v>
      </c>
    </row>
    <row r="921" spans="1:3" x14ac:dyDescent="0.25">
      <c r="A921" s="4">
        <v>41463</v>
      </c>
      <c r="B921" s="3">
        <v>13.28</v>
      </c>
      <c r="C921">
        <f t="shared" si="30"/>
        <v>-1.8650298134408837E-2</v>
      </c>
    </row>
    <row r="922" spans="1:3" x14ac:dyDescent="0.25">
      <c r="A922" s="4">
        <v>41460</v>
      </c>
      <c r="B922" s="3">
        <v>13.06</v>
      </c>
      <c r="C922">
        <f t="shared" si="30"/>
        <v>-1.6705020200002661E-2</v>
      </c>
    </row>
    <row r="923" spans="1:3" x14ac:dyDescent="0.25">
      <c r="A923" s="4">
        <v>41458</v>
      </c>
      <c r="B923" s="3">
        <v>12.83</v>
      </c>
      <c r="C923">
        <f t="shared" si="30"/>
        <v>-1.7767945220739975E-2</v>
      </c>
    </row>
    <row r="924" spans="1:3" x14ac:dyDescent="0.25">
      <c r="A924" s="4">
        <v>41457</v>
      </c>
      <c r="B924" s="3">
        <v>12.9</v>
      </c>
      <c r="C924">
        <f t="shared" si="30"/>
        <v>5.4411327400813621E-3</v>
      </c>
    </row>
    <row r="925" spans="1:3" x14ac:dyDescent="0.25">
      <c r="A925" s="4">
        <v>41456</v>
      </c>
      <c r="B925" s="3">
        <v>12.93</v>
      </c>
      <c r="C925">
        <f t="shared" si="30"/>
        <v>2.3228814161397287E-3</v>
      </c>
    </row>
    <row r="926" spans="1:3" x14ac:dyDescent="0.25">
      <c r="A926" s="4">
        <v>41453</v>
      </c>
      <c r="B926" s="3">
        <v>12.86</v>
      </c>
      <c r="C926">
        <f t="shared" si="30"/>
        <v>-5.4284739742927589E-3</v>
      </c>
    </row>
    <row r="927" spans="1:3" x14ac:dyDescent="0.25">
      <c r="A927" s="4">
        <v>41452</v>
      </c>
      <c r="B927" s="3">
        <v>13.01</v>
      </c>
      <c r="C927">
        <f t="shared" si="30"/>
        <v>1.1596573714940611E-2</v>
      </c>
    </row>
    <row r="928" spans="1:3" x14ac:dyDescent="0.25">
      <c r="A928" s="4">
        <v>41451</v>
      </c>
      <c r="B928" s="3">
        <v>12.76</v>
      </c>
      <c r="C928">
        <f t="shared" si="30"/>
        <v>-1.9403014607770126E-2</v>
      </c>
    </row>
    <row r="929" spans="1:3" x14ac:dyDescent="0.25">
      <c r="A929" s="4">
        <v>41450</v>
      </c>
      <c r="B929" s="3">
        <v>12.67</v>
      </c>
      <c r="C929">
        <f t="shared" si="30"/>
        <v>-7.0782835835961474E-3</v>
      </c>
    </row>
    <row r="930" spans="1:3" x14ac:dyDescent="0.25">
      <c r="A930" s="4">
        <v>41449</v>
      </c>
      <c r="B930" s="3">
        <v>12.3</v>
      </c>
      <c r="C930">
        <f t="shared" si="30"/>
        <v>-2.963773195467586E-2</v>
      </c>
    </row>
    <row r="931" spans="1:3" x14ac:dyDescent="0.25">
      <c r="A931" s="4">
        <v>41446</v>
      </c>
      <c r="B931" s="3">
        <v>12.69</v>
      </c>
      <c r="C931">
        <f t="shared" si="30"/>
        <v>3.1215019347924294E-2</v>
      </c>
    </row>
    <row r="932" spans="1:3" x14ac:dyDescent="0.25">
      <c r="A932" s="4">
        <v>41445</v>
      </c>
      <c r="B932" s="3">
        <v>12.89</v>
      </c>
      <c r="C932">
        <f t="shared" si="30"/>
        <v>1.5637535224799749E-2</v>
      </c>
    </row>
    <row r="933" spans="1:3" x14ac:dyDescent="0.25">
      <c r="A933" s="4">
        <v>41444</v>
      </c>
      <c r="B933" s="3">
        <v>13.19</v>
      </c>
      <c r="C933">
        <f t="shared" si="30"/>
        <v>2.3007149778127178E-2</v>
      </c>
    </row>
    <row r="934" spans="1:3" x14ac:dyDescent="0.25">
      <c r="A934" s="4">
        <v>41443</v>
      </c>
      <c r="B934" s="3">
        <v>13.27</v>
      </c>
      <c r="C934">
        <f t="shared" si="30"/>
        <v>6.046881614892907E-3</v>
      </c>
    </row>
    <row r="935" spans="1:3" x14ac:dyDescent="0.25">
      <c r="A935" s="4">
        <v>41442</v>
      </c>
      <c r="B935" s="3">
        <v>13.21</v>
      </c>
      <c r="C935">
        <f t="shared" si="30"/>
        <v>-4.5317298098820798E-3</v>
      </c>
    </row>
    <row r="936" spans="1:3" x14ac:dyDescent="0.25">
      <c r="A936" s="4">
        <v>41439</v>
      </c>
      <c r="B936" s="3">
        <v>13.07</v>
      </c>
      <c r="C936">
        <f t="shared" si="30"/>
        <v>-1.0654590898103453E-2</v>
      </c>
    </row>
    <row r="937" spans="1:3" x14ac:dyDescent="0.25">
      <c r="A937" s="4">
        <v>41438</v>
      </c>
      <c r="B937" s="3">
        <v>13.21</v>
      </c>
      <c r="C937">
        <f t="shared" si="30"/>
        <v>1.0654590898103408E-2</v>
      </c>
    </row>
    <row r="938" spans="1:3" x14ac:dyDescent="0.25">
      <c r="A938" s="4">
        <v>41437</v>
      </c>
      <c r="B938" s="3">
        <v>13.06</v>
      </c>
      <c r="C938">
        <f t="shared" si="30"/>
        <v>-1.1419994685948939E-2</v>
      </c>
    </row>
    <row r="939" spans="1:3" x14ac:dyDescent="0.25">
      <c r="A939" s="4">
        <v>41436</v>
      </c>
      <c r="B939" s="3">
        <v>13.12</v>
      </c>
      <c r="C939">
        <f t="shared" si="30"/>
        <v>4.5836596676578929E-3</v>
      </c>
    </row>
    <row r="940" spans="1:3" x14ac:dyDescent="0.25">
      <c r="A940" s="4">
        <v>41435</v>
      </c>
      <c r="B940" s="3">
        <v>13.3</v>
      </c>
      <c r="C940">
        <f t="shared" si="30"/>
        <v>1.3626251711765274E-2</v>
      </c>
    </row>
    <row r="941" spans="1:3" x14ac:dyDescent="0.25">
      <c r="A941" s="4">
        <v>41432</v>
      </c>
      <c r="B941" s="3">
        <v>13.38</v>
      </c>
      <c r="C941">
        <f t="shared" si="30"/>
        <v>5.9970194723742657E-3</v>
      </c>
    </row>
    <row r="942" spans="1:3" x14ac:dyDescent="0.25">
      <c r="A942" s="4">
        <v>41431</v>
      </c>
      <c r="B942" s="3">
        <v>13.2</v>
      </c>
      <c r="C942">
        <f t="shared" si="30"/>
        <v>-1.3544225107757372E-2</v>
      </c>
    </row>
    <row r="943" spans="1:3" x14ac:dyDescent="0.25">
      <c r="A943" s="4">
        <v>41430</v>
      </c>
      <c r="B943" s="3">
        <v>13.09</v>
      </c>
      <c r="C943">
        <f t="shared" si="30"/>
        <v>-8.3682496705165792E-3</v>
      </c>
    </row>
    <row r="944" spans="1:3" x14ac:dyDescent="0.25">
      <c r="A944" s="4">
        <v>41429</v>
      </c>
      <c r="B944" s="3">
        <v>13.36</v>
      </c>
      <c r="C944">
        <f t="shared" si="30"/>
        <v>2.0416588186691093E-2</v>
      </c>
    </row>
    <row r="945" spans="1:3" x14ac:dyDescent="0.25">
      <c r="A945" s="4">
        <v>41428</v>
      </c>
      <c r="B945" s="3">
        <v>13.55</v>
      </c>
      <c r="C945">
        <f t="shared" si="30"/>
        <v>1.4121379217210309E-2</v>
      </c>
    </row>
    <row r="946" spans="1:3" x14ac:dyDescent="0.25">
      <c r="A946" s="4">
        <v>41425</v>
      </c>
      <c r="B946" s="3">
        <v>13.66</v>
      </c>
      <c r="C946">
        <f t="shared" si="30"/>
        <v>8.0853068169339896E-3</v>
      </c>
    </row>
    <row r="947" spans="1:3" x14ac:dyDescent="0.25">
      <c r="A947" s="4">
        <v>41424</v>
      </c>
      <c r="B947" s="3">
        <v>13.83</v>
      </c>
      <c r="C947">
        <f t="shared" si="30"/>
        <v>1.2368291534022796E-2</v>
      </c>
    </row>
    <row r="948" spans="1:3" x14ac:dyDescent="0.25">
      <c r="A948" s="4">
        <v>41423</v>
      </c>
      <c r="B948" s="3">
        <v>13.48</v>
      </c>
      <c r="C948">
        <f t="shared" si="30"/>
        <v>-2.5633040192505823E-2</v>
      </c>
    </row>
    <row r="949" spans="1:3" x14ac:dyDescent="0.25">
      <c r="A949" s="4">
        <v>41422</v>
      </c>
      <c r="B949" s="3">
        <v>13.35</v>
      </c>
      <c r="C949">
        <f t="shared" si="30"/>
        <v>-9.6907206379024668E-3</v>
      </c>
    </row>
    <row r="950" spans="1:3" x14ac:dyDescent="0.25">
      <c r="A950" s="4">
        <v>41418</v>
      </c>
      <c r="B950" s="3">
        <v>13.24</v>
      </c>
      <c r="C950">
        <f t="shared" si="30"/>
        <v>-8.2738343373963599E-3</v>
      </c>
    </row>
    <row r="951" spans="1:3" x14ac:dyDescent="0.25">
      <c r="A951" s="4">
        <v>41417</v>
      </c>
      <c r="B951" s="3">
        <v>13.21</v>
      </c>
      <c r="C951">
        <f t="shared" si="30"/>
        <v>-2.2684319746281542E-3</v>
      </c>
    </row>
    <row r="952" spans="1:3" x14ac:dyDescent="0.25">
      <c r="A952" s="4">
        <v>41416</v>
      </c>
      <c r="B952" s="3">
        <v>13.31</v>
      </c>
      <c r="C952">
        <f t="shared" si="30"/>
        <v>7.5415138727863082E-3</v>
      </c>
    </row>
    <row r="953" spans="1:3" x14ac:dyDescent="0.25">
      <c r="A953" s="4">
        <v>41415</v>
      </c>
      <c r="B953" s="3">
        <v>13.44</v>
      </c>
      <c r="C953">
        <f t="shared" si="30"/>
        <v>9.7197026879830683E-3</v>
      </c>
    </row>
    <row r="954" spans="1:3" x14ac:dyDescent="0.25">
      <c r="A954" s="4">
        <v>41414</v>
      </c>
      <c r="B954" s="3">
        <v>13.51</v>
      </c>
      <c r="C954">
        <f t="shared" si="30"/>
        <v>5.19481687710393E-3</v>
      </c>
    </row>
    <row r="955" spans="1:3" x14ac:dyDescent="0.25">
      <c r="A955" s="4">
        <v>41411</v>
      </c>
      <c r="B955" s="3">
        <v>13.43</v>
      </c>
      <c r="C955">
        <f t="shared" si="30"/>
        <v>-5.9391414369612721E-3</v>
      </c>
    </row>
    <row r="956" spans="1:3" x14ac:dyDescent="0.25">
      <c r="A956" s="4">
        <v>41410</v>
      </c>
      <c r="B956" s="3">
        <v>13.36</v>
      </c>
      <c r="C956">
        <f t="shared" si="30"/>
        <v>-5.2258424266465467E-3</v>
      </c>
    </row>
    <row r="957" spans="1:3" x14ac:dyDescent="0.25">
      <c r="A957" s="4">
        <v>41409</v>
      </c>
      <c r="B957" s="3">
        <v>13.44</v>
      </c>
      <c r="C957">
        <f t="shared" si="30"/>
        <v>5.9701669865037544E-3</v>
      </c>
    </row>
    <row r="958" spans="1:3" x14ac:dyDescent="0.25">
      <c r="A958" s="4">
        <v>41408</v>
      </c>
      <c r="B958" s="3">
        <v>13.34</v>
      </c>
      <c r="C958">
        <f t="shared" si="30"/>
        <v>-7.4682946075257991E-3</v>
      </c>
    </row>
    <row r="959" spans="1:3" x14ac:dyDescent="0.25">
      <c r="A959" s="4">
        <v>41407</v>
      </c>
      <c r="B959" s="3">
        <v>12.98</v>
      </c>
      <c r="C959">
        <f t="shared" si="30"/>
        <v>-2.7357329211533651E-2</v>
      </c>
    </row>
    <row r="960" spans="1:3" x14ac:dyDescent="0.25">
      <c r="A960" s="4">
        <v>41404</v>
      </c>
      <c r="B960" s="3">
        <v>13.02</v>
      </c>
      <c r="C960">
        <f t="shared" si="30"/>
        <v>3.0769255044790986E-3</v>
      </c>
    </row>
    <row r="961" spans="1:3" x14ac:dyDescent="0.25">
      <c r="A961" s="4">
        <v>41403</v>
      </c>
      <c r="B961" s="3">
        <v>12.91</v>
      </c>
      <c r="C961">
        <f t="shared" si="30"/>
        <v>-8.484431921871996E-3</v>
      </c>
    </row>
    <row r="962" spans="1:3" x14ac:dyDescent="0.25">
      <c r="A962" s="4">
        <v>41402</v>
      </c>
      <c r="B962" s="3">
        <v>13.02</v>
      </c>
      <c r="C962">
        <f t="shared" si="30"/>
        <v>8.4844319218719093E-3</v>
      </c>
    </row>
    <row r="963" spans="1:3" x14ac:dyDescent="0.25">
      <c r="A963" s="4">
        <v>41401</v>
      </c>
      <c r="B963" s="3">
        <v>12.9</v>
      </c>
      <c r="C963">
        <f t="shared" si="30"/>
        <v>-9.2593254127967123E-3</v>
      </c>
    </row>
    <row r="964" spans="1:3" x14ac:dyDescent="0.25">
      <c r="A964" s="4">
        <v>41400</v>
      </c>
      <c r="B964" s="3">
        <v>12.88</v>
      </c>
      <c r="C964">
        <f t="shared" si="30"/>
        <v>-1.551590691418833E-3</v>
      </c>
    </row>
    <row r="965" spans="1:3" x14ac:dyDescent="0.25">
      <c r="A965" s="4">
        <v>41397</v>
      </c>
      <c r="B965" s="3">
        <v>12.24</v>
      </c>
      <c r="C965">
        <f t="shared" si="30"/>
        <v>-5.0966443592027628E-2</v>
      </c>
    </row>
    <row r="966" spans="1:3" x14ac:dyDescent="0.25">
      <c r="A966" s="4">
        <v>41396</v>
      </c>
      <c r="B966" s="3">
        <v>12.19</v>
      </c>
      <c r="C966">
        <f t="shared" ref="C966:C1029" si="31">LN(B966/B965)</f>
        <v>-4.0933335909999636E-3</v>
      </c>
    </row>
    <row r="967" spans="1:3" x14ac:dyDescent="0.25">
      <c r="A967" s="4">
        <v>41395</v>
      </c>
      <c r="B967" s="3">
        <v>12.14</v>
      </c>
      <c r="C967">
        <f t="shared" si="31"/>
        <v>-4.1101578618278753E-3</v>
      </c>
    </row>
    <row r="968" spans="1:3" x14ac:dyDescent="0.25">
      <c r="A968" s="4">
        <v>41394</v>
      </c>
      <c r="B968" s="3">
        <v>12.31</v>
      </c>
      <c r="C968">
        <f t="shared" si="31"/>
        <v>1.3906154565010031E-2</v>
      </c>
    </row>
    <row r="969" spans="1:3" x14ac:dyDescent="0.25">
      <c r="A969" s="4">
        <v>41393</v>
      </c>
      <c r="B969" s="3">
        <v>12.38</v>
      </c>
      <c r="C969">
        <f t="shared" si="31"/>
        <v>5.6703270600879496E-3</v>
      </c>
    </row>
    <row r="970" spans="1:3" x14ac:dyDescent="0.25">
      <c r="A970" s="4">
        <v>41390</v>
      </c>
      <c r="B970" s="3">
        <v>12.42</v>
      </c>
      <c r="C970">
        <f t="shared" si="31"/>
        <v>3.2258092488825687E-3</v>
      </c>
    </row>
    <row r="971" spans="1:3" x14ac:dyDescent="0.25">
      <c r="A971" s="4">
        <v>41389</v>
      </c>
      <c r="B971" s="3">
        <v>12.44</v>
      </c>
      <c r="C971">
        <f t="shared" si="31"/>
        <v>1.6090108057006858E-3</v>
      </c>
    </row>
    <row r="972" spans="1:3" x14ac:dyDescent="0.25">
      <c r="A972" s="4">
        <v>41388</v>
      </c>
      <c r="B972" s="3">
        <v>12.31</v>
      </c>
      <c r="C972">
        <f t="shared" si="31"/>
        <v>-1.0505147114671194E-2</v>
      </c>
    </row>
    <row r="973" spans="1:3" x14ac:dyDescent="0.25">
      <c r="A973" s="4">
        <v>41387</v>
      </c>
      <c r="B973" s="3">
        <v>12.07</v>
      </c>
      <c r="C973">
        <f t="shared" si="31"/>
        <v>-1.9688905086922018E-2</v>
      </c>
    </row>
    <row r="974" spans="1:3" x14ac:dyDescent="0.25">
      <c r="A974" s="4">
        <v>41386</v>
      </c>
      <c r="B974" s="3">
        <v>11.72</v>
      </c>
      <c r="C974">
        <f t="shared" si="31"/>
        <v>-2.9426250960573531E-2</v>
      </c>
    </row>
    <row r="975" spans="1:3" x14ac:dyDescent="0.25">
      <c r="A975" s="4">
        <v>41383</v>
      </c>
      <c r="B975" s="3">
        <v>11.66</v>
      </c>
      <c r="C975">
        <f t="shared" si="31"/>
        <v>-5.1326032265203141E-3</v>
      </c>
    </row>
    <row r="976" spans="1:3" x14ac:dyDescent="0.25">
      <c r="A976" s="4">
        <v>41382</v>
      </c>
      <c r="B976" s="3">
        <v>11.44</v>
      </c>
      <c r="C976">
        <f t="shared" si="31"/>
        <v>-1.9048194970694588E-2</v>
      </c>
    </row>
    <row r="977" spans="1:3" x14ac:dyDescent="0.25">
      <c r="A977" s="4">
        <v>41381</v>
      </c>
      <c r="B977" s="3">
        <v>11.7</v>
      </c>
      <c r="C977">
        <f t="shared" si="31"/>
        <v>2.2472855852058576E-2</v>
      </c>
    </row>
    <row r="978" spans="1:3" x14ac:dyDescent="0.25">
      <c r="A978" s="4">
        <v>41380</v>
      </c>
      <c r="B978" s="3">
        <v>12.28</v>
      </c>
      <c r="C978">
        <f t="shared" si="31"/>
        <v>4.8383080915286016E-2</v>
      </c>
    </row>
    <row r="979" spans="1:3" x14ac:dyDescent="0.25">
      <c r="A979" s="4">
        <v>41379</v>
      </c>
      <c r="B979" s="3">
        <v>11.98</v>
      </c>
      <c r="C979">
        <f t="shared" si="31"/>
        <v>-2.4733330031693011E-2</v>
      </c>
    </row>
    <row r="980" spans="1:3" x14ac:dyDescent="0.25">
      <c r="A980" s="4">
        <v>41376</v>
      </c>
      <c r="B980" s="3">
        <v>12.17</v>
      </c>
      <c r="C980">
        <f t="shared" si="31"/>
        <v>1.5735314312132452E-2</v>
      </c>
    </row>
    <row r="981" spans="1:3" x14ac:dyDescent="0.25">
      <c r="A981" s="4">
        <v>41375</v>
      </c>
      <c r="B981" s="3">
        <v>12.27</v>
      </c>
      <c r="C981">
        <f t="shared" si="31"/>
        <v>8.1833517233842294E-3</v>
      </c>
    </row>
    <row r="982" spans="1:3" x14ac:dyDescent="0.25">
      <c r="A982" s="4">
        <v>41374</v>
      </c>
      <c r="B982" s="3">
        <v>12.32</v>
      </c>
      <c r="C982">
        <f t="shared" si="31"/>
        <v>4.0666993825536129E-3</v>
      </c>
    </row>
    <row r="983" spans="1:3" x14ac:dyDescent="0.25">
      <c r="A983" s="4">
        <v>41373</v>
      </c>
      <c r="B983" s="3">
        <v>12.25</v>
      </c>
      <c r="C983">
        <f t="shared" si="31"/>
        <v>-5.6980211146377786E-3</v>
      </c>
    </row>
    <row r="984" spans="1:3" x14ac:dyDescent="0.25">
      <c r="A984" s="4">
        <v>41372</v>
      </c>
      <c r="B984" s="3">
        <v>12.21</v>
      </c>
      <c r="C984">
        <f t="shared" si="31"/>
        <v>-3.2706488681226074E-3</v>
      </c>
    </row>
    <row r="985" spans="1:3" x14ac:dyDescent="0.25">
      <c r="A985" s="4">
        <v>41369</v>
      </c>
      <c r="B985" s="3">
        <v>11.97</v>
      </c>
      <c r="C985">
        <f t="shared" si="31"/>
        <v>-1.9851768552731585E-2</v>
      </c>
    </row>
    <row r="986" spans="1:3" x14ac:dyDescent="0.25">
      <c r="A986" s="4">
        <v>41368</v>
      </c>
      <c r="B986" s="3">
        <v>11.94</v>
      </c>
      <c r="C986">
        <f t="shared" si="31"/>
        <v>-2.5094116054258072E-3</v>
      </c>
    </row>
    <row r="987" spans="1:3" x14ac:dyDescent="0.25">
      <c r="A987" s="4">
        <v>41367</v>
      </c>
      <c r="B987" s="3">
        <v>11.81</v>
      </c>
      <c r="C987">
        <f t="shared" si="31"/>
        <v>-1.0947477755185045E-2</v>
      </c>
    </row>
    <row r="988" spans="1:3" x14ac:dyDescent="0.25">
      <c r="A988" s="4">
        <v>41366</v>
      </c>
      <c r="B988" s="3">
        <v>12.15</v>
      </c>
      <c r="C988">
        <f t="shared" si="31"/>
        <v>2.8382539577286512E-2</v>
      </c>
    </row>
    <row r="989" spans="1:3" x14ac:dyDescent="0.25">
      <c r="A989" s="4">
        <v>41365</v>
      </c>
      <c r="B989" s="3">
        <v>12.15</v>
      </c>
      <c r="C989">
        <f t="shared" si="31"/>
        <v>0</v>
      </c>
    </row>
    <row r="990" spans="1:3" x14ac:dyDescent="0.25">
      <c r="A990" s="4">
        <v>41361</v>
      </c>
      <c r="B990" s="3">
        <v>12.18</v>
      </c>
      <c r="C990">
        <f t="shared" si="31"/>
        <v>2.4660924951934683E-3</v>
      </c>
    </row>
    <row r="991" spans="1:3" x14ac:dyDescent="0.25">
      <c r="A991" s="4">
        <v>41360</v>
      </c>
      <c r="B991" s="3">
        <v>12.23</v>
      </c>
      <c r="C991">
        <f t="shared" si="31"/>
        <v>4.0966874173301833E-3</v>
      </c>
    </row>
    <row r="992" spans="1:3" x14ac:dyDescent="0.25">
      <c r="A992" s="4">
        <v>41359</v>
      </c>
      <c r="B992" s="3">
        <v>12.28</v>
      </c>
      <c r="C992">
        <f t="shared" si="31"/>
        <v>4.079973019915294E-3</v>
      </c>
    </row>
    <row r="993" spans="1:3" x14ac:dyDescent="0.25">
      <c r="A993" s="4">
        <v>41358</v>
      </c>
      <c r="B993" s="3">
        <v>12.4</v>
      </c>
      <c r="C993">
        <f t="shared" si="31"/>
        <v>9.7245498919947809E-3</v>
      </c>
    </row>
    <row r="994" spans="1:3" x14ac:dyDescent="0.25">
      <c r="A994" s="4">
        <v>41355</v>
      </c>
      <c r="B994" s="3">
        <v>12.56</v>
      </c>
      <c r="C994">
        <f t="shared" si="31"/>
        <v>1.2820688429061469E-2</v>
      </c>
    </row>
    <row r="995" spans="1:3" x14ac:dyDescent="0.25">
      <c r="A995" s="4">
        <v>41354</v>
      </c>
      <c r="B995" s="3">
        <v>12.57</v>
      </c>
      <c r="C995">
        <f t="shared" si="31"/>
        <v>7.9586156210335337E-4</v>
      </c>
    </row>
    <row r="996" spans="1:3" x14ac:dyDescent="0.25">
      <c r="A996" s="4">
        <v>41353</v>
      </c>
      <c r="B996" s="3">
        <v>12.78</v>
      </c>
      <c r="C996">
        <f t="shared" si="31"/>
        <v>1.6568426347232705E-2</v>
      </c>
    </row>
    <row r="997" spans="1:3" x14ac:dyDescent="0.25">
      <c r="A997" s="4">
        <v>41352</v>
      </c>
      <c r="B997" s="3">
        <v>12.71</v>
      </c>
      <c r="C997">
        <f t="shared" si="31"/>
        <v>-5.49236374802592E-3</v>
      </c>
    </row>
    <row r="998" spans="1:3" x14ac:dyDescent="0.25">
      <c r="A998" s="4">
        <v>41351</v>
      </c>
      <c r="B998" s="3">
        <v>12.56</v>
      </c>
      <c r="C998">
        <f t="shared" si="31"/>
        <v>-1.18719241613101E-2</v>
      </c>
    </row>
    <row r="999" spans="1:3" x14ac:dyDescent="0.25">
      <c r="A999" s="4">
        <v>41348</v>
      </c>
      <c r="B999" s="3">
        <v>12.57</v>
      </c>
      <c r="C999">
        <f t="shared" si="31"/>
        <v>7.9586156210335337E-4</v>
      </c>
    </row>
    <row r="1000" spans="1:3" x14ac:dyDescent="0.25">
      <c r="A1000" s="4">
        <v>41347</v>
      </c>
      <c r="B1000" s="3">
        <v>12.11</v>
      </c>
      <c r="C1000">
        <f t="shared" si="31"/>
        <v>-3.7281465037155265E-2</v>
      </c>
    </row>
    <row r="1001" spans="1:3" x14ac:dyDescent="0.25">
      <c r="A1001" s="4">
        <v>41346</v>
      </c>
      <c r="B1001" s="3">
        <v>12.06</v>
      </c>
      <c r="C1001">
        <f t="shared" si="31"/>
        <v>-4.1373662659613944E-3</v>
      </c>
    </row>
    <row r="1002" spans="1:3" x14ac:dyDescent="0.25">
      <c r="A1002" s="4">
        <v>41345</v>
      </c>
      <c r="B1002" s="3">
        <v>12.01</v>
      </c>
      <c r="C1002">
        <f t="shared" si="31"/>
        <v>-4.154555207147248E-3</v>
      </c>
    </row>
    <row r="1003" spans="1:3" x14ac:dyDescent="0.25">
      <c r="A1003" s="4">
        <v>41344</v>
      </c>
      <c r="B1003" s="3">
        <v>12.15</v>
      </c>
      <c r="C1003">
        <f t="shared" si="31"/>
        <v>1.1589533694665373E-2</v>
      </c>
    </row>
    <row r="1004" spans="1:3" x14ac:dyDescent="0.25">
      <c r="A1004" s="4">
        <v>41341</v>
      </c>
      <c r="B1004" s="3">
        <v>12.07</v>
      </c>
      <c r="C1004">
        <f t="shared" si="31"/>
        <v>-6.6061346771173896E-3</v>
      </c>
    </row>
    <row r="1005" spans="1:3" x14ac:dyDescent="0.25">
      <c r="A1005" s="4">
        <v>41340</v>
      </c>
      <c r="B1005" s="3">
        <v>12.26</v>
      </c>
      <c r="C1005">
        <f t="shared" si="31"/>
        <v>1.5618895398625173E-2</v>
      </c>
    </row>
    <row r="1006" spans="1:3" x14ac:dyDescent="0.25">
      <c r="A1006" s="4">
        <v>41339</v>
      </c>
      <c r="B1006" s="3">
        <v>11.92</v>
      </c>
      <c r="C1006">
        <f t="shared" si="31"/>
        <v>-2.8124268870861599E-2</v>
      </c>
    </row>
    <row r="1007" spans="1:3" x14ac:dyDescent="0.25">
      <c r="A1007" s="4">
        <v>41338</v>
      </c>
      <c r="B1007" s="3">
        <v>11.55</v>
      </c>
      <c r="C1007">
        <f t="shared" si="31"/>
        <v>-3.1532224669401067E-2</v>
      </c>
    </row>
    <row r="1008" spans="1:3" x14ac:dyDescent="0.25">
      <c r="A1008" s="4">
        <v>41337</v>
      </c>
      <c r="B1008" s="3">
        <v>11.41</v>
      </c>
      <c r="C1008">
        <f t="shared" si="31"/>
        <v>-1.2195273093818355E-2</v>
      </c>
    </row>
    <row r="1009" spans="1:3" x14ac:dyDescent="0.25">
      <c r="A1009" s="4">
        <v>41334</v>
      </c>
      <c r="B1009" s="3">
        <v>11.34</v>
      </c>
      <c r="C1009">
        <f t="shared" si="31"/>
        <v>-6.1538655743783354E-3</v>
      </c>
    </row>
    <row r="1010" spans="1:3" x14ac:dyDescent="0.25">
      <c r="A1010" s="4">
        <v>41333</v>
      </c>
      <c r="B1010" s="3">
        <v>11.23</v>
      </c>
      <c r="C1010">
        <f t="shared" si="31"/>
        <v>-9.7475295492541157E-3</v>
      </c>
    </row>
    <row r="1011" spans="1:3" x14ac:dyDescent="0.25">
      <c r="A1011" s="4">
        <v>41332</v>
      </c>
      <c r="B1011" s="3">
        <v>11.3</v>
      </c>
      <c r="C1011">
        <f t="shared" si="31"/>
        <v>6.2139569679430726E-3</v>
      </c>
    </row>
    <row r="1012" spans="1:3" x14ac:dyDescent="0.25">
      <c r="A1012" s="4">
        <v>41331</v>
      </c>
      <c r="B1012" s="3">
        <v>11.13</v>
      </c>
      <c r="C1012">
        <f t="shared" si="31"/>
        <v>-1.51585604308414E-2</v>
      </c>
    </row>
    <row r="1013" spans="1:3" x14ac:dyDescent="0.25">
      <c r="A1013" s="4">
        <v>41330</v>
      </c>
      <c r="B1013" s="3">
        <v>11.03</v>
      </c>
      <c r="C1013">
        <f t="shared" si="31"/>
        <v>-9.0253320220425176E-3</v>
      </c>
    </row>
    <row r="1014" spans="1:3" x14ac:dyDescent="0.25">
      <c r="A1014" s="4">
        <v>41327</v>
      </c>
      <c r="B1014" s="3">
        <v>11.44</v>
      </c>
      <c r="C1014">
        <f t="shared" si="31"/>
        <v>3.6497152686240764E-2</v>
      </c>
    </row>
    <row r="1015" spans="1:3" x14ac:dyDescent="0.25">
      <c r="A1015" s="4">
        <v>41326</v>
      </c>
      <c r="B1015" s="3">
        <v>11.42</v>
      </c>
      <c r="C1015">
        <f t="shared" si="31"/>
        <v>-1.7497817237875951E-3</v>
      </c>
    </row>
    <row r="1016" spans="1:3" x14ac:dyDescent="0.25">
      <c r="A1016" s="4">
        <v>41325</v>
      </c>
      <c r="B1016" s="3">
        <v>11.8</v>
      </c>
      <c r="C1016">
        <f t="shared" si="31"/>
        <v>3.2733327243755071E-2</v>
      </c>
    </row>
    <row r="1017" spans="1:3" x14ac:dyDescent="0.25">
      <c r="A1017" s="4">
        <v>41324</v>
      </c>
      <c r="B1017" s="3">
        <v>12.19</v>
      </c>
      <c r="C1017">
        <f t="shared" si="31"/>
        <v>3.2516412021560956E-2</v>
      </c>
    </row>
    <row r="1018" spans="1:3" x14ac:dyDescent="0.25">
      <c r="A1018" s="4">
        <v>41320</v>
      </c>
      <c r="B1018" s="3">
        <v>12.03</v>
      </c>
      <c r="C1018">
        <f t="shared" si="31"/>
        <v>-1.3212413506592665E-2</v>
      </c>
    </row>
    <row r="1019" spans="1:3" x14ac:dyDescent="0.25">
      <c r="A1019" s="4">
        <v>41319</v>
      </c>
      <c r="B1019" s="3">
        <v>12.13</v>
      </c>
      <c r="C1019">
        <f t="shared" si="31"/>
        <v>8.2781929693714739E-3</v>
      </c>
    </row>
    <row r="1020" spans="1:3" x14ac:dyDescent="0.25">
      <c r="A1020" s="4">
        <v>41318</v>
      </c>
      <c r="B1020" s="3">
        <v>12.17</v>
      </c>
      <c r="C1020">
        <f t="shared" si="31"/>
        <v>3.2921840434768767E-3</v>
      </c>
    </row>
    <row r="1021" spans="1:3" x14ac:dyDescent="0.25">
      <c r="A1021" s="4">
        <v>41317</v>
      </c>
      <c r="B1021" s="3">
        <v>12.25</v>
      </c>
      <c r="C1021">
        <f t="shared" si="31"/>
        <v>6.5520299913001141E-3</v>
      </c>
    </row>
    <row r="1022" spans="1:3" x14ac:dyDescent="0.25">
      <c r="A1022" s="4">
        <v>41316</v>
      </c>
      <c r="B1022" s="3">
        <v>11.86</v>
      </c>
      <c r="C1022">
        <f t="shared" si="31"/>
        <v>-3.2354543421156651E-2</v>
      </c>
    </row>
    <row r="1023" spans="1:3" x14ac:dyDescent="0.25">
      <c r="A1023" s="4">
        <v>41313</v>
      </c>
      <c r="B1023" s="3">
        <v>11.76</v>
      </c>
      <c r="C1023">
        <f t="shared" si="31"/>
        <v>-8.4674510990984941E-3</v>
      </c>
    </row>
    <row r="1024" spans="1:3" x14ac:dyDescent="0.25">
      <c r="A1024" s="4">
        <v>41312</v>
      </c>
      <c r="B1024" s="3">
        <v>11.84</v>
      </c>
      <c r="C1024">
        <f t="shared" si="31"/>
        <v>6.7796869853787691E-3</v>
      </c>
    </row>
    <row r="1025" spans="1:3" x14ac:dyDescent="0.25">
      <c r="A1025" s="4">
        <v>41311</v>
      </c>
      <c r="B1025" s="3">
        <v>11.93</v>
      </c>
      <c r="C1025">
        <f t="shared" si="31"/>
        <v>7.572606653965086E-3</v>
      </c>
    </row>
    <row r="1026" spans="1:3" x14ac:dyDescent="0.25">
      <c r="A1026" s="4">
        <v>41310</v>
      </c>
      <c r="B1026" s="3">
        <v>11.88</v>
      </c>
      <c r="C1026">
        <f t="shared" si="31"/>
        <v>-4.199922175325793E-3</v>
      </c>
    </row>
    <row r="1027" spans="1:3" x14ac:dyDescent="0.25">
      <c r="A1027" s="4">
        <v>41309</v>
      </c>
      <c r="B1027" s="3">
        <v>11.48</v>
      </c>
      <c r="C1027">
        <f t="shared" si="31"/>
        <v>-3.4249923043078577E-2</v>
      </c>
    </row>
    <row r="1028" spans="1:3" x14ac:dyDescent="0.25">
      <c r="A1028" s="4">
        <v>41306</v>
      </c>
      <c r="B1028" s="3">
        <v>11.71</v>
      </c>
      <c r="C1028">
        <f t="shared" si="31"/>
        <v>1.9836786718205726E-2</v>
      </c>
    </row>
    <row r="1029" spans="1:3" x14ac:dyDescent="0.25">
      <c r="A1029" s="4">
        <v>41305</v>
      </c>
      <c r="B1029" s="3">
        <v>11.32</v>
      </c>
      <c r="C1029">
        <f t="shared" si="31"/>
        <v>-3.3872104834589141E-2</v>
      </c>
    </row>
    <row r="1030" spans="1:3" x14ac:dyDescent="0.25">
      <c r="A1030" s="4">
        <v>41304</v>
      </c>
      <c r="B1030" s="3">
        <v>11.38</v>
      </c>
      <c r="C1030">
        <f t="shared" ref="C1030:C1093" si="32">LN(B1030/B1029)</f>
        <v>5.2863559231480246E-3</v>
      </c>
    </row>
    <row r="1031" spans="1:3" x14ac:dyDescent="0.25">
      <c r="A1031" s="4">
        <v>41303</v>
      </c>
      <c r="B1031" s="3">
        <v>11.49</v>
      </c>
      <c r="C1031">
        <f t="shared" si="32"/>
        <v>9.6196631624793274E-3</v>
      </c>
    </row>
    <row r="1032" spans="1:3" x14ac:dyDescent="0.25">
      <c r="A1032" s="4">
        <v>41302</v>
      </c>
      <c r="B1032" s="3">
        <v>11.48</v>
      </c>
      <c r="C1032">
        <f t="shared" si="32"/>
        <v>-8.7070096924392088E-4</v>
      </c>
    </row>
    <row r="1033" spans="1:3" x14ac:dyDescent="0.25">
      <c r="A1033" s="4">
        <v>41299</v>
      </c>
      <c r="B1033" s="3">
        <v>11.62</v>
      </c>
      <c r="C1033">
        <f t="shared" si="32"/>
        <v>1.2121360532344602E-2</v>
      </c>
    </row>
    <row r="1034" spans="1:3" x14ac:dyDescent="0.25">
      <c r="A1034" s="4">
        <v>41298</v>
      </c>
      <c r="B1034" s="3">
        <v>11.53</v>
      </c>
      <c r="C1034">
        <f t="shared" si="32"/>
        <v>-7.775417142797449E-3</v>
      </c>
    </row>
    <row r="1035" spans="1:3" x14ac:dyDescent="0.25">
      <c r="A1035" s="4">
        <v>41297</v>
      </c>
      <c r="B1035" s="3">
        <v>11.42</v>
      </c>
      <c r="C1035">
        <f t="shared" si="32"/>
        <v>-9.5861300531034158E-3</v>
      </c>
    </row>
    <row r="1036" spans="1:3" x14ac:dyDescent="0.25">
      <c r="A1036" s="4">
        <v>41296</v>
      </c>
      <c r="B1036" s="3">
        <v>11.35</v>
      </c>
      <c r="C1036">
        <f t="shared" si="32"/>
        <v>-6.1484603004524595E-3</v>
      </c>
    </row>
    <row r="1037" spans="1:3" x14ac:dyDescent="0.25">
      <c r="A1037" s="4">
        <v>41292</v>
      </c>
      <c r="B1037" s="3">
        <v>11.14</v>
      </c>
      <c r="C1037">
        <f t="shared" si="32"/>
        <v>-1.8675509428273614E-2</v>
      </c>
    </row>
    <row r="1038" spans="1:3" x14ac:dyDescent="0.25">
      <c r="A1038" s="4">
        <v>41291</v>
      </c>
      <c r="B1038" s="3">
        <v>11.28</v>
      </c>
      <c r="C1038">
        <f t="shared" si="32"/>
        <v>1.2489011570774767E-2</v>
      </c>
    </row>
    <row r="1039" spans="1:3" x14ac:dyDescent="0.25">
      <c r="A1039" s="4">
        <v>41290</v>
      </c>
      <c r="B1039" s="3">
        <v>11.78</v>
      </c>
      <c r="C1039">
        <f t="shared" si="32"/>
        <v>4.3371932153527845E-2</v>
      </c>
    </row>
    <row r="1040" spans="1:3" x14ac:dyDescent="0.25">
      <c r="A1040" s="4">
        <v>41289</v>
      </c>
      <c r="B1040" s="3">
        <v>11.55</v>
      </c>
      <c r="C1040">
        <f t="shared" si="32"/>
        <v>-1.9717741255638004E-2</v>
      </c>
    </row>
    <row r="1041" spans="1:3" x14ac:dyDescent="0.25">
      <c r="A1041" s="4">
        <v>41288</v>
      </c>
      <c r="B1041" s="3">
        <v>11.47</v>
      </c>
      <c r="C1041">
        <f t="shared" si="32"/>
        <v>-6.9505058265231902E-3</v>
      </c>
    </row>
    <row r="1042" spans="1:3" x14ac:dyDescent="0.25">
      <c r="A1042" s="4">
        <v>41285</v>
      </c>
      <c r="B1042" s="3">
        <v>11.63</v>
      </c>
      <c r="C1042">
        <f t="shared" si="32"/>
        <v>1.3853035389293729E-2</v>
      </c>
    </row>
    <row r="1043" spans="1:3" x14ac:dyDescent="0.25">
      <c r="A1043" s="4">
        <v>41284</v>
      </c>
      <c r="B1043" s="3">
        <v>11.78</v>
      </c>
      <c r="C1043">
        <f t="shared" si="32"/>
        <v>1.2815211692867506E-2</v>
      </c>
    </row>
    <row r="1044" spans="1:3" x14ac:dyDescent="0.25">
      <c r="A1044" s="4">
        <v>41283</v>
      </c>
      <c r="B1044" s="3">
        <v>11.43</v>
      </c>
      <c r="C1044">
        <f t="shared" si="32"/>
        <v>-3.0161700416721362E-2</v>
      </c>
    </row>
    <row r="1045" spans="1:3" x14ac:dyDescent="0.25">
      <c r="A1045" s="4">
        <v>41282</v>
      </c>
      <c r="B1045" s="3">
        <v>11.98</v>
      </c>
      <c r="C1045">
        <f t="shared" si="32"/>
        <v>4.6997114880584154E-2</v>
      </c>
    </row>
    <row r="1046" spans="1:3" x14ac:dyDescent="0.25">
      <c r="A1046" s="4">
        <v>41281</v>
      </c>
      <c r="B1046" s="3">
        <v>12.09</v>
      </c>
      <c r="C1046">
        <f t="shared" si="32"/>
        <v>9.1400719393979792E-3</v>
      </c>
    </row>
    <row r="1047" spans="1:3" x14ac:dyDescent="0.25">
      <c r="A1047" s="4">
        <v>41278</v>
      </c>
      <c r="B1047" s="3">
        <v>12.11</v>
      </c>
      <c r="C1047">
        <f t="shared" si="32"/>
        <v>1.6528929382995943E-3</v>
      </c>
    </row>
    <row r="1048" spans="1:3" x14ac:dyDescent="0.25">
      <c r="A1048" s="4">
        <v>41277</v>
      </c>
      <c r="B1048" s="3">
        <v>11.96</v>
      </c>
      <c r="C1048">
        <f t="shared" si="32"/>
        <v>-1.2463809042515112E-2</v>
      </c>
    </row>
    <row r="1049" spans="1:3" x14ac:dyDescent="0.25">
      <c r="A1049" s="4">
        <v>41276</v>
      </c>
      <c r="B1049" s="3">
        <v>12.03</v>
      </c>
      <c r="C1049">
        <f t="shared" si="32"/>
        <v>5.8357814641017726E-3</v>
      </c>
    </row>
    <row r="1050" spans="1:3" x14ac:dyDescent="0.25">
      <c r="A1050" s="4">
        <v>41274</v>
      </c>
      <c r="B1050" s="3">
        <v>11.61</v>
      </c>
      <c r="C1050">
        <f t="shared" si="32"/>
        <v>-3.5536734276787427E-2</v>
      </c>
    </row>
    <row r="1051" spans="1:3" x14ac:dyDescent="0.25">
      <c r="A1051" s="4">
        <v>41271</v>
      </c>
      <c r="B1051" s="3">
        <v>11.36</v>
      </c>
      <c r="C1051">
        <f t="shared" si="32"/>
        <v>-2.1768382416794865E-2</v>
      </c>
    </row>
    <row r="1052" spans="1:3" x14ac:dyDescent="0.25">
      <c r="A1052" s="4">
        <v>41270</v>
      </c>
      <c r="B1052" s="3">
        <v>11.47</v>
      </c>
      <c r="C1052">
        <f t="shared" si="32"/>
        <v>9.6365178482742102E-3</v>
      </c>
    </row>
    <row r="1053" spans="1:3" x14ac:dyDescent="0.25">
      <c r="A1053" s="4">
        <v>41269</v>
      </c>
      <c r="B1053" s="3">
        <v>11.54</v>
      </c>
      <c r="C1053">
        <f t="shared" si="32"/>
        <v>6.084329938674026E-3</v>
      </c>
    </row>
    <row r="1054" spans="1:3" x14ac:dyDescent="0.25">
      <c r="A1054" s="4">
        <v>41267</v>
      </c>
      <c r="B1054" s="3">
        <v>11.25</v>
      </c>
      <c r="C1054">
        <f t="shared" si="32"/>
        <v>-2.5451132429524261E-2</v>
      </c>
    </row>
    <row r="1055" spans="1:3" x14ac:dyDescent="0.25">
      <c r="A1055" s="4">
        <v>41264</v>
      </c>
      <c r="B1055" s="3">
        <v>11.29</v>
      </c>
      <c r="C1055">
        <f t="shared" si="32"/>
        <v>3.5492495111414894E-3</v>
      </c>
    </row>
    <row r="1056" spans="1:3" x14ac:dyDescent="0.25">
      <c r="A1056" s="4">
        <v>41263</v>
      </c>
      <c r="B1056" s="3">
        <v>11.52</v>
      </c>
      <c r="C1056">
        <f t="shared" si="32"/>
        <v>2.0167277106174591E-2</v>
      </c>
    </row>
    <row r="1057" spans="1:3" x14ac:dyDescent="0.25">
      <c r="A1057" s="4">
        <v>41262</v>
      </c>
      <c r="B1057" s="3">
        <v>11.19</v>
      </c>
      <c r="C1057">
        <f t="shared" si="32"/>
        <v>-2.9064132943911355E-2</v>
      </c>
    </row>
    <row r="1058" spans="1:3" x14ac:dyDescent="0.25">
      <c r="A1058" s="4">
        <v>41261</v>
      </c>
      <c r="B1058" s="3">
        <v>11.36</v>
      </c>
      <c r="C1058">
        <f t="shared" si="32"/>
        <v>1.5077890969171509E-2</v>
      </c>
    </row>
    <row r="1059" spans="1:3" x14ac:dyDescent="0.25">
      <c r="A1059" s="4">
        <v>41260</v>
      </c>
      <c r="B1059" s="3">
        <v>11</v>
      </c>
      <c r="C1059">
        <f t="shared" si="32"/>
        <v>-3.2203140494634706E-2</v>
      </c>
    </row>
    <row r="1060" spans="1:3" x14ac:dyDescent="0.25">
      <c r="A1060" s="4">
        <v>41257</v>
      </c>
      <c r="B1060" s="3">
        <v>10.58</v>
      </c>
      <c r="C1060">
        <f t="shared" si="32"/>
        <v>-3.8929846368217245E-2</v>
      </c>
    </row>
    <row r="1061" spans="1:3" x14ac:dyDescent="0.25">
      <c r="A1061" s="4">
        <v>41256</v>
      </c>
      <c r="B1061" s="3">
        <v>10.54</v>
      </c>
      <c r="C1061">
        <f t="shared" si="32"/>
        <v>-3.7878833169370917E-3</v>
      </c>
    </row>
    <row r="1062" spans="1:3" x14ac:dyDescent="0.25">
      <c r="A1062" s="4">
        <v>41255</v>
      </c>
      <c r="B1062" s="3">
        <v>10.61</v>
      </c>
      <c r="C1062">
        <f t="shared" si="32"/>
        <v>6.6194095126754548E-3</v>
      </c>
    </row>
    <row r="1063" spans="1:3" x14ac:dyDescent="0.25">
      <c r="A1063" s="4">
        <v>41254</v>
      </c>
      <c r="B1063" s="3">
        <v>10.51</v>
      </c>
      <c r="C1063">
        <f t="shared" si="32"/>
        <v>-9.469767737031962E-3</v>
      </c>
    </row>
    <row r="1064" spans="1:3" x14ac:dyDescent="0.25">
      <c r="A1064" s="4">
        <v>41253</v>
      </c>
      <c r="B1064" s="3">
        <v>10.57</v>
      </c>
      <c r="C1064">
        <f t="shared" si="32"/>
        <v>5.6926149932864985E-3</v>
      </c>
    </row>
    <row r="1065" spans="1:3" x14ac:dyDescent="0.25">
      <c r="A1065" s="4">
        <v>41250</v>
      </c>
      <c r="B1065" s="3">
        <v>10.64</v>
      </c>
      <c r="C1065">
        <f t="shared" si="32"/>
        <v>6.6006840313520927E-3</v>
      </c>
    </row>
    <row r="1066" spans="1:3" x14ac:dyDescent="0.25">
      <c r="A1066" s="4">
        <v>41249</v>
      </c>
      <c r="B1066" s="3">
        <v>10.46</v>
      </c>
      <c r="C1066">
        <f t="shared" si="32"/>
        <v>-1.7062025276721439E-2</v>
      </c>
    </row>
    <row r="1067" spans="1:3" x14ac:dyDescent="0.25">
      <c r="A1067" s="4">
        <v>41248</v>
      </c>
      <c r="B1067" s="3">
        <v>10.46</v>
      </c>
      <c r="C1067">
        <f t="shared" si="32"/>
        <v>0</v>
      </c>
    </row>
    <row r="1068" spans="1:3" x14ac:dyDescent="0.25">
      <c r="A1068" s="4">
        <v>41247</v>
      </c>
      <c r="B1068" s="3">
        <v>9.91</v>
      </c>
      <c r="C1068">
        <f t="shared" si="32"/>
        <v>-5.4014110294880312E-2</v>
      </c>
    </row>
    <row r="1069" spans="1:3" x14ac:dyDescent="0.25">
      <c r="A1069" s="4">
        <v>41246</v>
      </c>
      <c r="B1069" s="3">
        <v>9.8000000000000007</v>
      </c>
      <c r="C1069">
        <f t="shared" si="32"/>
        <v>-1.1161962665370352E-2</v>
      </c>
    </row>
    <row r="1070" spans="1:3" x14ac:dyDescent="0.25">
      <c r="A1070" s="4">
        <v>41243</v>
      </c>
      <c r="B1070" s="3">
        <v>9.86</v>
      </c>
      <c r="C1070">
        <f t="shared" si="32"/>
        <v>6.1037829380176656E-3</v>
      </c>
    </row>
    <row r="1071" spans="1:3" x14ac:dyDescent="0.25">
      <c r="A1071" s="4">
        <v>41242</v>
      </c>
      <c r="B1071" s="3">
        <v>9.83</v>
      </c>
      <c r="C1071">
        <f t="shared" si="32"/>
        <v>-3.0472344554687463E-3</v>
      </c>
    </row>
    <row r="1072" spans="1:3" x14ac:dyDescent="0.25">
      <c r="A1072" s="4">
        <v>41241</v>
      </c>
      <c r="B1072" s="3">
        <v>9.76</v>
      </c>
      <c r="C1072">
        <f t="shared" si="32"/>
        <v>-7.146533734074088E-3</v>
      </c>
    </row>
    <row r="1073" spans="1:3" x14ac:dyDescent="0.25">
      <c r="A1073" s="4">
        <v>41240</v>
      </c>
      <c r="B1073" s="3">
        <v>9.66</v>
      </c>
      <c r="C1073">
        <f t="shared" si="32"/>
        <v>-1.0298752200574473E-2</v>
      </c>
    </row>
    <row r="1074" spans="1:3" x14ac:dyDescent="0.25">
      <c r="A1074" s="4">
        <v>41239</v>
      </c>
      <c r="B1074" s="3">
        <v>9.84</v>
      </c>
      <c r="C1074">
        <f t="shared" si="32"/>
        <v>1.8462062839735352E-2</v>
      </c>
    </row>
    <row r="1075" spans="1:3" x14ac:dyDescent="0.25">
      <c r="A1075" s="4">
        <v>41236</v>
      </c>
      <c r="B1075" s="3">
        <v>9.9</v>
      </c>
      <c r="C1075">
        <f t="shared" si="32"/>
        <v>6.0790460763821925E-3</v>
      </c>
    </row>
    <row r="1076" spans="1:3" x14ac:dyDescent="0.25">
      <c r="A1076" s="4">
        <v>41234</v>
      </c>
      <c r="B1076" s="3">
        <v>9.77</v>
      </c>
      <c r="C1076">
        <f t="shared" si="32"/>
        <v>-1.3218291085852957E-2</v>
      </c>
    </row>
    <row r="1077" spans="1:3" x14ac:dyDescent="0.25">
      <c r="A1077" s="4">
        <v>41233</v>
      </c>
      <c r="B1077" s="3">
        <v>9.6300000000000008</v>
      </c>
      <c r="C1077">
        <f t="shared" si="32"/>
        <v>-1.4433240244657112E-2</v>
      </c>
    </row>
    <row r="1078" spans="1:3" x14ac:dyDescent="0.25">
      <c r="A1078" s="4">
        <v>41232</v>
      </c>
      <c r="B1078" s="3">
        <v>9.49</v>
      </c>
      <c r="C1078">
        <f t="shared" si="32"/>
        <v>-1.4644613188197731E-2</v>
      </c>
    </row>
    <row r="1079" spans="1:3" x14ac:dyDescent="0.25">
      <c r="A1079" s="4">
        <v>41229</v>
      </c>
      <c r="B1079" s="3">
        <v>9.1199999999999992</v>
      </c>
      <c r="C1079">
        <f t="shared" si="32"/>
        <v>-3.9768808535596556E-2</v>
      </c>
    </row>
    <row r="1080" spans="1:3" x14ac:dyDescent="0.25">
      <c r="A1080" s="4">
        <v>41228</v>
      </c>
      <c r="B1080" s="3">
        <v>9.09</v>
      </c>
      <c r="C1080">
        <f t="shared" si="32"/>
        <v>-3.2948958968525379E-3</v>
      </c>
    </row>
    <row r="1081" spans="1:3" x14ac:dyDescent="0.25">
      <c r="A1081" s="4">
        <v>41227</v>
      </c>
      <c r="B1081" s="3">
        <v>8.99</v>
      </c>
      <c r="C1081">
        <f t="shared" si="32"/>
        <v>-1.1062059705858546E-2</v>
      </c>
    </row>
    <row r="1082" spans="1:3" x14ac:dyDescent="0.25">
      <c r="A1082" s="4">
        <v>41226</v>
      </c>
      <c r="B1082" s="3">
        <v>9.33</v>
      </c>
      <c r="C1082">
        <f t="shared" si="32"/>
        <v>3.7122166375723437E-2</v>
      </c>
    </row>
    <row r="1083" spans="1:3" x14ac:dyDescent="0.25">
      <c r="A1083" s="4">
        <v>41225</v>
      </c>
      <c r="B1083" s="3">
        <v>9.39</v>
      </c>
      <c r="C1083">
        <f t="shared" si="32"/>
        <v>6.4102783609192391E-3</v>
      </c>
    </row>
    <row r="1084" spans="1:3" x14ac:dyDescent="0.25">
      <c r="A1084" s="4">
        <v>41222</v>
      </c>
      <c r="B1084" s="3">
        <v>9.43</v>
      </c>
      <c r="C1084">
        <f t="shared" si="32"/>
        <v>4.250803425194568E-3</v>
      </c>
    </row>
    <row r="1085" spans="1:3" x14ac:dyDescent="0.25">
      <c r="A1085" s="4">
        <v>41221</v>
      </c>
      <c r="B1085" s="3">
        <v>9.39</v>
      </c>
      <c r="C1085">
        <f t="shared" si="32"/>
        <v>-4.2508034251944882E-3</v>
      </c>
    </row>
    <row r="1086" spans="1:3" x14ac:dyDescent="0.25">
      <c r="A1086" s="4">
        <v>41220</v>
      </c>
      <c r="B1086" s="3">
        <v>9.23</v>
      </c>
      <c r="C1086">
        <f t="shared" si="32"/>
        <v>-1.7186244705410789E-2</v>
      </c>
    </row>
    <row r="1087" spans="1:3" x14ac:dyDescent="0.25">
      <c r="A1087" s="4">
        <v>41219</v>
      </c>
      <c r="B1087" s="3">
        <v>9.94</v>
      </c>
      <c r="C1087">
        <f t="shared" si="32"/>
        <v>7.4107972153721835E-2</v>
      </c>
    </row>
    <row r="1088" spans="1:3" x14ac:dyDescent="0.25">
      <c r="A1088" s="4">
        <v>41218</v>
      </c>
      <c r="B1088" s="3">
        <v>9.75</v>
      </c>
      <c r="C1088">
        <f t="shared" si="32"/>
        <v>-1.9299735658726818E-2</v>
      </c>
    </row>
    <row r="1089" spans="1:3" x14ac:dyDescent="0.25">
      <c r="A1089" s="4">
        <v>41215</v>
      </c>
      <c r="B1089" s="3">
        <v>9.85</v>
      </c>
      <c r="C1089">
        <f t="shared" si="32"/>
        <v>1.0204170174241668E-2</v>
      </c>
    </row>
    <row r="1090" spans="1:3" x14ac:dyDescent="0.25">
      <c r="A1090" s="4">
        <v>41214</v>
      </c>
      <c r="B1090" s="3">
        <v>9.74</v>
      </c>
      <c r="C1090">
        <f t="shared" si="32"/>
        <v>-1.1230337529553771E-2</v>
      </c>
    </row>
    <row r="1091" spans="1:3" x14ac:dyDescent="0.25">
      <c r="A1091" s="4">
        <v>41213</v>
      </c>
      <c r="B1091" s="3">
        <v>9.32</v>
      </c>
      <c r="C1091">
        <f t="shared" si="32"/>
        <v>-4.4078488956943947E-2</v>
      </c>
    </row>
    <row r="1092" spans="1:3" x14ac:dyDescent="0.25">
      <c r="A1092" s="4">
        <v>41208</v>
      </c>
      <c r="B1092" s="3">
        <v>9.1199999999999992</v>
      </c>
      <c r="C1092">
        <f t="shared" si="32"/>
        <v>-2.1692824611259896E-2</v>
      </c>
    </row>
    <row r="1093" spans="1:3" x14ac:dyDescent="0.25">
      <c r="A1093" s="4">
        <v>41207</v>
      </c>
      <c r="B1093" s="3">
        <v>9.24</v>
      </c>
      <c r="C1093">
        <f t="shared" si="32"/>
        <v>1.3072081567352921E-2</v>
      </c>
    </row>
    <row r="1094" spans="1:3" x14ac:dyDescent="0.25">
      <c r="A1094" s="4">
        <v>41206</v>
      </c>
      <c r="B1094" s="3">
        <v>9.31</v>
      </c>
      <c r="C1094">
        <f t="shared" ref="C1094:C1157" si="33">LN(B1094/B1093)</f>
        <v>7.5472056353829038E-3</v>
      </c>
    </row>
    <row r="1095" spans="1:3" x14ac:dyDescent="0.25">
      <c r="A1095" s="4">
        <v>41205</v>
      </c>
      <c r="B1095" s="3">
        <v>9.36</v>
      </c>
      <c r="C1095">
        <f t="shared" si="33"/>
        <v>5.35619920052489E-3</v>
      </c>
    </row>
    <row r="1096" spans="1:3" x14ac:dyDescent="0.25">
      <c r="A1096" s="4">
        <v>41204</v>
      </c>
      <c r="B1096" s="3">
        <v>9.5500000000000007</v>
      </c>
      <c r="C1096">
        <f t="shared" si="33"/>
        <v>2.0095864003138349E-2</v>
      </c>
    </row>
    <row r="1097" spans="1:3" x14ac:dyDescent="0.25">
      <c r="A1097" s="4">
        <v>41201</v>
      </c>
      <c r="B1097" s="3">
        <v>9.44</v>
      </c>
      <c r="C1097">
        <f t="shared" si="33"/>
        <v>-1.158517433522965E-2</v>
      </c>
    </row>
    <row r="1098" spans="1:3" x14ac:dyDescent="0.25">
      <c r="A1098" s="4">
        <v>41200</v>
      </c>
      <c r="B1098" s="3">
        <v>9.4700000000000006</v>
      </c>
      <c r="C1098">
        <f t="shared" si="33"/>
        <v>3.1729270405777134E-3</v>
      </c>
    </row>
    <row r="1099" spans="1:3" x14ac:dyDescent="0.25">
      <c r="A1099" s="4">
        <v>41199</v>
      </c>
      <c r="B1099" s="3">
        <v>9.44</v>
      </c>
      <c r="C1099">
        <f t="shared" si="33"/>
        <v>-3.1729270405777203E-3</v>
      </c>
    </row>
    <row r="1100" spans="1:3" x14ac:dyDescent="0.25">
      <c r="A1100" s="4">
        <v>41198</v>
      </c>
      <c r="B1100" s="3">
        <v>9.4600000000000009</v>
      </c>
      <c r="C1100">
        <f t="shared" si="33"/>
        <v>2.1164029063776937E-3</v>
      </c>
    </row>
    <row r="1101" spans="1:3" x14ac:dyDescent="0.25">
      <c r="A1101" s="4">
        <v>41197</v>
      </c>
      <c r="B1101" s="3">
        <v>9.44</v>
      </c>
      <c r="C1101">
        <f t="shared" si="33"/>
        <v>-2.116402906377724E-3</v>
      </c>
    </row>
    <row r="1102" spans="1:3" x14ac:dyDescent="0.25">
      <c r="A1102" s="4">
        <v>41194</v>
      </c>
      <c r="B1102" s="3">
        <v>9.1199999999999992</v>
      </c>
      <c r="C1102">
        <f t="shared" si="33"/>
        <v>-3.4486176071169321E-2</v>
      </c>
    </row>
    <row r="1103" spans="1:3" x14ac:dyDescent="0.25">
      <c r="A1103" s="4">
        <v>41193</v>
      </c>
      <c r="B1103" s="3">
        <v>9.34</v>
      </c>
      <c r="C1103">
        <f t="shared" si="33"/>
        <v>2.3836448154511251E-2</v>
      </c>
    </row>
    <row r="1104" spans="1:3" x14ac:dyDescent="0.25">
      <c r="A1104" s="4">
        <v>41192</v>
      </c>
      <c r="B1104" s="3">
        <v>9.2100000000000009</v>
      </c>
      <c r="C1104">
        <f t="shared" si="33"/>
        <v>-1.4016401973535658E-2</v>
      </c>
    </row>
    <row r="1105" spans="1:3" x14ac:dyDescent="0.25">
      <c r="A1105" s="4">
        <v>41191</v>
      </c>
      <c r="B1105" s="3">
        <v>9.2100000000000009</v>
      </c>
      <c r="C1105">
        <f t="shared" si="33"/>
        <v>0</v>
      </c>
    </row>
    <row r="1106" spans="1:3" x14ac:dyDescent="0.25">
      <c r="A1106" s="4">
        <v>41190</v>
      </c>
      <c r="B1106" s="3">
        <v>9.2799999999999994</v>
      </c>
      <c r="C1106">
        <f t="shared" si="33"/>
        <v>7.5716965308935125E-3</v>
      </c>
    </row>
    <row r="1107" spans="1:3" x14ac:dyDescent="0.25">
      <c r="A1107" s="4">
        <v>41187</v>
      </c>
      <c r="B1107" s="3">
        <v>9.32</v>
      </c>
      <c r="C1107">
        <f t="shared" si="33"/>
        <v>4.3010818993907017E-3</v>
      </c>
    </row>
    <row r="1108" spans="1:3" x14ac:dyDescent="0.25">
      <c r="A1108" s="4">
        <v>41186</v>
      </c>
      <c r="B1108" s="3">
        <v>9.41</v>
      </c>
      <c r="C1108">
        <f t="shared" si="33"/>
        <v>9.6103248997884798E-3</v>
      </c>
    </row>
    <row r="1109" spans="1:3" x14ac:dyDescent="0.25">
      <c r="A1109" s="4">
        <v>41185</v>
      </c>
      <c r="B1109" s="3">
        <v>9.11</v>
      </c>
      <c r="C1109">
        <f t="shared" si="33"/>
        <v>-3.2400242325421352E-2</v>
      </c>
    </row>
    <row r="1110" spans="1:3" x14ac:dyDescent="0.25">
      <c r="A1110" s="4">
        <v>41184</v>
      </c>
      <c r="B1110" s="3">
        <v>8.93</v>
      </c>
      <c r="C1110">
        <f t="shared" si="33"/>
        <v>-1.9956316383459287E-2</v>
      </c>
    </row>
    <row r="1111" spans="1:3" x14ac:dyDescent="0.25">
      <c r="A1111" s="4">
        <v>41183</v>
      </c>
      <c r="B1111" s="3">
        <v>8.9600000000000009</v>
      </c>
      <c r="C1111">
        <f t="shared" si="33"/>
        <v>3.353832098431458E-3</v>
      </c>
    </row>
    <row r="1112" spans="1:3" x14ac:dyDescent="0.25">
      <c r="A1112" s="4">
        <v>41180</v>
      </c>
      <c r="B1112" s="3">
        <v>8.83</v>
      </c>
      <c r="C1112">
        <f t="shared" si="33"/>
        <v>-1.4615212370970489E-2</v>
      </c>
    </row>
    <row r="1113" spans="1:3" x14ac:dyDescent="0.25">
      <c r="A1113" s="4">
        <v>41179</v>
      </c>
      <c r="B1113" s="3">
        <v>8.9700000000000006</v>
      </c>
      <c r="C1113">
        <f t="shared" si="33"/>
        <v>1.5730661454836165E-2</v>
      </c>
    </row>
    <row r="1114" spans="1:3" x14ac:dyDescent="0.25">
      <c r="A1114" s="4">
        <v>41178</v>
      </c>
      <c r="B1114" s="3">
        <v>8.82</v>
      </c>
      <c r="C1114">
        <f t="shared" si="33"/>
        <v>-1.6863806052004805E-2</v>
      </c>
    </row>
    <row r="1115" spans="1:3" x14ac:dyDescent="0.25">
      <c r="A1115" s="4">
        <v>41177</v>
      </c>
      <c r="B1115" s="3">
        <v>8.93</v>
      </c>
      <c r="C1115">
        <f t="shared" si="33"/>
        <v>1.2394524869707576E-2</v>
      </c>
    </row>
    <row r="1116" spans="1:3" x14ac:dyDescent="0.25">
      <c r="A1116" s="4">
        <v>41176</v>
      </c>
      <c r="B1116" s="3">
        <v>9.1</v>
      </c>
      <c r="C1116">
        <f t="shared" si="33"/>
        <v>1.8858018634396723E-2</v>
      </c>
    </row>
    <row r="1117" spans="1:3" x14ac:dyDescent="0.25">
      <c r="A1117" s="4">
        <v>41173</v>
      </c>
      <c r="B1117" s="3">
        <v>9.11</v>
      </c>
      <c r="C1117">
        <f t="shared" si="33"/>
        <v>1.0982977490625919E-3</v>
      </c>
    </row>
    <row r="1118" spans="1:3" x14ac:dyDescent="0.25">
      <c r="A1118" s="4">
        <v>41172</v>
      </c>
      <c r="B1118" s="3">
        <v>9.19</v>
      </c>
      <c r="C1118">
        <f t="shared" si="33"/>
        <v>8.74322509572871E-3</v>
      </c>
    </row>
    <row r="1119" spans="1:3" x14ac:dyDescent="0.25">
      <c r="A1119" s="4">
        <v>41171</v>
      </c>
      <c r="B1119" s="3">
        <v>9.2899999999999991</v>
      </c>
      <c r="C1119">
        <f t="shared" si="33"/>
        <v>1.0822616458151439E-2</v>
      </c>
    </row>
    <row r="1120" spans="1:3" x14ac:dyDescent="0.25">
      <c r="A1120" s="4">
        <v>41170</v>
      </c>
      <c r="B1120" s="3">
        <v>9.23</v>
      </c>
      <c r="C1120">
        <f t="shared" si="33"/>
        <v>-6.4795043109861722E-3</v>
      </c>
    </row>
    <row r="1121" spans="1:3" x14ac:dyDescent="0.25">
      <c r="A1121" s="4">
        <v>41169</v>
      </c>
      <c r="B1121" s="3">
        <v>9.3000000000000007</v>
      </c>
      <c r="C1121">
        <f t="shared" si="33"/>
        <v>7.5553516444494028E-3</v>
      </c>
    </row>
    <row r="1122" spans="1:3" x14ac:dyDescent="0.25">
      <c r="A1122" s="4">
        <v>41166</v>
      </c>
      <c r="B1122" s="3">
        <v>9.5500000000000007</v>
      </c>
      <c r="C1122">
        <f t="shared" si="33"/>
        <v>2.6526754333428604E-2</v>
      </c>
    </row>
    <row r="1123" spans="1:3" x14ac:dyDescent="0.25">
      <c r="A1123" s="4">
        <v>41165</v>
      </c>
      <c r="B1123" s="3">
        <v>9.4</v>
      </c>
      <c r="C1123">
        <f t="shared" si="33"/>
        <v>-1.5831465216680739E-2</v>
      </c>
    </row>
    <row r="1124" spans="1:3" x14ac:dyDescent="0.25">
      <c r="A1124" s="4">
        <v>41164</v>
      </c>
      <c r="B1124" s="3">
        <v>8.9700000000000006</v>
      </c>
      <c r="C1124">
        <f t="shared" si="33"/>
        <v>-4.6824013205253388E-2</v>
      </c>
    </row>
    <row r="1125" spans="1:3" x14ac:dyDescent="0.25">
      <c r="A1125" s="4">
        <v>41163</v>
      </c>
      <c r="B1125" s="3">
        <v>9.0299999999999994</v>
      </c>
      <c r="C1125">
        <f t="shared" si="33"/>
        <v>6.6666913581890771E-3</v>
      </c>
    </row>
    <row r="1126" spans="1:3" x14ac:dyDescent="0.25">
      <c r="A1126" s="4">
        <v>41162</v>
      </c>
      <c r="B1126" s="3">
        <v>8.58</v>
      </c>
      <c r="C1126">
        <f t="shared" si="33"/>
        <v>-5.1118453929023012E-2</v>
      </c>
    </row>
    <row r="1127" spans="1:3" x14ac:dyDescent="0.25">
      <c r="A1127" s="4">
        <v>41159</v>
      </c>
      <c r="B1127" s="3">
        <v>8.8000000000000007</v>
      </c>
      <c r="C1127">
        <f t="shared" si="33"/>
        <v>2.5317807984290001E-2</v>
      </c>
    </row>
    <row r="1128" spans="1:3" x14ac:dyDescent="0.25">
      <c r="A1128" s="4">
        <v>41158</v>
      </c>
      <c r="B1128" s="3">
        <v>8.35</v>
      </c>
      <c r="C1128">
        <f t="shared" si="33"/>
        <v>-5.2490182621396805E-2</v>
      </c>
    </row>
    <row r="1129" spans="1:3" x14ac:dyDescent="0.25">
      <c r="A1129" s="4">
        <v>41157</v>
      </c>
      <c r="B1129" s="3">
        <v>7.95</v>
      </c>
      <c r="C1129">
        <f t="shared" si="33"/>
        <v>-4.9089610196523512E-2</v>
      </c>
    </row>
    <row r="1130" spans="1:3" x14ac:dyDescent="0.25">
      <c r="A1130" s="4">
        <v>41156</v>
      </c>
      <c r="B1130" s="3">
        <v>8</v>
      </c>
      <c r="C1130">
        <f t="shared" si="33"/>
        <v>6.269613013595395E-3</v>
      </c>
    </row>
    <row r="1131" spans="1:3" x14ac:dyDescent="0.25">
      <c r="A1131" s="4">
        <v>41152</v>
      </c>
      <c r="B1131" s="3">
        <v>7.99</v>
      </c>
      <c r="C1131">
        <f t="shared" si="33"/>
        <v>-1.2507819016526025E-3</v>
      </c>
    </row>
    <row r="1132" spans="1:3" x14ac:dyDescent="0.25">
      <c r="A1132" s="4">
        <v>41151</v>
      </c>
      <c r="B1132" s="3">
        <v>7.91</v>
      </c>
      <c r="C1132">
        <f t="shared" si="33"/>
        <v>-1.0062977998620841E-2</v>
      </c>
    </row>
    <row r="1133" spans="1:3" x14ac:dyDescent="0.25">
      <c r="A1133" s="4">
        <v>41150</v>
      </c>
      <c r="B1133" s="3">
        <v>8</v>
      </c>
      <c r="C1133">
        <f t="shared" si="33"/>
        <v>1.1313759900273314E-2</v>
      </c>
    </row>
    <row r="1134" spans="1:3" x14ac:dyDescent="0.25">
      <c r="A1134" s="4">
        <v>41149</v>
      </c>
      <c r="B1134" s="3">
        <v>7.96</v>
      </c>
      <c r="C1134">
        <f t="shared" si="33"/>
        <v>-5.0125418235442863E-3</v>
      </c>
    </row>
    <row r="1135" spans="1:3" x14ac:dyDescent="0.25">
      <c r="A1135" s="4">
        <v>41148</v>
      </c>
      <c r="B1135" s="3">
        <v>8.07</v>
      </c>
      <c r="C1135">
        <f t="shared" si="33"/>
        <v>1.3724482425565761E-2</v>
      </c>
    </row>
    <row r="1136" spans="1:3" x14ac:dyDescent="0.25">
      <c r="A1136" s="4">
        <v>41145</v>
      </c>
      <c r="B1136" s="3">
        <v>8.16</v>
      </c>
      <c r="C1136">
        <f t="shared" si="33"/>
        <v>1.1090686694158138E-2</v>
      </c>
    </row>
    <row r="1137" spans="1:3" x14ac:dyDescent="0.25">
      <c r="A1137" s="4">
        <v>41144</v>
      </c>
      <c r="B1137" s="3">
        <v>8.15</v>
      </c>
      <c r="C1137">
        <f t="shared" si="33"/>
        <v>-1.2262417232442964E-3</v>
      </c>
    </row>
    <row r="1138" spans="1:3" x14ac:dyDescent="0.25">
      <c r="A1138" s="4">
        <v>41143</v>
      </c>
      <c r="B1138" s="3">
        <v>8.2200000000000006</v>
      </c>
      <c r="C1138">
        <f t="shared" si="33"/>
        <v>8.5522818153171577E-3</v>
      </c>
    </row>
    <row r="1139" spans="1:3" x14ac:dyDescent="0.25">
      <c r="A1139" s="4">
        <v>41142</v>
      </c>
      <c r="B1139" s="3">
        <v>8.19</v>
      </c>
      <c r="C1139">
        <f t="shared" si="33"/>
        <v>-3.6563112031106548E-3</v>
      </c>
    </row>
    <row r="1140" spans="1:3" x14ac:dyDescent="0.25">
      <c r="A1140" s="4">
        <v>41141</v>
      </c>
      <c r="B1140" s="3">
        <v>8.15</v>
      </c>
      <c r="C1140">
        <f t="shared" si="33"/>
        <v>-4.8959706122065861E-3</v>
      </c>
    </row>
    <row r="1141" spans="1:3" x14ac:dyDescent="0.25">
      <c r="A1141" s="4">
        <v>41138</v>
      </c>
      <c r="B1141" s="3">
        <v>8</v>
      </c>
      <c r="C1141">
        <f t="shared" si="33"/>
        <v>-1.8576385572935419E-2</v>
      </c>
    </row>
    <row r="1142" spans="1:3" x14ac:dyDescent="0.25">
      <c r="A1142" s="4">
        <v>41137</v>
      </c>
      <c r="B1142" s="3">
        <v>7.93</v>
      </c>
      <c r="C1142">
        <f t="shared" si="33"/>
        <v>-8.788506033079348E-3</v>
      </c>
    </row>
    <row r="1143" spans="1:3" x14ac:dyDescent="0.25">
      <c r="A1143" s="4">
        <v>41136</v>
      </c>
      <c r="B1143" s="3">
        <v>7.87</v>
      </c>
      <c r="C1143">
        <f t="shared" si="33"/>
        <v>-7.5949732174447485E-3</v>
      </c>
    </row>
    <row r="1144" spans="1:3" x14ac:dyDescent="0.25">
      <c r="A1144" s="4">
        <v>41135</v>
      </c>
      <c r="B1144" s="3">
        <v>7.78</v>
      </c>
      <c r="C1144">
        <f t="shared" si="33"/>
        <v>-1.150172423901164E-2</v>
      </c>
    </row>
    <row r="1145" spans="1:3" x14ac:dyDescent="0.25">
      <c r="A1145" s="4">
        <v>41134</v>
      </c>
      <c r="B1145" s="3">
        <v>7.72</v>
      </c>
      <c r="C1145">
        <f t="shared" si="33"/>
        <v>-7.7419741536155088E-3</v>
      </c>
    </row>
    <row r="1146" spans="1:3" x14ac:dyDescent="0.25">
      <c r="A1146" s="4">
        <v>41131</v>
      </c>
      <c r="B1146" s="3">
        <v>7.74</v>
      </c>
      <c r="C1146">
        <f t="shared" si="33"/>
        <v>2.5873235649509544E-3</v>
      </c>
    </row>
    <row r="1147" spans="1:3" x14ac:dyDescent="0.25">
      <c r="A1147" s="4">
        <v>41130</v>
      </c>
      <c r="B1147" s="3">
        <v>7.72</v>
      </c>
      <c r="C1147">
        <f t="shared" si="33"/>
        <v>-2.5873235649510238E-3</v>
      </c>
    </row>
    <row r="1148" spans="1:3" x14ac:dyDescent="0.25">
      <c r="A1148" s="4">
        <v>41129</v>
      </c>
      <c r="B1148" s="3">
        <v>7.67</v>
      </c>
      <c r="C1148">
        <f t="shared" si="33"/>
        <v>-6.4977486575200074E-3</v>
      </c>
    </row>
    <row r="1149" spans="1:3" x14ac:dyDescent="0.25">
      <c r="A1149" s="4">
        <v>41128</v>
      </c>
      <c r="B1149" s="3">
        <v>7.67</v>
      </c>
      <c r="C1149">
        <f t="shared" si="33"/>
        <v>0</v>
      </c>
    </row>
    <row r="1150" spans="1:3" x14ac:dyDescent="0.25">
      <c r="A1150" s="4">
        <v>41127</v>
      </c>
      <c r="B1150" s="3">
        <v>7.64</v>
      </c>
      <c r="C1150">
        <f t="shared" si="33"/>
        <v>-3.9190122007357192E-3</v>
      </c>
    </row>
    <row r="1151" spans="1:3" x14ac:dyDescent="0.25">
      <c r="A1151" s="4">
        <v>41124</v>
      </c>
      <c r="B1151" s="3">
        <v>7.43</v>
      </c>
      <c r="C1151">
        <f t="shared" si="33"/>
        <v>-2.7871744448761341E-2</v>
      </c>
    </row>
    <row r="1152" spans="1:3" x14ac:dyDescent="0.25">
      <c r="A1152" s="4">
        <v>41123</v>
      </c>
      <c r="B1152" s="3">
        <v>7.18</v>
      </c>
      <c r="C1152">
        <f t="shared" si="33"/>
        <v>-3.4226475669534989E-2</v>
      </c>
    </row>
    <row r="1153" spans="1:3" x14ac:dyDescent="0.25">
      <c r="A1153" s="4">
        <v>41122</v>
      </c>
      <c r="B1153" s="3">
        <v>7.22</v>
      </c>
      <c r="C1153">
        <f t="shared" si="33"/>
        <v>5.5555698446019637E-3</v>
      </c>
    </row>
    <row r="1154" spans="1:3" x14ac:dyDescent="0.25">
      <c r="A1154" s="4">
        <v>41121</v>
      </c>
      <c r="B1154" s="3">
        <v>7.34</v>
      </c>
      <c r="C1154">
        <f t="shared" si="33"/>
        <v>1.6483889721689415E-2</v>
      </c>
    </row>
    <row r="1155" spans="1:3" x14ac:dyDescent="0.25">
      <c r="A1155" s="4">
        <v>41120</v>
      </c>
      <c r="B1155" s="3">
        <v>7.28</v>
      </c>
      <c r="C1155">
        <f t="shared" si="33"/>
        <v>-8.207980417829509E-3</v>
      </c>
    </row>
    <row r="1156" spans="1:3" x14ac:dyDescent="0.25">
      <c r="A1156" s="4">
        <v>41117</v>
      </c>
      <c r="B1156" s="3">
        <v>7.31</v>
      </c>
      <c r="C1156">
        <f t="shared" si="33"/>
        <v>4.1124115530925195E-3</v>
      </c>
    </row>
    <row r="1157" spans="1:3" x14ac:dyDescent="0.25">
      <c r="A1157" s="4">
        <v>41116</v>
      </c>
      <c r="B1157" s="3">
        <v>7.17</v>
      </c>
      <c r="C1157">
        <f t="shared" si="33"/>
        <v>-1.933761915015806E-2</v>
      </c>
    </row>
    <row r="1158" spans="1:3" x14ac:dyDescent="0.25">
      <c r="A1158" s="4">
        <v>41115</v>
      </c>
      <c r="B1158" s="3">
        <v>7.07</v>
      </c>
      <c r="C1158">
        <f t="shared" ref="C1158:C1221" si="34">LN(B1158/B1157)</f>
        <v>-1.4045174703047527E-2</v>
      </c>
    </row>
    <row r="1159" spans="1:3" x14ac:dyDescent="0.25">
      <c r="A1159" s="4">
        <v>41114</v>
      </c>
      <c r="B1159" s="3">
        <v>7.04</v>
      </c>
      <c r="C1159">
        <f t="shared" si="34"/>
        <v>-4.2523097385303915E-3</v>
      </c>
    </row>
    <row r="1160" spans="1:3" x14ac:dyDescent="0.25">
      <c r="A1160" s="4">
        <v>41113</v>
      </c>
      <c r="B1160" s="3">
        <v>7.09</v>
      </c>
      <c r="C1160">
        <f t="shared" si="34"/>
        <v>7.0771703740850787E-3</v>
      </c>
    </row>
    <row r="1161" spans="1:3" x14ac:dyDescent="0.25">
      <c r="A1161" s="4">
        <v>41110</v>
      </c>
      <c r="B1161" s="3">
        <v>7.07</v>
      </c>
      <c r="C1161">
        <f t="shared" si="34"/>
        <v>-2.8248606355546274E-3</v>
      </c>
    </row>
    <row r="1162" spans="1:3" x14ac:dyDescent="0.25">
      <c r="A1162" s="4">
        <v>41109</v>
      </c>
      <c r="B1162" s="3">
        <v>7.26</v>
      </c>
      <c r="C1162">
        <f t="shared" si="34"/>
        <v>2.6519348928223264E-2</v>
      </c>
    </row>
    <row r="1163" spans="1:3" x14ac:dyDescent="0.25">
      <c r="A1163" s="4">
        <v>41108</v>
      </c>
      <c r="B1163" s="3">
        <v>7.53</v>
      </c>
      <c r="C1163">
        <f t="shared" si="34"/>
        <v>3.6515212975097473E-2</v>
      </c>
    </row>
    <row r="1164" spans="1:3" x14ac:dyDescent="0.25">
      <c r="A1164" s="4">
        <v>41107</v>
      </c>
      <c r="B1164" s="3">
        <v>7.92</v>
      </c>
      <c r="C1164">
        <f t="shared" si="34"/>
        <v>5.0496164014532233E-2</v>
      </c>
    </row>
    <row r="1165" spans="1:3" x14ac:dyDescent="0.25">
      <c r="A1165" s="4">
        <v>41106</v>
      </c>
      <c r="B1165" s="3">
        <v>7.81</v>
      </c>
      <c r="C1165">
        <f t="shared" si="34"/>
        <v>-1.3986241974739952E-2</v>
      </c>
    </row>
    <row r="1166" spans="1:3" x14ac:dyDescent="0.25">
      <c r="A1166" s="4">
        <v>41103</v>
      </c>
      <c r="B1166" s="3">
        <v>7.82</v>
      </c>
      <c r="C1166">
        <f t="shared" si="34"/>
        <v>1.2795907056252546E-3</v>
      </c>
    </row>
    <row r="1167" spans="1:3" x14ac:dyDescent="0.25">
      <c r="A1167" s="4">
        <v>41102</v>
      </c>
      <c r="B1167" s="3">
        <v>7.48</v>
      </c>
      <c r="C1167">
        <f t="shared" si="34"/>
        <v>-4.445176257083381E-2</v>
      </c>
    </row>
    <row r="1168" spans="1:3" x14ac:dyDescent="0.25">
      <c r="A1168" s="4">
        <v>41101</v>
      </c>
      <c r="B1168" s="3">
        <v>7.63</v>
      </c>
      <c r="C1168">
        <f t="shared" si="34"/>
        <v>1.985505330997973E-2</v>
      </c>
    </row>
    <row r="1169" spans="1:3" x14ac:dyDescent="0.25">
      <c r="A1169" s="4">
        <v>41100</v>
      </c>
      <c r="B1169" s="3">
        <v>7.48</v>
      </c>
      <c r="C1169">
        <f t="shared" si="34"/>
        <v>-1.9855053309979675E-2</v>
      </c>
    </row>
    <row r="1170" spans="1:3" x14ac:dyDescent="0.25">
      <c r="A1170" s="4">
        <v>41099</v>
      </c>
      <c r="B1170" s="3">
        <v>7.56</v>
      </c>
      <c r="C1170">
        <f t="shared" si="34"/>
        <v>1.0638398205055577E-2</v>
      </c>
    </row>
    <row r="1171" spans="1:3" x14ac:dyDescent="0.25">
      <c r="A1171" s="4">
        <v>41096</v>
      </c>
      <c r="B1171" s="3">
        <v>7.66</v>
      </c>
      <c r="C1171">
        <f t="shared" si="34"/>
        <v>1.3140793561058328E-2</v>
      </c>
    </row>
    <row r="1172" spans="1:3" x14ac:dyDescent="0.25">
      <c r="A1172" s="4">
        <v>41095</v>
      </c>
      <c r="B1172" s="3">
        <v>7.82</v>
      </c>
      <c r="C1172">
        <f t="shared" si="34"/>
        <v>2.0672570804719882E-2</v>
      </c>
    </row>
    <row r="1173" spans="1:3" x14ac:dyDescent="0.25">
      <c r="A1173" s="4">
        <v>41093</v>
      </c>
      <c r="B1173" s="3">
        <v>8.06</v>
      </c>
      <c r="C1173">
        <f t="shared" si="34"/>
        <v>3.0229001961317292E-2</v>
      </c>
    </row>
    <row r="1174" spans="1:3" x14ac:dyDescent="0.25">
      <c r="A1174" s="4">
        <v>41092</v>
      </c>
      <c r="B1174" s="3">
        <v>8.0500000000000007</v>
      </c>
      <c r="C1174">
        <f t="shared" si="34"/>
        <v>-1.241465088064877E-3</v>
      </c>
    </row>
    <row r="1175" spans="1:3" x14ac:dyDescent="0.25">
      <c r="A1175" s="4">
        <v>41089</v>
      </c>
      <c r="B1175" s="3">
        <v>8.18</v>
      </c>
      <c r="C1175">
        <f t="shared" si="34"/>
        <v>1.602005918418356E-2</v>
      </c>
    </row>
    <row r="1176" spans="1:3" x14ac:dyDescent="0.25">
      <c r="A1176" s="4">
        <v>41088</v>
      </c>
      <c r="B1176" s="3">
        <v>7.74</v>
      </c>
      <c r="C1176">
        <f t="shared" si="34"/>
        <v>-5.5290463013019847E-2</v>
      </c>
    </row>
    <row r="1177" spans="1:3" x14ac:dyDescent="0.25">
      <c r="A1177" s="4">
        <v>41087</v>
      </c>
      <c r="B1177" s="3">
        <v>7.77</v>
      </c>
      <c r="C1177">
        <f t="shared" si="34"/>
        <v>3.8684767779203319E-3</v>
      </c>
    </row>
    <row r="1178" spans="1:3" x14ac:dyDescent="0.25">
      <c r="A1178" s="4">
        <v>41086</v>
      </c>
      <c r="B1178" s="3">
        <v>7.62</v>
      </c>
      <c r="C1178">
        <f t="shared" si="34"/>
        <v>-1.9493794681001129E-2</v>
      </c>
    </row>
    <row r="1179" spans="1:3" x14ac:dyDescent="0.25">
      <c r="A1179" s="4">
        <v>41085</v>
      </c>
      <c r="B1179" s="3">
        <v>7.6</v>
      </c>
      <c r="C1179">
        <f t="shared" si="34"/>
        <v>-2.6281224062695806E-3</v>
      </c>
    </row>
    <row r="1180" spans="1:3" x14ac:dyDescent="0.25">
      <c r="A1180" s="4">
        <v>41082</v>
      </c>
      <c r="B1180" s="3">
        <v>7.94</v>
      </c>
      <c r="C1180">
        <f t="shared" si="34"/>
        <v>4.3765027966758983E-2</v>
      </c>
    </row>
    <row r="1181" spans="1:3" x14ac:dyDescent="0.25">
      <c r="A1181" s="4">
        <v>41081</v>
      </c>
      <c r="B1181" s="3">
        <v>7.82</v>
      </c>
      <c r="C1181">
        <f t="shared" si="34"/>
        <v>-1.5228720701824671E-2</v>
      </c>
    </row>
    <row r="1182" spans="1:3" x14ac:dyDescent="0.25">
      <c r="A1182" s="4">
        <v>41080</v>
      </c>
      <c r="B1182" s="3">
        <v>8.14</v>
      </c>
      <c r="C1182">
        <f t="shared" si="34"/>
        <v>4.0105625457229253E-2</v>
      </c>
    </row>
    <row r="1183" spans="1:3" x14ac:dyDescent="0.25">
      <c r="A1183" s="4">
        <v>41079</v>
      </c>
      <c r="B1183" s="3">
        <v>8.11</v>
      </c>
      <c r="C1183">
        <f t="shared" si="34"/>
        <v>-3.692311887127491E-3</v>
      </c>
    </row>
    <row r="1184" spans="1:3" x14ac:dyDescent="0.25">
      <c r="A1184" s="4">
        <v>41078</v>
      </c>
      <c r="B1184" s="3">
        <v>7.76</v>
      </c>
      <c r="C1184">
        <f t="shared" si="34"/>
        <v>-4.4115533932194133E-2</v>
      </c>
    </row>
    <row r="1185" spans="1:3" x14ac:dyDescent="0.25">
      <c r="A1185" s="4">
        <v>41075</v>
      </c>
      <c r="B1185" s="3">
        <v>7.9</v>
      </c>
      <c r="C1185">
        <f t="shared" si="34"/>
        <v>1.7880425277848583E-2</v>
      </c>
    </row>
    <row r="1186" spans="1:3" x14ac:dyDescent="0.25">
      <c r="A1186" s="4">
        <v>41074</v>
      </c>
      <c r="B1186" s="3">
        <v>7.66</v>
      </c>
      <c r="C1186">
        <f t="shared" si="34"/>
        <v>-3.0850775720475933E-2</v>
      </c>
    </row>
    <row r="1187" spans="1:3" x14ac:dyDescent="0.25">
      <c r="A1187" s="4">
        <v>41073</v>
      </c>
      <c r="B1187" s="3">
        <v>7.5</v>
      </c>
      <c r="C1187">
        <f t="shared" si="34"/>
        <v>-2.1108963210235168E-2</v>
      </c>
    </row>
    <row r="1188" spans="1:3" x14ac:dyDescent="0.25">
      <c r="A1188" s="4">
        <v>41072</v>
      </c>
      <c r="B1188" s="3">
        <v>7.49</v>
      </c>
      <c r="C1188">
        <f t="shared" si="34"/>
        <v>-1.3342230131366103E-3</v>
      </c>
    </row>
    <row r="1189" spans="1:3" x14ac:dyDescent="0.25">
      <c r="A1189" s="4">
        <v>41071</v>
      </c>
      <c r="B1189" s="3">
        <v>7.28</v>
      </c>
      <c r="C1189">
        <f t="shared" si="34"/>
        <v>-2.8437935320533514E-2</v>
      </c>
    </row>
    <row r="1190" spans="1:3" x14ac:dyDescent="0.25">
      <c r="A1190" s="4">
        <v>41068</v>
      </c>
      <c r="B1190" s="3">
        <v>7.56</v>
      </c>
      <c r="C1190">
        <f t="shared" si="34"/>
        <v>3.7740327982846898E-2</v>
      </c>
    </row>
    <row r="1191" spans="1:3" x14ac:dyDescent="0.25">
      <c r="A1191" s="4">
        <v>41067</v>
      </c>
      <c r="B1191" s="3">
        <v>7.42</v>
      </c>
      <c r="C1191">
        <f t="shared" si="34"/>
        <v>-1.8692133012152522E-2</v>
      </c>
    </row>
    <row r="1192" spans="1:3" x14ac:dyDescent="0.25">
      <c r="A1192" s="4">
        <v>41066</v>
      </c>
      <c r="B1192" s="3">
        <v>7.64</v>
      </c>
      <c r="C1192">
        <f t="shared" si="34"/>
        <v>2.9218545999140005E-2</v>
      </c>
    </row>
    <row r="1193" spans="1:3" x14ac:dyDescent="0.25">
      <c r="A1193" s="4">
        <v>41065</v>
      </c>
      <c r="B1193" s="3">
        <v>7.1</v>
      </c>
      <c r="C1193">
        <f t="shared" si="34"/>
        <v>-7.330281913115938E-2</v>
      </c>
    </row>
    <row r="1194" spans="1:3" x14ac:dyDescent="0.25">
      <c r="A1194" s="4">
        <v>41064</v>
      </c>
      <c r="B1194" s="3">
        <v>6.9</v>
      </c>
      <c r="C1194">
        <f t="shared" si="34"/>
        <v>-2.8573372444055885E-2</v>
      </c>
    </row>
    <row r="1195" spans="1:3" x14ac:dyDescent="0.25">
      <c r="A1195" s="4">
        <v>41061</v>
      </c>
      <c r="B1195" s="3">
        <v>7.02</v>
      </c>
      <c r="C1195">
        <f t="shared" si="34"/>
        <v>1.7241806434505954E-2</v>
      </c>
    </row>
    <row r="1196" spans="1:3" x14ac:dyDescent="0.25">
      <c r="A1196" s="4">
        <v>41060</v>
      </c>
      <c r="B1196" s="3">
        <v>7.35</v>
      </c>
      <c r="C1196">
        <f t="shared" si="34"/>
        <v>4.5937095187025608E-2</v>
      </c>
    </row>
    <row r="1197" spans="1:3" x14ac:dyDescent="0.25">
      <c r="A1197" s="4">
        <v>41059</v>
      </c>
      <c r="B1197" s="3">
        <v>7.2</v>
      </c>
      <c r="C1197">
        <f t="shared" si="34"/>
        <v>-2.0619287202735592E-2</v>
      </c>
    </row>
    <row r="1198" spans="1:3" x14ac:dyDescent="0.25">
      <c r="A1198" s="4">
        <v>41058</v>
      </c>
      <c r="B1198" s="3">
        <v>7.44</v>
      </c>
      <c r="C1198">
        <f t="shared" si="34"/>
        <v>3.278982282299097E-2</v>
      </c>
    </row>
    <row r="1199" spans="1:3" x14ac:dyDescent="0.25">
      <c r="A1199" s="4">
        <v>41054</v>
      </c>
      <c r="B1199" s="3">
        <v>7.15</v>
      </c>
      <c r="C1199">
        <f t="shared" si="34"/>
        <v>-3.9758492139084174E-2</v>
      </c>
    </row>
    <row r="1200" spans="1:3" x14ac:dyDescent="0.25">
      <c r="A1200" s="4">
        <v>41053</v>
      </c>
      <c r="B1200" s="3">
        <v>7.14</v>
      </c>
      <c r="C1200">
        <f t="shared" si="34"/>
        <v>-1.3995803544233545E-3</v>
      </c>
    </row>
    <row r="1201" spans="1:3" x14ac:dyDescent="0.25">
      <c r="A1201" s="4">
        <v>41052</v>
      </c>
      <c r="B1201" s="3">
        <v>7.17</v>
      </c>
      <c r="C1201">
        <f t="shared" si="34"/>
        <v>4.1928782600359578E-3</v>
      </c>
    </row>
    <row r="1202" spans="1:3" x14ac:dyDescent="0.25">
      <c r="A1202" s="4">
        <v>41051</v>
      </c>
      <c r="B1202" s="3">
        <v>6.98</v>
      </c>
      <c r="C1202">
        <f t="shared" si="34"/>
        <v>-2.6856737837247787E-2</v>
      </c>
    </row>
    <row r="1203" spans="1:3" x14ac:dyDescent="0.25">
      <c r="A1203" s="4">
        <v>41050</v>
      </c>
      <c r="B1203" s="3">
        <v>6.83</v>
      </c>
      <c r="C1203">
        <f t="shared" si="34"/>
        <v>-2.172424319158248E-2</v>
      </c>
    </row>
    <row r="1204" spans="1:3" x14ac:dyDescent="0.25">
      <c r="A1204" s="4">
        <v>41047</v>
      </c>
      <c r="B1204" s="3">
        <v>7.02</v>
      </c>
      <c r="C1204">
        <f t="shared" si="34"/>
        <v>2.743854445502103E-2</v>
      </c>
    </row>
    <row r="1205" spans="1:3" x14ac:dyDescent="0.25">
      <c r="A1205" s="4">
        <v>41046</v>
      </c>
      <c r="B1205" s="3">
        <v>6.98</v>
      </c>
      <c r="C1205">
        <f t="shared" si="34"/>
        <v>-5.714301263438552E-3</v>
      </c>
    </row>
    <row r="1206" spans="1:3" x14ac:dyDescent="0.25">
      <c r="A1206" s="4">
        <v>41045</v>
      </c>
      <c r="B1206" s="3">
        <v>7.11</v>
      </c>
      <c r="C1206">
        <f t="shared" si="34"/>
        <v>1.8453327040868477E-2</v>
      </c>
    </row>
    <row r="1207" spans="1:3" x14ac:dyDescent="0.25">
      <c r="A1207" s="4">
        <v>41044</v>
      </c>
      <c r="B1207" s="3">
        <v>7.3</v>
      </c>
      <c r="C1207">
        <f t="shared" si="34"/>
        <v>2.6372104339195908E-2</v>
      </c>
    </row>
    <row r="1208" spans="1:3" x14ac:dyDescent="0.25">
      <c r="A1208" s="4">
        <v>41043</v>
      </c>
      <c r="B1208" s="3">
        <v>7.35</v>
      </c>
      <c r="C1208">
        <f t="shared" si="34"/>
        <v>6.8259650703998906E-3</v>
      </c>
    </row>
    <row r="1209" spans="1:3" x14ac:dyDescent="0.25">
      <c r="A1209" s="4">
        <v>41040</v>
      </c>
      <c r="B1209" s="3">
        <v>7.55</v>
      </c>
      <c r="C1209">
        <f t="shared" si="34"/>
        <v>2.6847250036188056E-2</v>
      </c>
    </row>
    <row r="1210" spans="1:3" x14ac:dyDescent="0.25">
      <c r="A1210" s="4">
        <v>41039</v>
      </c>
      <c r="B1210" s="3">
        <v>7.7</v>
      </c>
      <c r="C1210">
        <f t="shared" si="34"/>
        <v>1.9672765598704928E-2</v>
      </c>
    </row>
    <row r="1211" spans="1:3" x14ac:dyDescent="0.25">
      <c r="A1211" s="4">
        <v>41038</v>
      </c>
      <c r="B1211" s="3">
        <v>7.73</v>
      </c>
      <c r="C1211">
        <f t="shared" si="34"/>
        <v>3.8885337396923746E-3</v>
      </c>
    </row>
    <row r="1212" spans="1:3" x14ac:dyDescent="0.25">
      <c r="A1212" s="4">
        <v>41037</v>
      </c>
      <c r="B1212" s="3">
        <v>7.79</v>
      </c>
      <c r="C1212">
        <f t="shared" si="34"/>
        <v>7.7319972833261846E-3</v>
      </c>
    </row>
    <row r="1213" spans="1:3" x14ac:dyDescent="0.25">
      <c r="A1213" s="4">
        <v>41036</v>
      </c>
      <c r="B1213" s="3">
        <v>7.96</v>
      </c>
      <c r="C1213">
        <f t="shared" si="34"/>
        <v>2.1588139973634839E-2</v>
      </c>
    </row>
    <row r="1214" spans="1:3" x14ac:dyDescent="0.25">
      <c r="A1214" s="4">
        <v>41033</v>
      </c>
      <c r="B1214" s="3">
        <v>7.74</v>
      </c>
      <c r="C1214">
        <f t="shared" si="34"/>
        <v>-2.8027312254655851E-2</v>
      </c>
    </row>
    <row r="1215" spans="1:3" x14ac:dyDescent="0.25">
      <c r="A1215" s="4">
        <v>41032</v>
      </c>
      <c r="B1215" s="3">
        <v>8</v>
      </c>
      <c r="C1215">
        <f t="shared" si="34"/>
        <v>3.3039854078200093E-2</v>
      </c>
    </row>
    <row r="1216" spans="1:3" x14ac:dyDescent="0.25">
      <c r="A1216" s="4">
        <v>41031</v>
      </c>
      <c r="B1216" s="3">
        <v>8.16</v>
      </c>
      <c r="C1216">
        <f t="shared" si="34"/>
        <v>1.980262729617973E-2</v>
      </c>
    </row>
    <row r="1217" spans="1:3" x14ac:dyDescent="0.25">
      <c r="A1217" s="4">
        <v>41030</v>
      </c>
      <c r="B1217" s="3">
        <v>8.31</v>
      </c>
      <c r="C1217">
        <f t="shared" si="34"/>
        <v>1.8215439891341119E-2</v>
      </c>
    </row>
    <row r="1218" spans="1:3" x14ac:dyDescent="0.25">
      <c r="A1218" s="4">
        <v>41029</v>
      </c>
      <c r="B1218" s="3">
        <v>8.11</v>
      </c>
      <c r="C1218">
        <f t="shared" si="34"/>
        <v>-2.4361740740035432E-2</v>
      </c>
    </row>
    <row r="1219" spans="1:3" x14ac:dyDescent="0.25">
      <c r="A1219" s="4">
        <v>41026</v>
      </c>
      <c r="B1219" s="3">
        <v>8.25</v>
      </c>
      <c r="C1219">
        <f t="shared" si="34"/>
        <v>1.711533221926818E-2</v>
      </c>
    </row>
    <row r="1220" spans="1:3" x14ac:dyDescent="0.25">
      <c r="A1220" s="4">
        <v>41025</v>
      </c>
      <c r="B1220" s="3">
        <v>8.27</v>
      </c>
      <c r="C1220">
        <f t="shared" si="34"/>
        <v>2.4213086890103454E-3</v>
      </c>
    </row>
    <row r="1221" spans="1:3" x14ac:dyDescent="0.25">
      <c r="A1221" s="4">
        <v>41024</v>
      </c>
      <c r="B1221" s="3">
        <v>8.26</v>
      </c>
      <c r="C1221">
        <f t="shared" si="34"/>
        <v>-1.2099215027131982E-3</v>
      </c>
    </row>
    <row r="1222" spans="1:3" x14ac:dyDescent="0.25">
      <c r="A1222" s="4">
        <v>41023</v>
      </c>
      <c r="B1222" s="3">
        <v>8.2100000000000009</v>
      </c>
      <c r="C1222">
        <f t="shared" ref="C1222:C1261" si="35">LN(B1222/B1221)</f>
        <v>-6.0716640685496833E-3</v>
      </c>
    </row>
    <row r="1223" spans="1:3" x14ac:dyDescent="0.25">
      <c r="A1223" s="4">
        <v>41022</v>
      </c>
      <c r="B1223" s="3">
        <v>8.18</v>
      </c>
      <c r="C1223">
        <f t="shared" si="35"/>
        <v>-3.6607728496812577E-3</v>
      </c>
    </row>
    <row r="1224" spans="1:3" x14ac:dyDescent="0.25">
      <c r="A1224" s="4">
        <v>41019</v>
      </c>
      <c r="B1224" s="3">
        <v>8.36</v>
      </c>
      <c r="C1224">
        <f t="shared" si="35"/>
        <v>2.1766276481954505E-2</v>
      </c>
    </row>
    <row r="1225" spans="1:3" x14ac:dyDescent="0.25">
      <c r="A1225" s="4">
        <v>41018</v>
      </c>
      <c r="B1225" s="3">
        <v>8.77</v>
      </c>
      <c r="C1225">
        <f t="shared" si="35"/>
        <v>4.7878379287481475E-2</v>
      </c>
    </row>
    <row r="1226" spans="1:3" x14ac:dyDescent="0.25">
      <c r="A1226" s="4">
        <v>41017</v>
      </c>
      <c r="B1226" s="3">
        <v>8.92</v>
      </c>
      <c r="C1226">
        <f t="shared" si="35"/>
        <v>1.6959140207826327E-2</v>
      </c>
    </row>
    <row r="1227" spans="1:3" x14ac:dyDescent="0.25">
      <c r="A1227" s="4">
        <v>41016</v>
      </c>
      <c r="B1227" s="3">
        <v>8.92</v>
      </c>
      <c r="C1227">
        <f t="shared" si="35"/>
        <v>0</v>
      </c>
    </row>
    <row r="1228" spans="1:3" x14ac:dyDescent="0.25">
      <c r="A1228" s="4">
        <v>41015</v>
      </c>
      <c r="B1228" s="3">
        <v>8.7899999999999991</v>
      </c>
      <c r="C1228">
        <f t="shared" si="35"/>
        <v>-1.4681234894832479E-2</v>
      </c>
    </row>
    <row r="1229" spans="1:3" x14ac:dyDescent="0.25">
      <c r="A1229" s="4">
        <v>41012</v>
      </c>
      <c r="B1229" s="3">
        <v>8.68</v>
      </c>
      <c r="C1229">
        <f t="shared" si="35"/>
        <v>-1.2593183024826754E-2</v>
      </c>
    </row>
    <row r="1230" spans="1:3" x14ac:dyDescent="0.25">
      <c r="A1230" s="4">
        <v>41011</v>
      </c>
      <c r="B1230" s="3">
        <v>9.17</v>
      </c>
      <c r="C1230">
        <f t="shared" si="35"/>
        <v>5.4915757596114632E-2</v>
      </c>
    </row>
    <row r="1231" spans="1:3" x14ac:dyDescent="0.25">
      <c r="A1231" s="4">
        <v>41010</v>
      </c>
      <c r="B1231" s="3">
        <v>8.86</v>
      </c>
      <c r="C1231">
        <f t="shared" si="35"/>
        <v>-3.4390521651383912E-2</v>
      </c>
    </row>
    <row r="1232" spans="1:3" x14ac:dyDescent="0.25">
      <c r="A1232" s="4">
        <v>41009</v>
      </c>
      <c r="B1232" s="3">
        <v>8.5399999999999991</v>
      </c>
      <c r="C1232">
        <f t="shared" si="35"/>
        <v>-3.6785756816511105E-2</v>
      </c>
    </row>
    <row r="1233" spans="1:3" x14ac:dyDescent="0.25">
      <c r="A1233" s="4">
        <v>41008</v>
      </c>
      <c r="B1233" s="3">
        <v>8.93</v>
      </c>
      <c r="C1233">
        <f t="shared" si="35"/>
        <v>4.4655387087929335E-2</v>
      </c>
    </row>
    <row r="1234" spans="1:3" x14ac:dyDescent="0.25">
      <c r="A1234" s="4">
        <v>41004</v>
      </c>
      <c r="B1234" s="3">
        <v>9.23</v>
      </c>
      <c r="C1234">
        <f t="shared" si="35"/>
        <v>3.3042653626353224E-2</v>
      </c>
    </row>
    <row r="1235" spans="1:3" x14ac:dyDescent="0.25">
      <c r="A1235" s="4">
        <v>41003</v>
      </c>
      <c r="B1235" s="3">
        <v>9.1999999999999993</v>
      </c>
      <c r="C1235">
        <f t="shared" si="35"/>
        <v>-3.2555644597662965E-3</v>
      </c>
    </row>
    <row r="1236" spans="1:3" x14ac:dyDescent="0.25">
      <c r="A1236" s="4">
        <v>41002</v>
      </c>
      <c r="B1236" s="3">
        <v>9.49</v>
      </c>
      <c r="C1236">
        <f t="shared" si="35"/>
        <v>3.1035128566842072E-2</v>
      </c>
    </row>
    <row r="1237" spans="1:3" x14ac:dyDescent="0.25">
      <c r="A1237" s="4">
        <v>41001</v>
      </c>
      <c r="B1237" s="3">
        <v>9.68</v>
      </c>
      <c r="C1237">
        <f t="shared" si="35"/>
        <v>1.982328866664913E-2</v>
      </c>
    </row>
    <row r="1238" spans="1:3" x14ac:dyDescent="0.25">
      <c r="A1238" s="4">
        <v>40998</v>
      </c>
      <c r="B1238" s="3">
        <v>9.57</v>
      </c>
      <c r="C1238">
        <f t="shared" si="35"/>
        <v>-1.1428695823622744E-2</v>
      </c>
    </row>
    <row r="1239" spans="1:3" x14ac:dyDescent="0.25">
      <c r="A1239" s="4">
        <v>40997</v>
      </c>
      <c r="B1239" s="3">
        <v>9.5299999999999994</v>
      </c>
      <c r="C1239">
        <f t="shared" si="35"/>
        <v>-4.1884877987522469E-3</v>
      </c>
    </row>
    <row r="1240" spans="1:3" x14ac:dyDescent="0.25">
      <c r="A1240" s="4">
        <v>40996</v>
      </c>
      <c r="B1240" s="3">
        <v>9.75</v>
      </c>
      <c r="C1240">
        <f t="shared" si="35"/>
        <v>2.2822567343645194E-2</v>
      </c>
    </row>
    <row r="1241" spans="1:3" x14ac:dyDescent="0.25">
      <c r="A1241" s="4">
        <v>40995</v>
      </c>
      <c r="B1241" s="3">
        <v>9.6</v>
      </c>
      <c r="C1241">
        <f t="shared" si="35"/>
        <v>-1.5504186535965312E-2</v>
      </c>
    </row>
    <row r="1242" spans="1:3" x14ac:dyDescent="0.25">
      <c r="A1242" s="4">
        <v>40994</v>
      </c>
      <c r="B1242" s="3">
        <v>9.93</v>
      </c>
      <c r="C1242">
        <f t="shared" si="35"/>
        <v>3.379737958329071E-2</v>
      </c>
    </row>
    <row r="1243" spans="1:3" x14ac:dyDescent="0.25">
      <c r="A1243" s="4">
        <v>40991</v>
      </c>
      <c r="B1243" s="3">
        <v>9.85</v>
      </c>
      <c r="C1243">
        <f t="shared" si="35"/>
        <v>-8.0890228730837177E-3</v>
      </c>
    </row>
    <row r="1244" spans="1:3" x14ac:dyDescent="0.25">
      <c r="A1244" s="4">
        <v>40990</v>
      </c>
      <c r="B1244" s="3">
        <v>9.6</v>
      </c>
      <c r="C1244">
        <f t="shared" si="35"/>
        <v>-2.5708356710206923E-2</v>
      </c>
    </row>
    <row r="1245" spans="1:3" x14ac:dyDescent="0.25">
      <c r="A1245" s="4">
        <v>40989</v>
      </c>
      <c r="B1245" s="3">
        <v>9.82</v>
      </c>
      <c r="C1245">
        <f t="shared" si="35"/>
        <v>2.2658023892583996E-2</v>
      </c>
    </row>
    <row r="1246" spans="1:3" x14ac:dyDescent="0.25">
      <c r="A1246" s="4">
        <v>40988</v>
      </c>
      <c r="B1246" s="3">
        <v>9.81</v>
      </c>
      <c r="C1246">
        <f t="shared" si="35"/>
        <v>-1.0188487891027657E-3</v>
      </c>
    </row>
    <row r="1247" spans="1:3" x14ac:dyDescent="0.25">
      <c r="A1247" s="4">
        <v>40987</v>
      </c>
      <c r="B1247" s="3">
        <v>9.5299999999999994</v>
      </c>
      <c r="C1247">
        <f t="shared" si="35"/>
        <v>-2.8957555911161073E-2</v>
      </c>
    </row>
    <row r="1248" spans="1:3" x14ac:dyDescent="0.25">
      <c r="A1248" s="4">
        <v>40984</v>
      </c>
      <c r="B1248" s="3">
        <v>9.8000000000000007</v>
      </c>
      <c r="C1248">
        <f t="shared" si="35"/>
        <v>2.7937668010415698E-2</v>
      </c>
    </row>
    <row r="1249" spans="1:3" x14ac:dyDescent="0.25">
      <c r="A1249" s="4">
        <v>40983</v>
      </c>
      <c r="B1249" s="3">
        <v>9.24</v>
      </c>
      <c r="C1249">
        <f t="shared" si="35"/>
        <v>-5.8840500022933465E-2</v>
      </c>
    </row>
    <row r="1250" spans="1:3" x14ac:dyDescent="0.25">
      <c r="A1250" s="4">
        <v>40982</v>
      </c>
      <c r="B1250" s="3">
        <v>8.84</v>
      </c>
      <c r="C1250">
        <f t="shared" si="35"/>
        <v>-4.4255009004040814E-2</v>
      </c>
    </row>
    <row r="1251" spans="1:3" x14ac:dyDescent="0.25">
      <c r="A1251" s="4">
        <v>40981</v>
      </c>
      <c r="B1251" s="3">
        <v>8.49</v>
      </c>
      <c r="C1251">
        <f t="shared" si="35"/>
        <v>-4.0397876326296087E-2</v>
      </c>
    </row>
    <row r="1252" spans="1:3" x14ac:dyDescent="0.25">
      <c r="A1252" s="4">
        <v>40980</v>
      </c>
      <c r="B1252" s="3">
        <v>7.99</v>
      </c>
      <c r="C1252">
        <f t="shared" si="35"/>
        <v>-6.069824054507262E-2</v>
      </c>
    </row>
    <row r="1253" spans="1:3" x14ac:dyDescent="0.25">
      <c r="A1253" s="4">
        <v>40977</v>
      </c>
      <c r="B1253" s="3">
        <v>8.0500000000000007</v>
      </c>
      <c r="C1253">
        <f t="shared" si="35"/>
        <v>7.4813316522887663E-3</v>
      </c>
    </row>
    <row r="1254" spans="1:3" x14ac:dyDescent="0.25">
      <c r="A1254" s="4">
        <v>40976</v>
      </c>
      <c r="B1254" s="3">
        <v>8.06</v>
      </c>
      <c r="C1254">
        <f t="shared" si="35"/>
        <v>1.2414650880649455E-3</v>
      </c>
    </row>
    <row r="1255" spans="1:3" x14ac:dyDescent="0.25">
      <c r="A1255" s="4">
        <v>40975</v>
      </c>
      <c r="B1255" s="3">
        <v>8.02</v>
      </c>
      <c r="C1255">
        <f t="shared" si="35"/>
        <v>-4.9751346401139549E-3</v>
      </c>
    </row>
    <row r="1256" spans="1:3" x14ac:dyDescent="0.25">
      <c r="A1256" s="4">
        <v>40974</v>
      </c>
      <c r="B1256" s="3">
        <v>7.71</v>
      </c>
      <c r="C1256">
        <f t="shared" si="35"/>
        <v>-3.9420234303184983E-2</v>
      </c>
    </row>
    <row r="1257" spans="1:3" x14ac:dyDescent="0.25">
      <c r="A1257" s="4">
        <v>40973</v>
      </c>
      <c r="B1257" s="3">
        <v>7.97</v>
      </c>
      <c r="C1257">
        <f t="shared" si="35"/>
        <v>3.3166305226885434E-2</v>
      </c>
    </row>
    <row r="1258" spans="1:3" x14ac:dyDescent="0.25">
      <c r="A1258" s="4">
        <v>40970</v>
      </c>
      <c r="B1258" s="3">
        <v>8.1300000000000008</v>
      </c>
      <c r="C1258">
        <f t="shared" si="35"/>
        <v>1.9876430757595709E-2</v>
      </c>
    </row>
    <row r="1259" spans="1:3" x14ac:dyDescent="0.25">
      <c r="A1259" s="4">
        <v>40969</v>
      </c>
      <c r="B1259" s="3">
        <v>8.1199999999999992</v>
      </c>
      <c r="C1259">
        <f t="shared" si="35"/>
        <v>-1.230769386132846E-3</v>
      </c>
    </row>
    <row r="1260" spans="1:3" x14ac:dyDescent="0.25">
      <c r="A1260" s="4">
        <v>40968</v>
      </c>
      <c r="B1260" s="3">
        <v>7.97</v>
      </c>
      <c r="C1260">
        <f t="shared" si="35"/>
        <v>-1.8645661371462861E-2</v>
      </c>
    </row>
    <row r="1261" spans="1:3" x14ac:dyDescent="0.25">
      <c r="A1261" s="4">
        <v>40967</v>
      </c>
      <c r="B1261" s="3">
        <v>8.1199999999999992</v>
      </c>
      <c r="C1261">
        <f t="shared" si="35"/>
        <v>1.8645661371462896E-2</v>
      </c>
    </row>
  </sheetData>
  <mergeCells count="7">
    <mergeCell ref="E18:F18"/>
    <mergeCell ref="D19:I19"/>
    <mergeCell ref="A3:XFD3"/>
    <mergeCell ref="E5:G5"/>
    <mergeCell ref="E6:G6"/>
    <mergeCell ref="E12:G12"/>
    <mergeCell ref="E17:F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SBI and SPY</vt:lpstr>
      <vt:lpstr>SPY Bollinger Bands</vt:lpstr>
      <vt:lpstr>Bank of America Monte Carlo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academy</dc:creator>
  <cp:keywords/>
  <dc:description/>
  <cp:lastModifiedBy>shekhar singhal</cp:lastModifiedBy>
  <cp:revision/>
  <dcterms:created xsi:type="dcterms:W3CDTF">2017-02-28T07:10:22Z</dcterms:created>
  <dcterms:modified xsi:type="dcterms:W3CDTF">2021-10-27T15:34:52Z</dcterms:modified>
  <cp:category/>
  <cp:contentStatus/>
</cp:coreProperties>
</file>