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Graph" sheetId="2" r:id="rId5"/>
  </sheets>
  <definedNames/>
  <calcPr/>
</workbook>
</file>

<file path=xl/sharedStrings.xml><?xml version="1.0" encoding="utf-8"?>
<sst xmlns="http://schemas.openxmlformats.org/spreadsheetml/2006/main" count="11" uniqueCount="11">
  <si>
    <t>Start Date</t>
  </si>
  <si>
    <t>End Date</t>
  </si>
  <si>
    <t>Ticker</t>
  </si>
  <si>
    <t>.INX</t>
  </si>
  <si>
    <t>MA11</t>
  </si>
  <si>
    <t>MA33</t>
  </si>
  <si>
    <t>Signal</t>
  </si>
  <si>
    <t>S&amp;P Daily Returns</t>
  </si>
  <si>
    <t>Cumulative Returns</t>
  </si>
  <si>
    <t>Strategy Daily Returns</t>
  </si>
  <si>
    <t>Cumulative Strategy Returns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</si>
</sst>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&quot;Google Sans&quot;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Font="1" applyNumberFormat="1"/>
    <xf borderId="0" fillId="0" fontId="1" numFmtId="10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10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165" xfId="0" applyFont="1" applyNumberFormat="1"/>
    <xf borderId="0" fillId="0" fontId="1" numFmtId="0" xfId="0" applyFont="1"/>
    <xf borderId="0" fillId="0" fontId="1" numFmtId="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Sheet1!$G$1:$G$37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Sheet1!$G$38:$G$2965</c:f>
              <c:numCache/>
            </c:numRef>
          </c:val>
          <c:smooth val="0"/>
        </c:ser>
        <c:ser>
          <c:idx val="1"/>
          <c:order val="1"/>
          <c:tx>
            <c:strRef>
              <c:f>Sheet1!$I$1:$I$37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Sheet1!$I$38:$I$2965</c:f>
              <c:numCache/>
            </c:numRef>
          </c:val>
          <c:smooth val="0"/>
        </c:ser>
        <c:axId val="246282352"/>
        <c:axId val="689235445"/>
      </c:lineChart>
      <c:catAx>
        <c:axId val="246282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9235445"/>
      </c:catAx>
      <c:valAx>
        <c:axId val="689235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62823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76200</xdr:rowOff>
    </xdr:from>
    <xdr:ext cx="6276975" cy="3190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63"/>
    <col customWidth="1" min="7" max="7" width="17.25"/>
    <col customWidth="1" min="8" max="8" width="25.75"/>
    <col customWidth="1" min="9" max="9" width="23.88"/>
  </cols>
  <sheetData>
    <row r="1">
      <c r="A1" s="1" t="s">
        <v>0</v>
      </c>
      <c r="B1" s="2">
        <f>B2- (365*10)</f>
        <v>42264</v>
      </c>
      <c r="F1" s="3"/>
      <c r="G1" s="4"/>
      <c r="H1" s="5"/>
      <c r="I1" s="5"/>
    </row>
    <row r="2">
      <c r="A2" s="1" t="s">
        <v>1</v>
      </c>
      <c r="B2" s="2">
        <f>today()</f>
        <v>45914</v>
      </c>
      <c r="F2" s="3"/>
      <c r="G2" s="4"/>
      <c r="H2" s="5"/>
      <c r="I2" s="5"/>
    </row>
    <row r="3">
      <c r="A3" s="1" t="s">
        <v>2</v>
      </c>
      <c r="B3" s="6" t="s">
        <v>3</v>
      </c>
      <c r="F3" s="3"/>
      <c r="G3" s="4"/>
      <c r="H3" s="5"/>
      <c r="I3" s="5"/>
    </row>
    <row r="4">
      <c r="F4" s="3"/>
      <c r="G4" s="4"/>
      <c r="H4" s="5"/>
      <c r="I4" s="5"/>
    </row>
    <row r="5">
      <c r="A5" s="7" t="str">
        <f>IFERROR(__xludf.DUMMYFUNCTION("GOOGLEFINANCE(B3,""Close"",B1,B2,""Daily"")"),"Date")</f>
        <v>Date</v>
      </c>
      <c r="B5" s="7" t="str">
        <f>IFERROR(__xludf.DUMMYFUNCTION("""COMPUTED_VALUE"""),"Close")</f>
        <v>Close</v>
      </c>
      <c r="C5" s="8" t="s">
        <v>4</v>
      </c>
      <c r="D5" s="8" t="s">
        <v>5</v>
      </c>
      <c r="E5" s="8" t="s">
        <v>6</v>
      </c>
      <c r="F5" s="9" t="s">
        <v>7</v>
      </c>
      <c r="G5" s="10" t="s">
        <v>8</v>
      </c>
      <c r="H5" s="11" t="s">
        <v>9</v>
      </c>
      <c r="I5" s="11" t="s">
        <v>10</v>
      </c>
    </row>
    <row r="6">
      <c r="A6" s="12">
        <f>IFERROR(__xludf.DUMMYFUNCTION("""COMPUTED_VALUE"""),42264.66666666667)</f>
        <v>42264.66667</v>
      </c>
      <c r="B6" s="13">
        <f>IFERROR(__xludf.DUMMYFUNCTION("""COMPUTED_VALUE"""),1990.2)</f>
        <v>1990.2</v>
      </c>
      <c r="F6" s="3"/>
      <c r="G6" s="4"/>
      <c r="H6" s="5"/>
      <c r="I6" s="5"/>
    </row>
    <row r="7">
      <c r="A7" s="12">
        <f>IFERROR(__xludf.DUMMYFUNCTION("""COMPUTED_VALUE"""),42265.66666666667)</f>
        <v>42265.66667</v>
      </c>
      <c r="B7" s="13">
        <f>IFERROR(__xludf.DUMMYFUNCTION("""COMPUTED_VALUE"""),1958.03)</f>
        <v>1958.03</v>
      </c>
      <c r="F7" s="3"/>
      <c r="G7" s="4"/>
      <c r="H7" s="5"/>
      <c r="I7" s="5"/>
    </row>
    <row r="8">
      <c r="A8" s="12">
        <f>IFERROR(__xludf.DUMMYFUNCTION("""COMPUTED_VALUE"""),42268.66666666667)</f>
        <v>42268.66667</v>
      </c>
      <c r="B8" s="13">
        <f>IFERROR(__xludf.DUMMYFUNCTION("""COMPUTED_VALUE"""),1966.97)</f>
        <v>1966.97</v>
      </c>
      <c r="F8" s="3"/>
      <c r="G8" s="4"/>
      <c r="H8" s="5"/>
      <c r="I8" s="5"/>
    </row>
    <row r="9">
      <c r="A9" s="12">
        <f>IFERROR(__xludf.DUMMYFUNCTION("""COMPUTED_VALUE"""),42269.66666666667)</f>
        <v>42269.66667</v>
      </c>
      <c r="B9" s="13">
        <f>IFERROR(__xludf.DUMMYFUNCTION("""COMPUTED_VALUE"""),1942.74)</f>
        <v>1942.74</v>
      </c>
      <c r="F9" s="3"/>
      <c r="G9" s="4"/>
      <c r="H9" s="5"/>
      <c r="I9" s="5"/>
    </row>
    <row r="10">
      <c r="A10" s="12">
        <f>IFERROR(__xludf.DUMMYFUNCTION("""COMPUTED_VALUE"""),42270.66666666667)</f>
        <v>42270.66667</v>
      </c>
      <c r="B10" s="13">
        <f>IFERROR(__xludf.DUMMYFUNCTION("""COMPUTED_VALUE"""),1938.76)</f>
        <v>1938.76</v>
      </c>
      <c r="F10" s="3"/>
      <c r="G10" s="4"/>
      <c r="H10" s="5"/>
      <c r="I10" s="5"/>
    </row>
    <row r="11">
      <c r="A11" s="12">
        <f>IFERROR(__xludf.DUMMYFUNCTION("""COMPUTED_VALUE"""),42271.66666666667)</f>
        <v>42271.66667</v>
      </c>
      <c r="B11" s="13">
        <f>IFERROR(__xludf.DUMMYFUNCTION("""COMPUTED_VALUE"""),1932.24)</f>
        <v>1932.24</v>
      </c>
      <c r="F11" s="3"/>
      <c r="G11" s="4"/>
      <c r="H11" s="5"/>
      <c r="I11" s="5"/>
    </row>
    <row r="12">
      <c r="A12" s="12">
        <f>IFERROR(__xludf.DUMMYFUNCTION("""COMPUTED_VALUE"""),42272.66666666667)</f>
        <v>42272.66667</v>
      </c>
      <c r="B12" s="13">
        <f>IFERROR(__xludf.DUMMYFUNCTION("""COMPUTED_VALUE"""),1931.34)</f>
        <v>1931.34</v>
      </c>
      <c r="F12" s="3"/>
      <c r="G12" s="4"/>
      <c r="H12" s="5"/>
      <c r="I12" s="5"/>
    </row>
    <row r="13">
      <c r="A13" s="12">
        <f>IFERROR(__xludf.DUMMYFUNCTION("""COMPUTED_VALUE"""),42275.66666666667)</f>
        <v>42275.66667</v>
      </c>
      <c r="B13" s="13">
        <f>IFERROR(__xludf.DUMMYFUNCTION("""COMPUTED_VALUE"""),1881.77)</f>
        <v>1881.77</v>
      </c>
      <c r="F13" s="3"/>
      <c r="G13" s="4"/>
      <c r="H13" s="5"/>
      <c r="I13" s="5"/>
    </row>
    <row r="14">
      <c r="A14" s="12">
        <f>IFERROR(__xludf.DUMMYFUNCTION("""COMPUTED_VALUE"""),42276.66666666667)</f>
        <v>42276.66667</v>
      </c>
      <c r="B14" s="13">
        <f>IFERROR(__xludf.DUMMYFUNCTION("""COMPUTED_VALUE"""),1884.09)</f>
        <v>1884.09</v>
      </c>
      <c r="F14" s="3"/>
      <c r="G14" s="4"/>
      <c r="H14" s="5"/>
      <c r="I14" s="5"/>
    </row>
    <row r="15">
      <c r="A15" s="12">
        <f>IFERROR(__xludf.DUMMYFUNCTION("""COMPUTED_VALUE"""),42277.66666666667)</f>
        <v>42277.66667</v>
      </c>
      <c r="B15" s="13">
        <f>IFERROR(__xludf.DUMMYFUNCTION("""COMPUTED_VALUE"""),1920.03)</f>
        <v>1920.03</v>
      </c>
      <c r="F15" s="3"/>
      <c r="G15" s="4"/>
      <c r="H15" s="5"/>
      <c r="I15" s="5"/>
    </row>
    <row r="16">
      <c r="A16" s="12">
        <f>IFERROR(__xludf.DUMMYFUNCTION("""COMPUTED_VALUE"""),42278.66666666667)</f>
        <v>42278.66667</v>
      </c>
      <c r="B16" s="13">
        <f>IFERROR(__xludf.DUMMYFUNCTION("""COMPUTED_VALUE"""),1923.82)</f>
        <v>1923.82</v>
      </c>
      <c r="C16" s="13">
        <f t="shared" ref="C16:C2512" si="1">AVERAGE(B6,B16)</f>
        <v>1957.01</v>
      </c>
      <c r="F16" s="3"/>
      <c r="G16" s="4"/>
      <c r="H16" s="5"/>
      <c r="I16" s="5"/>
    </row>
    <row r="17">
      <c r="A17" s="12">
        <f>IFERROR(__xludf.DUMMYFUNCTION("""COMPUTED_VALUE"""),42279.66666666667)</f>
        <v>42279.66667</v>
      </c>
      <c r="B17" s="13">
        <f>IFERROR(__xludf.DUMMYFUNCTION("""COMPUTED_VALUE"""),1951.36)</f>
        <v>1951.36</v>
      </c>
      <c r="C17" s="13">
        <f t="shared" si="1"/>
        <v>1954.695</v>
      </c>
      <c r="F17" s="3"/>
      <c r="G17" s="4"/>
      <c r="H17" s="5"/>
      <c r="I17" s="5"/>
    </row>
    <row r="18">
      <c r="A18" s="12">
        <f>IFERROR(__xludf.DUMMYFUNCTION("""COMPUTED_VALUE"""),42282.66666666667)</f>
        <v>42282.66667</v>
      </c>
      <c r="B18" s="13">
        <f>IFERROR(__xludf.DUMMYFUNCTION("""COMPUTED_VALUE"""),1987.05)</f>
        <v>1987.05</v>
      </c>
      <c r="C18" s="13">
        <f t="shared" si="1"/>
        <v>1977.01</v>
      </c>
      <c r="F18" s="3"/>
      <c r="G18" s="4"/>
      <c r="H18" s="5"/>
      <c r="I18" s="5"/>
    </row>
    <row r="19">
      <c r="A19" s="12">
        <f>IFERROR(__xludf.DUMMYFUNCTION("""COMPUTED_VALUE"""),42283.66666666667)</f>
        <v>42283.66667</v>
      </c>
      <c r="B19" s="13">
        <f>IFERROR(__xludf.DUMMYFUNCTION("""COMPUTED_VALUE"""),1979.92)</f>
        <v>1979.92</v>
      </c>
      <c r="C19" s="13">
        <f t="shared" si="1"/>
        <v>1961.33</v>
      </c>
      <c r="F19" s="3"/>
      <c r="G19" s="4"/>
      <c r="H19" s="5"/>
      <c r="I19" s="5"/>
    </row>
    <row r="20">
      <c r="A20" s="12">
        <f>IFERROR(__xludf.DUMMYFUNCTION("""COMPUTED_VALUE"""),42284.66666666667)</f>
        <v>42284.66667</v>
      </c>
      <c r="B20" s="13">
        <f>IFERROR(__xludf.DUMMYFUNCTION("""COMPUTED_VALUE"""),1995.83)</f>
        <v>1995.83</v>
      </c>
      <c r="C20" s="13">
        <f t="shared" si="1"/>
        <v>1967.295</v>
      </c>
      <c r="F20" s="3"/>
      <c r="G20" s="4"/>
      <c r="H20" s="5"/>
      <c r="I20" s="5"/>
    </row>
    <row r="21">
      <c r="A21" s="12">
        <f>IFERROR(__xludf.DUMMYFUNCTION("""COMPUTED_VALUE"""),42285.66666666667)</f>
        <v>42285.66667</v>
      </c>
      <c r="B21" s="13">
        <f>IFERROR(__xludf.DUMMYFUNCTION("""COMPUTED_VALUE"""),2013.43)</f>
        <v>2013.43</v>
      </c>
      <c r="C21" s="13">
        <f t="shared" si="1"/>
        <v>1972.835</v>
      </c>
      <c r="F21" s="3"/>
      <c r="G21" s="4"/>
      <c r="H21" s="5"/>
      <c r="I21" s="5"/>
    </row>
    <row r="22">
      <c r="A22" s="12">
        <f>IFERROR(__xludf.DUMMYFUNCTION("""COMPUTED_VALUE"""),42286.66666666667)</f>
        <v>42286.66667</v>
      </c>
      <c r="B22" s="13">
        <f>IFERROR(__xludf.DUMMYFUNCTION("""COMPUTED_VALUE"""),2014.89)</f>
        <v>2014.89</v>
      </c>
      <c r="C22" s="13">
        <f t="shared" si="1"/>
        <v>1973.115</v>
      </c>
      <c r="F22" s="3"/>
      <c r="G22" s="4"/>
      <c r="H22" s="5"/>
      <c r="I22" s="5"/>
    </row>
    <row r="23">
      <c r="A23" s="12">
        <f>IFERROR(__xludf.DUMMYFUNCTION("""COMPUTED_VALUE"""),42289.66666666667)</f>
        <v>42289.66667</v>
      </c>
      <c r="B23" s="13">
        <f>IFERROR(__xludf.DUMMYFUNCTION("""COMPUTED_VALUE"""),2017.46)</f>
        <v>2017.46</v>
      </c>
      <c r="C23" s="13">
        <f t="shared" si="1"/>
        <v>1949.615</v>
      </c>
      <c r="F23" s="3"/>
      <c r="G23" s="4"/>
      <c r="H23" s="5"/>
      <c r="I23" s="5"/>
    </row>
    <row r="24">
      <c r="A24" s="12">
        <f>IFERROR(__xludf.DUMMYFUNCTION("""COMPUTED_VALUE"""),42290.66666666667)</f>
        <v>42290.66667</v>
      </c>
      <c r="B24" s="13">
        <f>IFERROR(__xludf.DUMMYFUNCTION("""COMPUTED_VALUE"""),2003.69)</f>
        <v>2003.69</v>
      </c>
      <c r="C24" s="13">
        <f t="shared" si="1"/>
        <v>1943.89</v>
      </c>
      <c r="F24" s="3"/>
      <c r="G24" s="4"/>
      <c r="H24" s="5"/>
      <c r="I24" s="5"/>
    </row>
    <row r="25">
      <c r="A25" s="12">
        <f>IFERROR(__xludf.DUMMYFUNCTION("""COMPUTED_VALUE"""),42291.66666666667)</f>
        <v>42291.66667</v>
      </c>
      <c r="B25" s="13">
        <f>IFERROR(__xludf.DUMMYFUNCTION("""COMPUTED_VALUE"""),1994.24)</f>
        <v>1994.24</v>
      </c>
      <c r="C25" s="13">
        <f t="shared" si="1"/>
        <v>1957.135</v>
      </c>
      <c r="F25" s="3"/>
      <c r="G25" s="4"/>
      <c r="H25" s="5"/>
      <c r="I25" s="5"/>
    </row>
    <row r="26">
      <c r="A26" s="12">
        <f>IFERROR(__xludf.DUMMYFUNCTION("""COMPUTED_VALUE"""),42292.66666666667)</f>
        <v>42292.66667</v>
      </c>
      <c r="B26" s="13">
        <f>IFERROR(__xludf.DUMMYFUNCTION("""COMPUTED_VALUE"""),2023.86)</f>
        <v>2023.86</v>
      </c>
      <c r="C26" s="13">
        <f t="shared" si="1"/>
        <v>1973.84</v>
      </c>
      <c r="F26" s="3"/>
      <c r="G26" s="4"/>
      <c r="H26" s="5"/>
      <c r="I26" s="5"/>
    </row>
    <row r="27">
      <c r="A27" s="12">
        <f>IFERROR(__xludf.DUMMYFUNCTION("""COMPUTED_VALUE"""),42293.66666666667)</f>
        <v>42293.66667</v>
      </c>
      <c r="B27" s="13">
        <f>IFERROR(__xludf.DUMMYFUNCTION("""COMPUTED_VALUE"""),2033.11)</f>
        <v>2033.11</v>
      </c>
      <c r="C27" s="13">
        <f t="shared" si="1"/>
        <v>1992.235</v>
      </c>
      <c r="F27" s="3"/>
      <c r="G27" s="4"/>
      <c r="H27" s="5"/>
      <c r="I27" s="5"/>
    </row>
    <row r="28">
      <c r="A28" s="12">
        <f>IFERROR(__xludf.DUMMYFUNCTION("""COMPUTED_VALUE"""),42296.66666666667)</f>
        <v>42296.66667</v>
      </c>
      <c r="B28" s="13">
        <f>IFERROR(__xludf.DUMMYFUNCTION("""COMPUTED_VALUE"""),2033.66)</f>
        <v>2033.66</v>
      </c>
      <c r="C28" s="13">
        <f t="shared" si="1"/>
        <v>2010.355</v>
      </c>
      <c r="F28" s="3"/>
      <c r="G28" s="4"/>
      <c r="H28" s="5"/>
      <c r="I28" s="5"/>
    </row>
    <row r="29">
      <c r="A29" s="12">
        <f>IFERROR(__xludf.DUMMYFUNCTION("""COMPUTED_VALUE"""),42297.66666666667)</f>
        <v>42297.66667</v>
      </c>
      <c r="B29" s="13">
        <f>IFERROR(__xludf.DUMMYFUNCTION("""COMPUTED_VALUE"""),2030.77)</f>
        <v>2030.77</v>
      </c>
      <c r="C29" s="13">
        <f t="shared" si="1"/>
        <v>2005.345</v>
      </c>
      <c r="F29" s="3"/>
      <c r="G29" s="4"/>
      <c r="H29" s="5"/>
      <c r="I29" s="5"/>
    </row>
    <row r="30">
      <c r="A30" s="12">
        <f>IFERROR(__xludf.DUMMYFUNCTION("""COMPUTED_VALUE"""),42298.66666666667)</f>
        <v>42298.66667</v>
      </c>
      <c r="B30" s="13">
        <f>IFERROR(__xludf.DUMMYFUNCTION("""COMPUTED_VALUE"""),2018.94)</f>
        <v>2018.94</v>
      </c>
      <c r="C30" s="13">
        <f t="shared" si="1"/>
        <v>2007.385</v>
      </c>
      <c r="F30" s="3"/>
      <c r="G30" s="4"/>
      <c r="H30" s="5"/>
      <c r="I30" s="5"/>
    </row>
    <row r="31">
      <c r="A31" s="12">
        <f>IFERROR(__xludf.DUMMYFUNCTION("""COMPUTED_VALUE"""),42299.66666666667)</f>
        <v>42299.66667</v>
      </c>
      <c r="B31" s="13">
        <f>IFERROR(__xludf.DUMMYFUNCTION("""COMPUTED_VALUE"""),2052.51)</f>
        <v>2052.51</v>
      </c>
      <c r="C31" s="13">
        <f t="shared" si="1"/>
        <v>2032.97</v>
      </c>
      <c r="F31" s="3"/>
      <c r="G31" s="4"/>
      <c r="H31" s="5"/>
      <c r="I31" s="5"/>
    </row>
    <row r="32">
      <c r="A32" s="12">
        <f>IFERROR(__xludf.DUMMYFUNCTION("""COMPUTED_VALUE"""),42300.66666666667)</f>
        <v>42300.66667</v>
      </c>
      <c r="B32" s="13">
        <f>IFERROR(__xludf.DUMMYFUNCTION("""COMPUTED_VALUE"""),2075.15)</f>
        <v>2075.15</v>
      </c>
      <c r="C32" s="13">
        <f t="shared" si="1"/>
        <v>2045.02</v>
      </c>
      <c r="F32" s="3"/>
      <c r="G32" s="4"/>
      <c r="H32" s="5"/>
      <c r="I32" s="5"/>
    </row>
    <row r="33">
      <c r="A33" s="12">
        <f>IFERROR(__xludf.DUMMYFUNCTION("""COMPUTED_VALUE"""),42303.66666666667)</f>
        <v>42303.66667</v>
      </c>
      <c r="B33" s="13">
        <f>IFERROR(__xludf.DUMMYFUNCTION("""COMPUTED_VALUE"""),2071.18)</f>
        <v>2071.18</v>
      </c>
      <c r="C33" s="13">
        <f t="shared" si="1"/>
        <v>2044.32</v>
      </c>
      <c r="F33" s="3"/>
      <c r="G33" s="4"/>
      <c r="H33" s="5"/>
      <c r="I33" s="5"/>
    </row>
    <row r="34">
      <c r="A34" s="12">
        <f>IFERROR(__xludf.DUMMYFUNCTION("""COMPUTED_VALUE"""),42304.66666666667)</f>
        <v>42304.66667</v>
      </c>
      <c r="B34" s="13">
        <f>IFERROR(__xludf.DUMMYFUNCTION("""COMPUTED_VALUE"""),2065.89)</f>
        <v>2065.89</v>
      </c>
      <c r="C34" s="13">
        <f t="shared" si="1"/>
        <v>2034.79</v>
      </c>
      <c r="F34" s="3"/>
      <c r="G34" s="4"/>
      <c r="H34" s="5"/>
      <c r="I34" s="5"/>
    </row>
    <row r="35">
      <c r="A35" s="12">
        <f>IFERROR(__xludf.DUMMYFUNCTION("""COMPUTED_VALUE"""),42305.66666666667)</f>
        <v>42305.66667</v>
      </c>
      <c r="B35" s="13">
        <f>IFERROR(__xludf.DUMMYFUNCTION("""COMPUTED_VALUE"""),2090.35)</f>
        <v>2090.35</v>
      </c>
      <c r="C35" s="13">
        <f t="shared" si="1"/>
        <v>2042.295</v>
      </c>
      <c r="F35" s="3"/>
      <c r="G35" s="4"/>
      <c r="H35" s="5"/>
      <c r="I35" s="5"/>
    </row>
    <row r="36">
      <c r="A36" s="12">
        <f>IFERROR(__xludf.DUMMYFUNCTION("""COMPUTED_VALUE"""),42306.66666666667)</f>
        <v>42306.66667</v>
      </c>
      <c r="B36" s="13">
        <f>IFERROR(__xludf.DUMMYFUNCTION("""COMPUTED_VALUE"""),2089.41)</f>
        <v>2089.41</v>
      </c>
      <c r="C36" s="13">
        <f t="shared" si="1"/>
        <v>2056.635</v>
      </c>
      <c r="F36" s="3"/>
      <c r="G36" s="4"/>
      <c r="H36" s="5"/>
      <c r="I36" s="5"/>
    </row>
    <row r="37">
      <c r="A37" s="12">
        <f>IFERROR(__xludf.DUMMYFUNCTION("""COMPUTED_VALUE"""),42307.66666666667)</f>
        <v>42307.66667</v>
      </c>
      <c r="B37" s="13">
        <f>IFERROR(__xludf.DUMMYFUNCTION("""COMPUTED_VALUE"""),2079.36)</f>
        <v>2079.36</v>
      </c>
      <c r="C37" s="13">
        <f t="shared" si="1"/>
        <v>2056.235</v>
      </c>
      <c r="F37" s="3"/>
      <c r="G37" s="4"/>
      <c r="H37" s="5"/>
      <c r="I37" s="5"/>
    </row>
    <row r="38">
      <c r="A38" s="12">
        <f>IFERROR(__xludf.DUMMYFUNCTION("""COMPUTED_VALUE"""),42310.66666666667)</f>
        <v>42310.66667</v>
      </c>
      <c r="B38" s="13">
        <f>IFERROR(__xludf.DUMMYFUNCTION("""COMPUTED_VALUE"""),2104.05)</f>
        <v>2104.05</v>
      </c>
      <c r="C38" s="13">
        <f t="shared" si="1"/>
        <v>2068.855</v>
      </c>
      <c r="D38" s="13">
        <f t="shared" ref="D38:D2512" si="2">AVERAGE(B7,B38)</f>
        <v>2031.04</v>
      </c>
      <c r="E38" s="13" t="str">
        <f t="shared" ref="E38:E2512" si="3">IF(C38&gt;D38,"LONG","")</f>
        <v>LONG</v>
      </c>
      <c r="F38" s="3">
        <f t="shared" ref="F38:F2512" si="4">(B38-B37)/B37</f>
        <v>0.0118738458</v>
      </c>
      <c r="G38" s="4">
        <f>(1+F38)</f>
        <v>1.011873846</v>
      </c>
      <c r="H38" s="5"/>
      <c r="I38" s="5"/>
    </row>
    <row r="39">
      <c r="A39" s="12">
        <f>IFERROR(__xludf.DUMMYFUNCTION("""COMPUTED_VALUE"""),42311.66666666667)</f>
        <v>42311.66667</v>
      </c>
      <c r="B39" s="13">
        <f>IFERROR(__xludf.DUMMYFUNCTION("""COMPUTED_VALUE"""),2109.79)</f>
        <v>2109.79</v>
      </c>
      <c r="C39" s="13">
        <f t="shared" si="1"/>
        <v>2070.28</v>
      </c>
      <c r="D39" s="13">
        <f t="shared" si="2"/>
        <v>2038.38</v>
      </c>
      <c r="E39" s="13" t="str">
        <f t="shared" si="3"/>
        <v>LONG</v>
      </c>
      <c r="F39" s="3">
        <f t="shared" si="4"/>
        <v>0.002728072052</v>
      </c>
      <c r="G39" s="4">
        <f t="shared" ref="G39:G2512" si="5">G38*(1+F39)</f>
        <v>1.014634311</v>
      </c>
      <c r="H39" s="3">
        <f t="shared" ref="H39:H2512" si="6">if(E39="long",F39,0)</f>
        <v>0.002728072052</v>
      </c>
      <c r="I39" s="14">
        <f>(1+H39)</f>
        <v>1.002728072</v>
      </c>
    </row>
    <row r="40">
      <c r="A40" s="12">
        <f>IFERROR(__xludf.DUMMYFUNCTION("""COMPUTED_VALUE"""),42312.66666666667)</f>
        <v>42312.66667</v>
      </c>
      <c r="B40" s="13">
        <f>IFERROR(__xludf.DUMMYFUNCTION("""COMPUTED_VALUE"""),2102.31)</f>
        <v>2102.31</v>
      </c>
      <c r="C40" s="13">
        <f t="shared" si="1"/>
        <v>2060.625</v>
      </c>
      <c r="D40" s="13">
        <f t="shared" si="2"/>
        <v>2022.525</v>
      </c>
      <c r="E40" s="13" t="str">
        <f t="shared" si="3"/>
        <v>LONG</v>
      </c>
      <c r="F40" s="3">
        <f t="shared" si="4"/>
        <v>-0.003545376554</v>
      </c>
      <c r="G40" s="4">
        <f t="shared" si="5"/>
        <v>1.01103705</v>
      </c>
      <c r="H40" s="3">
        <f t="shared" si="6"/>
        <v>-0.003545376554</v>
      </c>
      <c r="I40" s="5">
        <f t="shared" ref="I40:I2512" si="7">I39*(1+H40)</f>
        <v>0.9991730235</v>
      </c>
    </row>
    <row r="41">
      <c r="A41" s="12">
        <f>IFERROR(__xludf.DUMMYFUNCTION("""COMPUTED_VALUE"""),42313.66666666667)</f>
        <v>42313.66667</v>
      </c>
      <c r="B41" s="13">
        <f>IFERROR(__xludf.DUMMYFUNCTION("""COMPUTED_VALUE"""),2099.93)</f>
        <v>2099.93</v>
      </c>
      <c r="C41" s="13">
        <f t="shared" si="1"/>
        <v>2076.22</v>
      </c>
      <c r="D41" s="13">
        <f t="shared" si="2"/>
        <v>2019.345</v>
      </c>
      <c r="E41" s="13" t="str">
        <f t="shared" si="3"/>
        <v>LONG</v>
      </c>
      <c r="F41" s="3">
        <f t="shared" si="4"/>
        <v>-0.001132088036</v>
      </c>
      <c r="G41" s="4">
        <f t="shared" si="5"/>
        <v>1.009892467</v>
      </c>
      <c r="H41" s="3">
        <f t="shared" si="6"/>
        <v>-0.001132088036</v>
      </c>
      <c r="I41" s="5">
        <f t="shared" si="7"/>
        <v>0.9980418716</v>
      </c>
    </row>
    <row r="42">
      <c r="A42" s="12">
        <f>IFERROR(__xludf.DUMMYFUNCTION("""COMPUTED_VALUE"""),42314.66666666667)</f>
        <v>42314.66667</v>
      </c>
      <c r="B42" s="13">
        <f>IFERROR(__xludf.DUMMYFUNCTION("""COMPUTED_VALUE"""),2099.2)</f>
        <v>2099.2</v>
      </c>
      <c r="C42" s="13">
        <f t="shared" si="1"/>
        <v>2087.175</v>
      </c>
      <c r="D42" s="13">
        <f t="shared" si="2"/>
        <v>2015.72</v>
      </c>
      <c r="E42" s="13" t="str">
        <f t="shared" si="3"/>
        <v>LONG</v>
      </c>
      <c r="F42" s="3">
        <f t="shared" si="4"/>
        <v>-0.0003476306353</v>
      </c>
      <c r="G42" s="4">
        <f t="shared" si="5"/>
        <v>1.009541397</v>
      </c>
      <c r="H42" s="3">
        <f t="shared" si="6"/>
        <v>-0.0003476306353</v>
      </c>
      <c r="I42" s="5">
        <f t="shared" si="7"/>
        <v>0.9976949217</v>
      </c>
    </row>
    <row r="43">
      <c r="A43" s="12">
        <f>IFERROR(__xludf.DUMMYFUNCTION("""COMPUTED_VALUE"""),42317.66666666667)</f>
        <v>42317.66667</v>
      </c>
      <c r="B43" s="13">
        <f>IFERROR(__xludf.DUMMYFUNCTION("""COMPUTED_VALUE"""),2078.58)</f>
        <v>2078.58</v>
      </c>
      <c r="C43" s="13">
        <f t="shared" si="1"/>
        <v>2074.88</v>
      </c>
      <c r="D43" s="13">
        <f t="shared" si="2"/>
        <v>2004.96</v>
      </c>
      <c r="E43" s="13" t="str">
        <f t="shared" si="3"/>
        <v>LONG</v>
      </c>
      <c r="F43" s="3">
        <f t="shared" si="4"/>
        <v>-0.009822789634</v>
      </c>
      <c r="G43" s="4">
        <f t="shared" si="5"/>
        <v>0.9996248846</v>
      </c>
      <c r="H43" s="3">
        <f t="shared" si="6"/>
        <v>-0.009822789634</v>
      </c>
      <c r="I43" s="5">
        <f t="shared" si="7"/>
        <v>0.9878947744</v>
      </c>
    </row>
    <row r="44">
      <c r="A44" s="12">
        <f>IFERROR(__xludf.DUMMYFUNCTION("""COMPUTED_VALUE"""),42318.66666666667)</f>
        <v>42318.66667</v>
      </c>
      <c r="B44" s="13">
        <f>IFERROR(__xludf.DUMMYFUNCTION("""COMPUTED_VALUE"""),2081.72)</f>
        <v>2081.72</v>
      </c>
      <c r="C44" s="13">
        <f t="shared" si="1"/>
        <v>2073.805</v>
      </c>
      <c r="D44" s="13">
        <f t="shared" si="2"/>
        <v>1981.745</v>
      </c>
      <c r="E44" s="13" t="str">
        <f t="shared" si="3"/>
        <v>LONG</v>
      </c>
      <c r="F44" s="3">
        <f t="shared" si="4"/>
        <v>0.001510646691</v>
      </c>
      <c r="G44" s="4">
        <f t="shared" si="5"/>
        <v>1.001134965</v>
      </c>
      <c r="H44" s="3">
        <f t="shared" si="6"/>
        <v>0.001510646691</v>
      </c>
      <c r="I44" s="5">
        <f t="shared" si="7"/>
        <v>0.9893871343</v>
      </c>
    </row>
    <row r="45">
      <c r="A45" s="12">
        <f>IFERROR(__xludf.DUMMYFUNCTION("""COMPUTED_VALUE"""),42319.66666666667)</f>
        <v>42319.66667</v>
      </c>
      <c r="B45" s="13">
        <f>IFERROR(__xludf.DUMMYFUNCTION("""COMPUTED_VALUE"""),2075.0)</f>
        <v>2075</v>
      </c>
      <c r="C45" s="13">
        <f t="shared" si="1"/>
        <v>2082.675</v>
      </c>
      <c r="D45" s="13">
        <f t="shared" si="2"/>
        <v>1979.545</v>
      </c>
      <c r="E45" s="13" t="str">
        <f t="shared" si="3"/>
        <v>LONG</v>
      </c>
      <c r="F45" s="3">
        <f t="shared" si="4"/>
        <v>-0.003228099841</v>
      </c>
      <c r="G45" s="4">
        <f t="shared" si="5"/>
        <v>0.997903201</v>
      </c>
      <c r="H45" s="3">
        <f t="shared" si="6"/>
        <v>-0.003228099841</v>
      </c>
      <c r="I45" s="5">
        <f t="shared" si="7"/>
        <v>0.9861932939</v>
      </c>
    </row>
    <row r="46">
      <c r="A46" s="12">
        <f>IFERROR(__xludf.DUMMYFUNCTION("""COMPUTED_VALUE"""),42320.66666666667)</f>
        <v>42320.66667</v>
      </c>
      <c r="B46" s="13">
        <f>IFERROR(__xludf.DUMMYFUNCTION("""COMPUTED_VALUE"""),2045.97)</f>
        <v>2045.97</v>
      </c>
      <c r="C46" s="13">
        <f t="shared" si="1"/>
        <v>2067.69</v>
      </c>
      <c r="D46" s="13">
        <f t="shared" si="2"/>
        <v>1983</v>
      </c>
      <c r="E46" s="13" t="str">
        <f t="shared" si="3"/>
        <v>LONG</v>
      </c>
      <c r="F46" s="3">
        <f t="shared" si="4"/>
        <v>-0.01399036145</v>
      </c>
      <c r="G46" s="4">
        <f t="shared" si="5"/>
        <v>0.9839421745</v>
      </c>
      <c r="H46" s="3">
        <f t="shared" si="6"/>
        <v>-0.01399036145</v>
      </c>
      <c r="I46" s="5">
        <f t="shared" si="7"/>
        <v>0.9723960932</v>
      </c>
    </row>
    <row r="47">
      <c r="A47" s="12">
        <f>IFERROR(__xludf.DUMMYFUNCTION("""COMPUTED_VALUE"""),42321.66666666667)</f>
        <v>42321.66667</v>
      </c>
      <c r="B47" s="13">
        <f>IFERROR(__xludf.DUMMYFUNCTION("""COMPUTED_VALUE"""),2023.04)</f>
        <v>2023.04</v>
      </c>
      <c r="C47" s="13">
        <f t="shared" si="1"/>
        <v>2051.2</v>
      </c>
      <c r="D47" s="13">
        <f t="shared" si="2"/>
        <v>1973.43</v>
      </c>
      <c r="E47" s="13" t="str">
        <f t="shared" si="3"/>
        <v>LONG</v>
      </c>
      <c r="F47" s="3">
        <f t="shared" si="4"/>
        <v>-0.01120739796</v>
      </c>
      <c r="G47" s="4">
        <f t="shared" si="5"/>
        <v>0.972914743</v>
      </c>
      <c r="H47" s="3">
        <f t="shared" si="6"/>
        <v>-0.01120739796</v>
      </c>
      <c r="I47" s="5">
        <f t="shared" si="7"/>
        <v>0.9614980633</v>
      </c>
    </row>
    <row r="48">
      <c r="A48" s="12">
        <f>IFERROR(__xludf.DUMMYFUNCTION("""COMPUTED_VALUE"""),42324.66666666667)</f>
        <v>42324.66667</v>
      </c>
      <c r="B48" s="13">
        <f>IFERROR(__xludf.DUMMYFUNCTION("""COMPUTED_VALUE"""),2053.19)</f>
        <v>2053.19</v>
      </c>
      <c r="C48" s="13">
        <f t="shared" si="1"/>
        <v>2078.62</v>
      </c>
      <c r="D48" s="13">
        <f t="shared" si="2"/>
        <v>2002.275</v>
      </c>
      <c r="E48" s="13" t="str">
        <f t="shared" si="3"/>
        <v>LONG</v>
      </c>
      <c r="F48" s="3">
        <f t="shared" si="4"/>
        <v>0.01490331382</v>
      </c>
      <c r="G48" s="4">
        <f t="shared" si="5"/>
        <v>0.9874143967</v>
      </c>
      <c r="H48" s="3">
        <f t="shared" si="6"/>
        <v>0.01490331382</v>
      </c>
      <c r="I48" s="5">
        <f t="shared" si="7"/>
        <v>0.9758275706</v>
      </c>
    </row>
    <row r="49">
      <c r="A49" s="12">
        <f>IFERROR(__xludf.DUMMYFUNCTION("""COMPUTED_VALUE"""),42325.66666666667)</f>
        <v>42325.66667</v>
      </c>
      <c r="B49" s="13">
        <f>IFERROR(__xludf.DUMMYFUNCTION("""COMPUTED_VALUE"""),2050.44)</f>
        <v>2050.44</v>
      </c>
      <c r="C49" s="13">
        <f t="shared" si="1"/>
        <v>2080.115</v>
      </c>
      <c r="D49" s="13">
        <f t="shared" si="2"/>
        <v>2018.745</v>
      </c>
      <c r="E49" s="13" t="str">
        <f t="shared" si="3"/>
        <v>LONG</v>
      </c>
      <c r="F49" s="3">
        <f t="shared" si="4"/>
        <v>-0.00133937921</v>
      </c>
      <c r="G49" s="4">
        <f t="shared" si="5"/>
        <v>0.9860918744</v>
      </c>
      <c r="H49" s="3">
        <f t="shared" si="6"/>
        <v>-0.00133937921</v>
      </c>
      <c r="I49" s="5">
        <f t="shared" si="7"/>
        <v>0.9745205675</v>
      </c>
    </row>
    <row r="50">
      <c r="A50" s="12">
        <f>IFERROR(__xludf.DUMMYFUNCTION("""COMPUTED_VALUE"""),42326.66666666667)</f>
        <v>42326.66667</v>
      </c>
      <c r="B50" s="13">
        <f>IFERROR(__xludf.DUMMYFUNCTION("""COMPUTED_VALUE"""),2083.58)</f>
        <v>2083.58</v>
      </c>
      <c r="C50" s="13">
        <f t="shared" si="1"/>
        <v>2092.945</v>
      </c>
      <c r="D50" s="13">
        <f t="shared" si="2"/>
        <v>2031.75</v>
      </c>
      <c r="E50" s="13" t="str">
        <f t="shared" si="3"/>
        <v>LONG</v>
      </c>
      <c r="F50" s="3">
        <f t="shared" si="4"/>
        <v>0.01616238466</v>
      </c>
      <c r="G50" s="4">
        <f t="shared" si="5"/>
        <v>1.002029471</v>
      </c>
      <c r="H50" s="3">
        <f t="shared" si="6"/>
        <v>0.01616238466</v>
      </c>
      <c r="I50" s="5">
        <f t="shared" si="7"/>
        <v>0.9902711437</v>
      </c>
    </row>
    <row r="51">
      <c r="A51" s="12">
        <f>IFERROR(__xludf.DUMMYFUNCTION("""COMPUTED_VALUE"""),42327.66666666667)</f>
        <v>42327.66667</v>
      </c>
      <c r="B51" s="13">
        <f>IFERROR(__xludf.DUMMYFUNCTION("""COMPUTED_VALUE"""),2081.24)</f>
        <v>2081.24</v>
      </c>
      <c r="C51" s="13">
        <f t="shared" si="1"/>
        <v>2090.585</v>
      </c>
      <c r="D51" s="13">
        <f t="shared" si="2"/>
        <v>2038.535</v>
      </c>
      <c r="E51" s="13" t="str">
        <f t="shared" si="3"/>
        <v>LONG</v>
      </c>
      <c r="F51" s="3">
        <f t="shared" si="4"/>
        <v>-0.001123067029</v>
      </c>
      <c r="G51" s="4">
        <f t="shared" si="5"/>
        <v>1.000904124</v>
      </c>
      <c r="H51" s="3">
        <f t="shared" si="6"/>
        <v>-0.001123067029</v>
      </c>
      <c r="I51" s="5">
        <f t="shared" si="7"/>
        <v>0.9891590029</v>
      </c>
    </row>
    <row r="52">
      <c r="A52" s="12">
        <f>IFERROR(__xludf.DUMMYFUNCTION("""COMPUTED_VALUE"""),42328.66666666667)</f>
        <v>42328.66667</v>
      </c>
      <c r="B52" s="13">
        <f>IFERROR(__xludf.DUMMYFUNCTION("""COMPUTED_VALUE"""),2089.17)</f>
        <v>2089.17</v>
      </c>
      <c r="C52" s="13">
        <f t="shared" si="1"/>
        <v>2094.185</v>
      </c>
      <c r="D52" s="13">
        <f t="shared" si="2"/>
        <v>2051.3</v>
      </c>
      <c r="E52" s="13" t="str">
        <f t="shared" si="3"/>
        <v>LONG</v>
      </c>
      <c r="F52" s="3">
        <f t="shared" si="4"/>
        <v>0.003810228518</v>
      </c>
      <c r="G52" s="4">
        <f t="shared" si="5"/>
        <v>1.004717798</v>
      </c>
      <c r="H52" s="3">
        <f t="shared" si="6"/>
        <v>0.003810228518</v>
      </c>
      <c r="I52" s="5">
        <f t="shared" si="7"/>
        <v>0.9929279247</v>
      </c>
    </row>
    <row r="53">
      <c r="A53" s="12">
        <f>IFERROR(__xludf.DUMMYFUNCTION("""COMPUTED_VALUE"""),42331.66666666667)</f>
        <v>42331.66667</v>
      </c>
      <c r="B53" s="13">
        <f>IFERROR(__xludf.DUMMYFUNCTION("""COMPUTED_VALUE"""),2086.59)</f>
        <v>2086.59</v>
      </c>
      <c r="C53" s="13">
        <f t="shared" si="1"/>
        <v>2082.585</v>
      </c>
      <c r="D53" s="13">
        <f t="shared" si="2"/>
        <v>2050.74</v>
      </c>
      <c r="E53" s="13" t="str">
        <f t="shared" si="3"/>
        <v>LONG</v>
      </c>
      <c r="F53" s="3">
        <f t="shared" si="4"/>
        <v>-0.001234940192</v>
      </c>
      <c r="G53" s="4">
        <f t="shared" si="5"/>
        <v>1.003477031</v>
      </c>
      <c r="H53" s="3">
        <f t="shared" si="6"/>
        <v>-0.001234940192</v>
      </c>
      <c r="I53" s="5">
        <f t="shared" si="7"/>
        <v>0.9917017181</v>
      </c>
    </row>
    <row r="54">
      <c r="A54" s="12">
        <f>IFERROR(__xludf.DUMMYFUNCTION("""COMPUTED_VALUE"""),42332.66666666667)</f>
        <v>42332.66667</v>
      </c>
      <c r="B54" s="13">
        <f>IFERROR(__xludf.DUMMYFUNCTION("""COMPUTED_VALUE"""),2089.14)</f>
        <v>2089.14</v>
      </c>
      <c r="C54" s="13">
        <f t="shared" si="1"/>
        <v>2085.43</v>
      </c>
      <c r="D54" s="13">
        <f t="shared" si="2"/>
        <v>2053.3</v>
      </c>
      <c r="E54" s="13" t="str">
        <f t="shared" si="3"/>
        <v>LONG</v>
      </c>
      <c r="F54" s="3">
        <f t="shared" si="4"/>
        <v>0.001222089629</v>
      </c>
      <c r="G54" s="4">
        <f t="shared" si="5"/>
        <v>1.00470337</v>
      </c>
      <c r="H54" s="3">
        <f t="shared" si="6"/>
        <v>0.001222089629</v>
      </c>
      <c r="I54" s="5">
        <f t="shared" si="7"/>
        <v>0.9929136665</v>
      </c>
    </row>
    <row r="55">
      <c r="A55" s="12">
        <f>IFERROR(__xludf.DUMMYFUNCTION("""COMPUTED_VALUE"""),42333.66666666667)</f>
        <v>42333.66667</v>
      </c>
      <c r="B55" s="13">
        <f>IFERROR(__xludf.DUMMYFUNCTION("""COMPUTED_VALUE"""),2088.87)</f>
        <v>2088.87</v>
      </c>
      <c r="C55" s="13">
        <f t="shared" si="1"/>
        <v>2081.935</v>
      </c>
      <c r="D55" s="13">
        <f t="shared" si="2"/>
        <v>2046.28</v>
      </c>
      <c r="E55" s="13" t="str">
        <f t="shared" si="3"/>
        <v>LONG</v>
      </c>
      <c r="F55" s="3">
        <f t="shared" si="4"/>
        <v>-0.0001292397829</v>
      </c>
      <c r="G55" s="4">
        <f t="shared" si="5"/>
        <v>1.004573523</v>
      </c>
      <c r="H55" s="3">
        <f t="shared" si="6"/>
        <v>-0.0001292397829</v>
      </c>
      <c r="I55" s="5">
        <f t="shared" si="7"/>
        <v>0.9927853426</v>
      </c>
    </row>
    <row r="56">
      <c r="A56" s="12">
        <f>IFERROR(__xludf.DUMMYFUNCTION("""COMPUTED_VALUE"""),42335.66666666667)</f>
        <v>42335.66667</v>
      </c>
      <c r="B56" s="13">
        <f>IFERROR(__xludf.DUMMYFUNCTION("""COMPUTED_VALUE"""),2090.11)</f>
        <v>2090.11</v>
      </c>
      <c r="C56" s="13">
        <f t="shared" si="1"/>
        <v>2068.04</v>
      </c>
      <c r="D56" s="13">
        <f t="shared" si="2"/>
        <v>2042.175</v>
      </c>
      <c r="E56" s="13" t="str">
        <f t="shared" si="3"/>
        <v>LONG</v>
      </c>
      <c r="F56" s="3">
        <f t="shared" si="4"/>
        <v>0.0005936223891</v>
      </c>
      <c r="G56" s="4">
        <f t="shared" si="5"/>
        <v>1.00516986</v>
      </c>
      <c r="H56" s="3">
        <f t="shared" si="6"/>
        <v>0.0005936223891</v>
      </c>
      <c r="I56" s="5">
        <f t="shared" si="7"/>
        <v>0.9933746822</v>
      </c>
    </row>
    <row r="57">
      <c r="A57" s="12">
        <f>IFERROR(__xludf.DUMMYFUNCTION("""COMPUTED_VALUE"""),42338.66666666667)</f>
        <v>42338.66667</v>
      </c>
      <c r="B57" s="13">
        <f>IFERROR(__xludf.DUMMYFUNCTION("""COMPUTED_VALUE"""),2080.41)</f>
        <v>2080.41</v>
      </c>
      <c r="C57" s="13">
        <f t="shared" si="1"/>
        <v>2051.725</v>
      </c>
      <c r="D57" s="13">
        <f t="shared" si="2"/>
        <v>2052.135</v>
      </c>
      <c r="E57" s="13" t="str">
        <f t="shared" si="3"/>
        <v/>
      </c>
      <c r="F57" s="3">
        <f t="shared" si="4"/>
        <v>-0.004640904067</v>
      </c>
      <c r="G57" s="4">
        <f t="shared" si="5"/>
        <v>1.000504963</v>
      </c>
      <c r="H57" s="5">
        <f t="shared" si="6"/>
        <v>0</v>
      </c>
      <c r="I57" s="5">
        <f t="shared" si="7"/>
        <v>0.9933746822</v>
      </c>
    </row>
    <row r="58">
      <c r="A58" s="12">
        <f>IFERROR(__xludf.DUMMYFUNCTION("""COMPUTED_VALUE"""),42339.66666666667)</f>
        <v>42339.66667</v>
      </c>
      <c r="B58" s="13">
        <f>IFERROR(__xludf.DUMMYFUNCTION("""COMPUTED_VALUE"""),2102.63)</f>
        <v>2102.63</v>
      </c>
      <c r="C58" s="13">
        <f t="shared" si="1"/>
        <v>2077.91</v>
      </c>
      <c r="D58" s="13">
        <f t="shared" si="2"/>
        <v>2067.87</v>
      </c>
      <c r="E58" s="13" t="str">
        <f t="shared" si="3"/>
        <v>LONG</v>
      </c>
      <c r="F58" s="3">
        <f t="shared" si="4"/>
        <v>0.010680587</v>
      </c>
      <c r="G58" s="4">
        <f t="shared" si="5"/>
        <v>1.011190943</v>
      </c>
      <c r="H58" s="3">
        <f t="shared" si="6"/>
        <v>0.010680587</v>
      </c>
      <c r="I58" s="5">
        <f t="shared" si="7"/>
        <v>1.003984507</v>
      </c>
    </row>
    <row r="59">
      <c r="A59" s="12">
        <f>IFERROR(__xludf.DUMMYFUNCTION("""COMPUTED_VALUE"""),42340.66666666667)</f>
        <v>42340.66667</v>
      </c>
      <c r="B59" s="13">
        <f>IFERROR(__xludf.DUMMYFUNCTION("""COMPUTED_VALUE"""),2079.51)</f>
        <v>2079.51</v>
      </c>
      <c r="C59" s="13">
        <f t="shared" si="1"/>
        <v>2064.975</v>
      </c>
      <c r="D59" s="13">
        <f t="shared" si="2"/>
        <v>2056.585</v>
      </c>
      <c r="E59" s="13" t="str">
        <f t="shared" si="3"/>
        <v>LONG</v>
      </c>
      <c r="F59" s="3">
        <f t="shared" si="4"/>
        <v>-0.01099575294</v>
      </c>
      <c r="G59" s="4">
        <f t="shared" si="5"/>
        <v>1.000072138</v>
      </c>
      <c r="H59" s="3">
        <f t="shared" si="6"/>
        <v>-0.01099575294</v>
      </c>
      <c r="I59" s="5">
        <f t="shared" si="7"/>
        <v>0.9929449413</v>
      </c>
    </row>
    <row r="60">
      <c r="A60" s="12">
        <f>IFERROR(__xludf.DUMMYFUNCTION("""COMPUTED_VALUE"""),42341.66666666667)</f>
        <v>42341.66667</v>
      </c>
      <c r="B60" s="13">
        <f>IFERROR(__xludf.DUMMYFUNCTION("""COMPUTED_VALUE"""),2049.62)</f>
        <v>2049.62</v>
      </c>
      <c r="C60" s="13">
        <f t="shared" si="1"/>
        <v>2066.6</v>
      </c>
      <c r="D60" s="13">
        <f t="shared" si="2"/>
        <v>2040.195</v>
      </c>
      <c r="E60" s="13" t="str">
        <f t="shared" si="3"/>
        <v>LONG</v>
      </c>
      <c r="F60" s="3">
        <f t="shared" si="4"/>
        <v>-0.01437357839</v>
      </c>
      <c r="G60" s="4">
        <f t="shared" si="5"/>
        <v>0.9856975223</v>
      </c>
      <c r="H60" s="3">
        <f t="shared" si="6"/>
        <v>-0.01437357839</v>
      </c>
      <c r="I60" s="5">
        <f t="shared" si="7"/>
        <v>0.9786727693</v>
      </c>
    </row>
    <row r="61">
      <c r="A61" s="12">
        <f>IFERROR(__xludf.DUMMYFUNCTION("""COMPUTED_VALUE"""),42342.66666666667)</f>
        <v>42342.66667</v>
      </c>
      <c r="B61" s="13">
        <f>IFERROR(__xludf.DUMMYFUNCTION("""COMPUTED_VALUE"""),2091.69)</f>
        <v>2091.69</v>
      </c>
      <c r="C61" s="13">
        <f t="shared" si="1"/>
        <v>2086.465</v>
      </c>
      <c r="D61" s="13">
        <f t="shared" si="2"/>
        <v>2055.315</v>
      </c>
      <c r="E61" s="13" t="str">
        <f t="shared" si="3"/>
        <v>LONG</v>
      </c>
      <c r="F61" s="3">
        <f t="shared" si="4"/>
        <v>0.02052575599</v>
      </c>
      <c r="G61" s="4">
        <f t="shared" si="5"/>
        <v>1.005929709</v>
      </c>
      <c r="H61" s="3">
        <f t="shared" si="6"/>
        <v>0.02052575599</v>
      </c>
      <c r="I61" s="5">
        <f t="shared" si="7"/>
        <v>0.9987607678</v>
      </c>
    </row>
    <row r="62">
      <c r="A62" s="12">
        <f>IFERROR(__xludf.DUMMYFUNCTION("""COMPUTED_VALUE"""),42345.66666666667)</f>
        <v>42345.66667</v>
      </c>
      <c r="B62" s="13">
        <f>IFERROR(__xludf.DUMMYFUNCTION("""COMPUTED_VALUE"""),2077.07)</f>
        <v>2077.07</v>
      </c>
      <c r="C62" s="13">
        <f t="shared" si="1"/>
        <v>2083.12</v>
      </c>
      <c r="D62" s="13">
        <f t="shared" si="2"/>
        <v>2064.79</v>
      </c>
      <c r="E62" s="13" t="str">
        <f t="shared" si="3"/>
        <v>LONG</v>
      </c>
      <c r="F62" s="3">
        <f t="shared" si="4"/>
        <v>-0.006989563463</v>
      </c>
      <c r="G62" s="4">
        <f t="shared" si="5"/>
        <v>0.9988986996</v>
      </c>
      <c r="H62" s="3">
        <f t="shared" si="6"/>
        <v>-0.006989563463</v>
      </c>
      <c r="I62" s="5">
        <f t="shared" si="7"/>
        <v>0.991779866</v>
      </c>
    </row>
    <row r="63">
      <c r="A63" s="12">
        <f>IFERROR(__xludf.DUMMYFUNCTION("""COMPUTED_VALUE"""),42346.66666666667)</f>
        <v>42346.66667</v>
      </c>
      <c r="B63" s="13">
        <f>IFERROR(__xludf.DUMMYFUNCTION("""COMPUTED_VALUE"""),2063.59)</f>
        <v>2063.59</v>
      </c>
      <c r="C63" s="13">
        <f t="shared" si="1"/>
        <v>2075.09</v>
      </c>
      <c r="D63" s="13">
        <f t="shared" si="2"/>
        <v>2069.37</v>
      </c>
      <c r="E63" s="13" t="str">
        <f t="shared" si="3"/>
        <v>LONG</v>
      </c>
      <c r="F63" s="3">
        <f t="shared" si="4"/>
        <v>-0.006489911269</v>
      </c>
      <c r="G63" s="4">
        <f t="shared" si="5"/>
        <v>0.9924159357</v>
      </c>
      <c r="H63" s="3">
        <f t="shared" si="6"/>
        <v>-0.006489911269</v>
      </c>
      <c r="I63" s="5">
        <f t="shared" si="7"/>
        <v>0.9853433027</v>
      </c>
    </row>
    <row r="64">
      <c r="A64" s="12">
        <f>IFERROR(__xludf.DUMMYFUNCTION("""COMPUTED_VALUE"""),42347.66666666667)</f>
        <v>42347.66667</v>
      </c>
      <c r="B64" s="13">
        <f>IFERROR(__xludf.DUMMYFUNCTION("""COMPUTED_VALUE"""),2047.62)</f>
        <v>2047.62</v>
      </c>
      <c r="C64" s="13">
        <f t="shared" si="1"/>
        <v>2068.38</v>
      </c>
      <c r="D64" s="13">
        <f t="shared" si="2"/>
        <v>2059.4</v>
      </c>
      <c r="E64" s="13" t="str">
        <f t="shared" si="3"/>
        <v>LONG</v>
      </c>
      <c r="F64" s="3">
        <f t="shared" si="4"/>
        <v>-0.00773894039</v>
      </c>
      <c r="G64" s="4">
        <f t="shared" si="5"/>
        <v>0.9847356879</v>
      </c>
      <c r="H64" s="3">
        <f t="shared" si="6"/>
        <v>-0.00773894039</v>
      </c>
      <c r="I64" s="5">
        <f t="shared" si="7"/>
        <v>0.9777177896</v>
      </c>
    </row>
    <row r="65">
      <c r="A65" s="12">
        <f>IFERROR(__xludf.DUMMYFUNCTION("""COMPUTED_VALUE"""),42348.66666666667)</f>
        <v>42348.66667</v>
      </c>
      <c r="B65" s="13">
        <f>IFERROR(__xludf.DUMMYFUNCTION("""COMPUTED_VALUE"""),2052.23)</f>
        <v>2052.23</v>
      </c>
      <c r="C65" s="13">
        <f t="shared" si="1"/>
        <v>2070.55</v>
      </c>
      <c r="D65" s="13">
        <f t="shared" si="2"/>
        <v>2059.06</v>
      </c>
      <c r="E65" s="13" t="str">
        <f t="shared" si="3"/>
        <v>LONG</v>
      </c>
      <c r="F65" s="3">
        <f t="shared" si="4"/>
        <v>0.002251394302</v>
      </c>
      <c r="G65" s="4">
        <f t="shared" si="5"/>
        <v>0.9869527162</v>
      </c>
      <c r="H65" s="3">
        <f t="shared" si="6"/>
        <v>0.002251394302</v>
      </c>
      <c r="I65" s="5">
        <f t="shared" si="7"/>
        <v>0.9799190179</v>
      </c>
    </row>
    <row r="66">
      <c r="A66" s="12">
        <f>IFERROR(__xludf.DUMMYFUNCTION("""COMPUTED_VALUE"""),42349.66666666667)</f>
        <v>42349.66667</v>
      </c>
      <c r="B66" s="13">
        <f>IFERROR(__xludf.DUMMYFUNCTION("""COMPUTED_VALUE"""),2012.37)</f>
        <v>2012.37</v>
      </c>
      <c r="C66" s="13">
        <f t="shared" si="1"/>
        <v>2051.24</v>
      </c>
      <c r="D66" s="13">
        <f t="shared" si="2"/>
        <v>2051.36</v>
      </c>
      <c r="E66" s="13" t="str">
        <f t="shared" si="3"/>
        <v/>
      </c>
      <c r="F66" s="3">
        <f t="shared" si="4"/>
        <v>-0.01942277425</v>
      </c>
      <c r="G66" s="4">
        <f t="shared" si="5"/>
        <v>0.9677833564</v>
      </c>
      <c r="H66" s="5">
        <f t="shared" si="6"/>
        <v>0</v>
      </c>
      <c r="I66" s="5">
        <f t="shared" si="7"/>
        <v>0.9799190179</v>
      </c>
    </row>
    <row r="67">
      <c r="A67" s="12">
        <f>IFERROR(__xludf.DUMMYFUNCTION("""COMPUTED_VALUE"""),42352.66666666667)</f>
        <v>42352.66667</v>
      </c>
      <c r="B67" s="13">
        <f>IFERROR(__xludf.DUMMYFUNCTION("""COMPUTED_VALUE"""),2021.94)</f>
        <v>2021.94</v>
      </c>
      <c r="C67" s="13">
        <f t="shared" si="1"/>
        <v>2051.175</v>
      </c>
      <c r="D67" s="13">
        <f t="shared" si="2"/>
        <v>2055.675</v>
      </c>
      <c r="E67" s="13" t="str">
        <f t="shared" si="3"/>
        <v/>
      </c>
      <c r="F67" s="3">
        <f t="shared" si="4"/>
        <v>0.004755586696</v>
      </c>
      <c r="G67" s="4">
        <f t="shared" si="5"/>
        <v>0.9723857341</v>
      </c>
      <c r="H67" s="5">
        <f t="shared" si="6"/>
        <v>0</v>
      </c>
      <c r="I67" s="5">
        <f t="shared" si="7"/>
        <v>0.9799190179</v>
      </c>
    </row>
    <row r="68">
      <c r="A68" s="12">
        <f>IFERROR(__xludf.DUMMYFUNCTION("""COMPUTED_VALUE"""),42353.66666666667)</f>
        <v>42353.66667</v>
      </c>
      <c r="B68" s="13">
        <f>IFERROR(__xludf.DUMMYFUNCTION("""COMPUTED_VALUE"""),2043.41)</f>
        <v>2043.41</v>
      </c>
      <c r="C68" s="13">
        <f t="shared" si="1"/>
        <v>2073.02</v>
      </c>
      <c r="D68" s="13">
        <f t="shared" si="2"/>
        <v>2061.385</v>
      </c>
      <c r="E68" s="13" t="str">
        <f t="shared" si="3"/>
        <v>LONG</v>
      </c>
      <c r="F68" s="3">
        <f t="shared" si="4"/>
        <v>0.01061851489</v>
      </c>
      <c r="G68" s="4">
        <f t="shared" si="5"/>
        <v>0.9827110265</v>
      </c>
      <c r="H68" s="3">
        <f t="shared" si="6"/>
        <v>0.01061851489</v>
      </c>
      <c r="I68" s="5">
        <f t="shared" si="7"/>
        <v>0.9903243026</v>
      </c>
    </row>
    <row r="69">
      <c r="A69" s="12">
        <f>IFERROR(__xludf.DUMMYFUNCTION("""COMPUTED_VALUE"""),42354.66666666667)</f>
        <v>42354.66667</v>
      </c>
      <c r="B69" s="13">
        <f>IFERROR(__xludf.DUMMYFUNCTION("""COMPUTED_VALUE"""),2073.07)</f>
        <v>2073.07</v>
      </c>
      <c r="C69" s="13">
        <f t="shared" si="1"/>
        <v>2076.29</v>
      </c>
      <c r="D69" s="13">
        <f t="shared" si="2"/>
        <v>2088.56</v>
      </c>
      <c r="E69" s="13" t="str">
        <f t="shared" si="3"/>
        <v/>
      </c>
      <c r="F69" s="3">
        <f t="shared" si="4"/>
        <v>0.01451495295</v>
      </c>
      <c r="G69" s="4">
        <f t="shared" si="5"/>
        <v>0.9969750308</v>
      </c>
      <c r="H69" s="5">
        <f t="shared" si="6"/>
        <v>0</v>
      </c>
      <c r="I69" s="5">
        <f t="shared" si="7"/>
        <v>0.9903243026</v>
      </c>
    </row>
    <row r="70">
      <c r="A70" s="12">
        <f>IFERROR(__xludf.DUMMYFUNCTION("""COMPUTED_VALUE"""),42355.66666666667)</f>
        <v>42355.66667</v>
      </c>
      <c r="B70" s="13">
        <f>IFERROR(__xludf.DUMMYFUNCTION("""COMPUTED_VALUE"""),2041.89)</f>
        <v>2041.89</v>
      </c>
      <c r="C70" s="13">
        <f t="shared" si="1"/>
        <v>2045.755</v>
      </c>
      <c r="D70" s="13">
        <f t="shared" si="2"/>
        <v>2075.84</v>
      </c>
      <c r="E70" s="13" t="str">
        <f t="shared" si="3"/>
        <v/>
      </c>
      <c r="F70" s="3">
        <f t="shared" si="4"/>
        <v>-0.0150404955</v>
      </c>
      <c r="G70" s="4">
        <f t="shared" si="5"/>
        <v>0.9819800323</v>
      </c>
      <c r="H70" s="5">
        <f t="shared" si="6"/>
        <v>0</v>
      </c>
      <c r="I70" s="5">
        <f t="shared" si="7"/>
        <v>0.9903243026</v>
      </c>
    </row>
    <row r="71">
      <c r="A71" s="12">
        <f>IFERROR(__xludf.DUMMYFUNCTION("""COMPUTED_VALUE"""),42356.66666666667)</f>
        <v>42356.66667</v>
      </c>
      <c r="B71" s="13">
        <f>IFERROR(__xludf.DUMMYFUNCTION("""COMPUTED_VALUE"""),2005.55)</f>
        <v>2005.55</v>
      </c>
      <c r="C71" s="13">
        <f t="shared" si="1"/>
        <v>2048.62</v>
      </c>
      <c r="D71" s="13">
        <f t="shared" si="2"/>
        <v>2053.93</v>
      </c>
      <c r="E71" s="13" t="str">
        <f t="shared" si="3"/>
        <v/>
      </c>
      <c r="F71" s="3">
        <f t="shared" si="4"/>
        <v>-0.01779723687</v>
      </c>
      <c r="G71" s="4">
        <f t="shared" si="5"/>
        <v>0.9645035011</v>
      </c>
      <c r="H71" s="5">
        <f t="shared" si="6"/>
        <v>0</v>
      </c>
      <c r="I71" s="5">
        <f t="shared" si="7"/>
        <v>0.9903243026</v>
      </c>
    </row>
    <row r="72">
      <c r="A72" s="12">
        <f>IFERROR(__xludf.DUMMYFUNCTION("""COMPUTED_VALUE"""),42359.66666666667)</f>
        <v>42359.66667</v>
      </c>
      <c r="B72" s="13">
        <f>IFERROR(__xludf.DUMMYFUNCTION("""COMPUTED_VALUE"""),2021.15)</f>
        <v>2021.15</v>
      </c>
      <c r="C72" s="13">
        <f t="shared" si="1"/>
        <v>2049.11</v>
      </c>
      <c r="D72" s="13">
        <f t="shared" si="2"/>
        <v>2060.54</v>
      </c>
      <c r="E72" s="13" t="str">
        <f t="shared" si="3"/>
        <v/>
      </c>
      <c r="F72" s="3">
        <f t="shared" si="4"/>
        <v>0.007778414899</v>
      </c>
      <c r="G72" s="4">
        <f t="shared" si="5"/>
        <v>0.9720058095</v>
      </c>
      <c r="H72" s="5">
        <f t="shared" si="6"/>
        <v>0</v>
      </c>
      <c r="I72" s="5">
        <f t="shared" si="7"/>
        <v>0.9903243026</v>
      </c>
    </row>
    <row r="73">
      <c r="A73" s="12">
        <f>IFERROR(__xludf.DUMMYFUNCTION("""COMPUTED_VALUE"""),42360.66666666667)</f>
        <v>42360.66667</v>
      </c>
      <c r="B73" s="13">
        <f>IFERROR(__xludf.DUMMYFUNCTION("""COMPUTED_VALUE"""),2038.97)</f>
        <v>2038.97</v>
      </c>
      <c r="C73" s="13">
        <f t="shared" si="1"/>
        <v>2051.28</v>
      </c>
      <c r="D73" s="13">
        <f t="shared" si="2"/>
        <v>2069.085</v>
      </c>
      <c r="E73" s="13" t="str">
        <f t="shared" si="3"/>
        <v/>
      </c>
      <c r="F73" s="3">
        <f t="shared" si="4"/>
        <v>0.008816762734</v>
      </c>
      <c r="G73" s="4">
        <f t="shared" si="5"/>
        <v>0.9805757541</v>
      </c>
      <c r="H73" s="5">
        <f t="shared" si="6"/>
        <v>0</v>
      </c>
      <c r="I73" s="5">
        <f t="shared" si="7"/>
        <v>0.9903243026</v>
      </c>
    </row>
    <row r="74">
      <c r="A74" s="12">
        <f>IFERROR(__xludf.DUMMYFUNCTION("""COMPUTED_VALUE"""),42361.66666666667)</f>
        <v>42361.66667</v>
      </c>
      <c r="B74" s="13">
        <f>IFERROR(__xludf.DUMMYFUNCTION("""COMPUTED_VALUE"""),2064.29)</f>
        <v>2064.29</v>
      </c>
      <c r="C74" s="13">
        <f t="shared" si="1"/>
        <v>2055.955</v>
      </c>
      <c r="D74" s="13">
        <f t="shared" si="2"/>
        <v>2071.435</v>
      </c>
      <c r="E74" s="13" t="str">
        <f t="shared" si="3"/>
        <v/>
      </c>
      <c r="F74" s="3">
        <f t="shared" si="4"/>
        <v>0.0124180346</v>
      </c>
      <c r="G74" s="4">
        <f t="shared" si="5"/>
        <v>0.9927525777</v>
      </c>
      <c r="H74" s="5">
        <f t="shared" si="6"/>
        <v>0</v>
      </c>
      <c r="I74" s="5">
        <f t="shared" si="7"/>
        <v>0.9903243026</v>
      </c>
    </row>
    <row r="75">
      <c r="A75" s="12">
        <f>IFERROR(__xludf.DUMMYFUNCTION("""COMPUTED_VALUE"""),42362.66666666667)</f>
        <v>42362.66667</v>
      </c>
      <c r="B75" s="13">
        <f>IFERROR(__xludf.DUMMYFUNCTION("""COMPUTED_VALUE"""),2060.99)</f>
        <v>2060.99</v>
      </c>
      <c r="C75" s="13">
        <f t="shared" si="1"/>
        <v>2056.61</v>
      </c>
      <c r="D75" s="13">
        <f t="shared" si="2"/>
        <v>2071.355</v>
      </c>
      <c r="E75" s="13" t="str">
        <f t="shared" si="3"/>
        <v/>
      </c>
      <c r="F75" s="3">
        <f t="shared" si="4"/>
        <v>-0.001598612598</v>
      </c>
      <c r="G75" s="4">
        <f t="shared" si="5"/>
        <v>0.9911655509</v>
      </c>
      <c r="H75" s="5">
        <f t="shared" si="6"/>
        <v>0</v>
      </c>
      <c r="I75" s="5">
        <f t="shared" si="7"/>
        <v>0.9903243026</v>
      </c>
    </row>
    <row r="76">
      <c r="A76" s="12">
        <f>IFERROR(__xludf.DUMMYFUNCTION("""COMPUTED_VALUE"""),42366.66666666667)</f>
        <v>42366.66667</v>
      </c>
      <c r="B76" s="13">
        <f>IFERROR(__xludf.DUMMYFUNCTION("""COMPUTED_VALUE"""),2056.5)</f>
        <v>2056.5</v>
      </c>
      <c r="C76" s="13">
        <f t="shared" si="1"/>
        <v>2034.435</v>
      </c>
      <c r="D76" s="13">
        <f t="shared" si="2"/>
        <v>2065.75</v>
      </c>
      <c r="E76" s="13" t="str">
        <f t="shared" si="3"/>
        <v/>
      </c>
      <c r="F76" s="3">
        <f t="shared" si="4"/>
        <v>-0.00217856467</v>
      </c>
      <c r="G76" s="4">
        <f t="shared" si="5"/>
        <v>0.9890062327</v>
      </c>
      <c r="H76" s="5">
        <f t="shared" si="6"/>
        <v>0</v>
      </c>
      <c r="I76" s="5">
        <f t="shared" si="7"/>
        <v>0.9903243026</v>
      </c>
    </row>
    <row r="77">
      <c r="A77" s="12">
        <f>IFERROR(__xludf.DUMMYFUNCTION("""COMPUTED_VALUE"""),42367.66666666667)</f>
        <v>42367.66667</v>
      </c>
      <c r="B77" s="13">
        <f>IFERROR(__xludf.DUMMYFUNCTION("""COMPUTED_VALUE"""),2078.36)</f>
        <v>2078.36</v>
      </c>
      <c r="C77" s="13">
        <f t="shared" si="1"/>
        <v>2050.15</v>
      </c>
      <c r="D77" s="13">
        <f t="shared" si="2"/>
        <v>2062.165</v>
      </c>
      <c r="E77" s="13" t="str">
        <f t="shared" si="3"/>
        <v/>
      </c>
      <c r="F77" s="3">
        <f t="shared" si="4"/>
        <v>0.01062971067</v>
      </c>
      <c r="G77" s="4">
        <f t="shared" si="5"/>
        <v>0.9995190828</v>
      </c>
      <c r="H77" s="5">
        <f t="shared" si="6"/>
        <v>0</v>
      </c>
      <c r="I77" s="5">
        <f t="shared" si="7"/>
        <v>0.9903243026</v>
      </c>
    </row>
    <row r="78">
      <c r="A78" s="12">
        <f>IFERROR(__xludf.DUMMYFUNCTION("""COMPUTED_VALUE"""),42368.66666666667)</f>
        <v>42368.66667</v>
      </c>
      <c r="B78" s="13">
        <f>IFERROR(__xludf.DUMMYFUNCTION("""COMPUTED_VALUE"""),2063.36)</f>
        <v>2063.36</v>
      </c>
      <c r="C78" s="13">
        <f t="shared" si="1"/>
        <v>2053.385</v>
      </c>
      <c r="D78" s="13">
        <f t="shared" si="2"/>
        <v>2043.2</v>
      </c>
      <c r="E78" s="13" t="str">
        <f t="shared" si="3"/>
        <v>LONG</v>
      </c>
      <c r="F78" s="3">
        <f t="shared" si="4"/>
        <v>-0.007217228969</v>
      </c>
      <c r="G78" s="4">
        <f t="shared" si="5"/>
        <v>0.9923053247</v>
      </c>
      <c r="H78" s="3">
        <f t="shared" si="6"/>
        <v>-0.007217228969</v>
      </c>
      <c r="I78" s="5">
        <f t="shared" si="7"/>
        <v>0.9831769053</v>
      </c>
    </row>
    <row r="79">
      <c r="A79" s="12">
        <f>IFERROR(__xludf.DUMMYFUNCTION("""COMPUTED_VALUE"""),42369.66666666667)</f>
        <v>42369.66667</v>
      </c>
      <c r="B79" s="13">
        <f>IFERROR(__xludf.DUMMYFUNCTION("""COMPUTED_VALUE"""),2043.94)</f>
        <v>2043.94</v>
      </c>
      <c r="C79" s="13">
        <f t="shared" si="1"/>
        <v>2058.505</v>
      </c>
      <c r="D79" s="13">
        <f t="shared" si="2"/>
        <v>2048.565</v>
      </c>
      <c r="E79" s="13" t="str">
        <f t="shared" si="3"/>
        <v>LONG</v>
      </c>
      <c r="F79" s="3">
        <f t="shared" si="4"/>
        <v>-0.009411833127</v>
      </c>
      <c r="G79" s="4">
        <f t="shared" si="5"/>
        <v>0.9829659126</v>
      </c>
      <c r="H79" s="3">
        <f t="shared" si="6"/>
        <v>-0.009411833127</v>
      </c>
      <c r="I79" s="5">
        <f t="shared" si="7"/>
        <v>0.9739234083</v>
      </c>
    </row>
    <row r="80">
      <c r="A80" s="12">
        <f>IFERROR(__xludf.DUMMYFUNCTION("""COMPUTED_VALUE"""),42373.66666666667)</f>
        <v>42373.66667</v>
      </c>
      <c r="B80" s="13">
        <f>IFERROR(__xludf.DUMMYFUNCTION("""COMPUTED_VALUE"""),2012.66)</f>
        <v>2012.66</v>
      </c>
      <c r="C80" s="13">
        <f t="shared" si="1"/>
        <v>2027.275</v>
      </c>
      <c r="D80" s="13">
        <f t="shared" si="2"/>
        <v>2031.55</v>
      </c>
      <c r="E80" s="13" t="str">
        <f t="shared" si="3"/>
        <v/>
      </c>
      <c r="F80" s="3">
        <f t="shared" si="4"/>
        <v>-0.01530377604</v>
      </c>
      <c r="G80" s="4">
        <f t="shared" si="5"/>
        <v>0.9679228224</v>
      </c>
      <c r="H80" s="5">
        <f t="shared" si="6"/>
        <v>0</v>
      </c>
      <c r="I80" s="5">
        <f t="shared" si="7"/>
        <v>0.9739234083</v>
      </c>
    </row>
    <row r="81">
      <c r="A81" s="12">
        <f>IFERROR(__xludf.DUMMYFUNCTION("""COMPUTED_VALUE"""),42374.66666666667)</f>
        <v>42374.66667</v>
      </c>
      <c r="B81" s="13">
        <f>IFERROR(__xludf.DUMMYFUNCTION("""COMPUTED_VALUE"""),2016.71)</f>
        <v>2016.71</v>
      </c>
      <c r="C81" s="13">
        <f t="shared" si="1"/>
        <v>2011.13</v>
      </c>
      <c r="D81" s="13">
        <f t="shared" si="2"/>
        <v>2050.145</v>
      </c>
      <c r="E81" s="13" t="str">
        <f t="shared" si="3"/>
        <v/>
      </c>
      <c r="F81" s="3">
        <f t="shared" si="4"/>
        <v>0.002012262379</v>
      </c>
      <c r="G81" s="4">
        <f t="shared" si="5"/>
        <v>0.9698705371</v>
      </c>
      <c r="H81" s="5">
        <f t="shared" si="6"/>
        <v>0</v>
      </c>
      <c r="I81" s="5">
        <f t="shared" si="7"/>
        <v>0.9739234083</v>
      </c>
    </row>
    <row r="82">
      <c r="A82" s="12">
        <f>IFERROR(__xludf.DUMMYFUNCTION("""COMPUTED_VALUE"""),42375.66666666667)</f>
        <v>42375.66667</v>
      </c>
      <c r="B82" s="13">
        <f>IFERROR(__xludf.DUMMYFUNCTION("""COMPUTED_VALUE"""),1990.26)</f>
        <v>1990.26</v>
      </c>
      <c r="C82" s="13">
        <f t="shared" si="1"/>
        <v>2005.705</v>
      </c>
      <c r="D82" s="13">
        <f t="shared" si="2"/>
        <v>2035.75</v>
      </c>
      <c r="E82" s="13" t="str">
        <f t="shared" si="3"/>
        <v/>
      </c>
      <c r="F82" s="3">
        <f t="shared" si="4"/>
        <v>-0.01311542066</v>
      </c>
      <c r="G82" s="4">
        <f t="shared" si="5"/>
        <v>0.957150277</v>
      </c>
      <c r="H82" s="5">
        <f t="shared" si="6"/>
        <v>0</v>
      </c>
      <c r="I82" s="5">
        <f t="shared" si="7"/>
        <v>0.9739234083</v>
      </c>
    </row>
    <row r="83">
      <c r="A83" s="12">
        <f>IFERROR(__xludf.DUMMYFUNCTION("""COMPUTED_VALUE"""),42376.66666666667)</f>
        <v>42376.66667</v>
      </c>
      <c r="B83" s="13">
        <f>IFERROR(__xludf.DUMMYFUNCTION("""COMPUTED_VALUE"""),1943.09)</f>
        <v>1943.09</v>
      </c>
      <c r="C83" s="13">
        <f t="shared" si="1"/>
        <v>1991.03</v>
      </c>
      <c r="D83" s="13">
        <f t="shared" si="2"/>
        <v>2016.13</v>
      </c>
      <c r="E83" s="13" t="str">
        <f t="shared" si="3"/>
        <v/>
      </c>
      <c r="F83" s="3">
        <f t="shared" si="4"/>
        <v>-0.02370042105</v>
      </c>
      <c r="G83" s="4">
        <f t="shared" si="5"/>
        <v>0.9344654124</v>
      </c>
      <c r="H83" s="5">
        <f t="shared" si="6"/>
        <v>0</v>
      </c>
      <c r="I83" s="5">
        <f t="shared" si="7"/>
        <v>0.9739234083</v>
      </c>
    </row>
    <row r="84">
      <c r="A84" s="12">
        <f>IFERROR(__xludf.DUMMYFUNCTION("""COMPUTED_VALUE"""),42377.66666666667)</f>
        <v>42377.66667</v>
      </c>
      <c r="B84" s="13">
        <f>IFERROR(__xludf.DUMMYFUNCTION("""COMPUTED_VALUE"""),1922.03)</f>
        <v>1922.03</v>
      </c>
      <c r="C84" s="13">
        <f t="shared" si="1"/>
        <v>1993.16</v>
      </c>
      <c r="D84" s="13">
        <f t="shared" si="2"/>
        <v>2004.31</v>
      </c>
      <c r="E84" s="13" t="str">
        <f t="shared" si="3"/>
        <v/>
      </c>
      <c r="F84" s="3">
        <f t="shared" si="4"/>
        <v>-0.01083840687</v>
      </c>
      <c r="G84" s="4">
        <f t="shared" si="5"/>
        <v>0.9243372961</v>
      </c>
      <c r="H84" s="5">
        <f t="shared" si="6"/>
        <v>0</v>
      </c>
      <c r="I84" s="5">
        <f t="shared" si="7"/>
        <v>0.9739234083</v>
      </c>
    </row>
    <row r="85">
      <c r="A85" s="12">
        <f>IFERROR(__xludf.DUMMYFUNCTION("""COMPUTED_VALUE"""),42380.66666666667)</f>
        <v>42380.66667</v>
      </c>
      <c r="B85" s="13">
        <f>IFERROR(__xludf.DUMMYFUNCTION("""COMPUTED_VALUE"""),1923.67)</f>
        <v>1923.67</v>
      </c>
      <c r="C85" s="13">
        <f t="shared" si="1"/>
        <v>1992.33</v>
      </c>
      <c r="D85" s="13">
        <f t="shared" si="2"/>
        <v>2006.405</v>
      </c>
      <c r="E85" s="13" t="str">
        <f t="shared" si="3"/>
        <v/>
      </c>
      <c r="F85" s="3">
        <f t="shared" si="4"/>
        <v>0.0008532645172</v>
      </c>
      <c r="G85" s="4">
        <f t="shared" si="5"/>
        <v>0.9251260003</v>
      </c>
      <c r="H85" s="5">
        <f t="shared" si="6"/>
        <v>0</v>
      </c>
      <c r="I85" s="5">
        <f t="shared" si="7"/>
        <v>0.9739234083</v>
      </c>
    </row>
    <row r="86">
      <c r="A86" s="12">
        <f>IFERROR(__xludf.DUMMYFUNCTION("""COMPUTED_VALUE"""),42381.66666666667)</f>
        <v>42381.66667</v>
      </c>
      <c r="B86" s="13">
        <f>IFERROR(__xludf.DUMMYFUNCTION("""COMPUTED_VALUE"""),1938.68)</f>
        <v>1938.68</v>
      </c>
      <c r="C86" s="13">
        <f t="shared" si="1"/>
        <v>1997.59</v>
      </c>
      <c r="D86" s="13">
        <f t="shared" si="2"/>
        <v>2013.775</v>
      </c>
      <c r="E86" s="13" t="str">
        <f t="shared" si="3"/>
        <v/>
      </c>
      <c r="F86" s="3">
        <f t="shared" si="4"/>
        <v>0.007802793618</v>
      </c>
      <c r="G86" s="4">
        <f t="shared" si="5"/>
        <v>0.9323445676</v>
      </c>
      <c r="H86" s="5">
        <f t="shared" si="6"/>
        <v>0</v>
      </c>
      <c r="I86" s="5">
        <f t="shared" si="7"/>
        <v>0.9739234083</v>
      </c>
    </row>
    <row r="87">
      <c r="A87" s="12">
        <f>IFERROR(__xludf.DUMMYFUNCTION("""COMPUTED_VALUE"""),42382.66666666667)</f>
        <v>42382.66667</v>
      </c>
      <c r="B87" s="13">
        <f>IFERROR(__xludf.DUMMYFUNCTION("""COMPUTED_VALUE"""),1890.28)</f>
        <v>1890.28</v>
      </c>
      <c r="C87" s="13">
        <f t="shared" si="1"/>
        <v>1984.32</v>
      </c>
      <c r="D87" s="13">
        <f t="shared" si="2"/>
        <v>1990.195</v>
      </c>
      <c r="E87" s="13" t="str">
        <f t="shared" si="3"/>
        <v/>
      </c>
      <c r="F87" s="3">
        <f t="shared" si="4"/>
        <v>-0.0249654404</v>
      </c>
      <c r="G87" s="4">
        <f t="shared" si="5"/>
        <v>0.9090681748</v>
      </c>
      <c r="H87" s="5">
        <f t="shared" si="6"/>
        <v>0</v>
      </c>
      <c r="I87" s="5">
        <f t="shared" si="7"/>
        <v>0.9739234083</v>
      </c>
    </row>
    <row r="88">
      <c r="A88" s="12">
        <f>IFERROR(__xludf.DUMMYFUNCTION("""COMPUTED_VALUE"""),42383.66666666667)</f>
        <v>42383.66667</v>
      </c>
      <c r="B88" s="13">
        <f>IFERROR(__xludf.DUMMYFUNCTION("""COMPUTED_VALUE"""),1921.84)</f>
        <v>1921.84</v>
      </c>
      <c r="C88" s="13">
        <f t="shared" si="1"/>
        <v>1992.6</v>
      </c>
      <c r="D88" s="13">
        <f t="shared" si="2"/>
        <v>2001.125</v>
      </c>
      <c r="E88" s="13" t="str">
        <f t="shared" si="3"/>
        <v/>
      </c>
      <c r="F88" s="3">
        <f t="shared" si="4"/>
        <v>0.01669593923</v>
      </c>
      <c r="G88" s="4">
        <f t="shared" si="5"/>
        <v>0.9242459218</v>
      </c>
      <c r="H88" s="5">
        <f t="shared" si="6"/>
        <v>0</v>
      </c>
      <c r="I88" s="5">
        <f t="shared" si="7"/>
        <v>0.9739234083</v>
      </c>
    </row>
    <row r="89">
      <c r="A89" s="12">
        <f>IFERROR(__xludf.DUMMYFUNCTION("""COMPUTED_VALUE"""),42384.66666666667)</f>
        <v>42384.66667</v>
      </c>
      <c r="B89" s="13">
        <f>IFERROR(__xludf.DUMMYFUNCTION("""COMPUTED_VALUE"""),1880.33)</f>
        <v>1880.33</v>
      </c>
      <c r="C89" s="13">
        <f t="shared" si="1"/>
        <v>1962.135</v>
      </c>
      <c r="D89" s="13">
        <f t="shared" si="2"/>
        <v>1991.48</v>
      </c>
      <c r="E89" s="13" t="str">
        <f t="shared" si="3"/>
        <v/>
      </c>
      <c r="F89" s="3">
        <f t="shared" si="4"/>
        <v>-0.02159909254</v>
      </c>
      <c r="G89" s="4">
        <f t="shared" si="5"/>
        <v>0.9042830486</v>
      </c>
      <c r="H89" s="5">
        <f t="shared" si="6"/>
        <v>0</v>
      </c>
      <c r="I89" s="5">
        <f t="shared" si="7"/>
        <v>0.9739234083</v>
      </c>
    </row>
    <row r="90">
      <c r="A90" s="12">
        <f>IFERROR(__xludf.DUMMYFUNCTION("""COMPUTED_VALUE"""),42388.66666666667)</f>
        <v>42388.66667</v>
      </c>
      <c r="B90" s="13">
        <f>IFERROR(__xludf.DUMMYFUNCTION("""COMPUTED_VALUE"""),1881.33)</f>
        <v>1881.33</v>
      </c>
      <c r="C90" s="13">
        <f t="shared" si="1"/>
        <v>1946.995</v>
      </c>
      <c r="D90" s="13">
        <f t="shared" si="2"/>
        <v>1980.42</v>
      </c>
      <c r="E90" s="13" t="str">
        <f t="shared" si="3"/>
        <v/>
      </c>
      <c r="F90" s="3">
        <f t="shared" si="4"/>
        <v>0.000531821542</v>
      </c>
      <c r="G90" s="4">
        <f t="shared" si="5"/>
        <v>0.9047639658</v>
      </c>
      <c r="H90" s="5">
        <f t="shared" si="6"/>
        <v>0</v>
      </c>
      <c r="I90" s="5">
        <f t="shared" si="7"/>
        <v>0.9739234083</v>
      </c>
    </row>
    <row r="91">
      <c r="A91" s="12">
        <f>IFERROR(__xludf.DUMMYFUNCTION("""COMPUTED_VALUE"""),42389.66666666667)</f>
        <v>42389.66667</v>
      </c>
      <c r="B91" s="13">
        <f>IFERROR(__xludf.DUMMYFUNCTION("""COMPUTED_VALUE"""),1859.33)</f>
        <v>1859.33</v>
      </c>
      <c r="C91" s="13">
        <f t="shared" si="1"/>
        <v>1938.02</v>
      </c>
      <c r="D91" s="13">
        <f t="shared" si="2"/>
        <v>1954.475</v>
      </c>
      <c r="E91" s="13" t="str">
        <f t="shared" si="3"/>
        <v/>
      </c>
      <c r="F91" s="3">
        <f t="shared" si="4"/>
        <v>-0.01169385488</v>
      </c>
      <c r="G91" s="4">
        <f t="shared" si="5"/>
        <v>0.8941837873</v>
      </c>
      <c r="H91" s="5">
        <f t="shared" si="6"/>
        <v>0</v>
      </c>
      <c r="I91" s="5">
        <f t="shared" si="7"/>
        <v>0.9739234083</v>
      </c>
    </row>
    <row r="92">
      <c r="A92" s="12">
        <f>IFERROR(__xludf.DUMMYFUNCTION("""COMPUTED_VALUE"""),42390.66666666667)</f>
        <v>42390.66667</v>
      </c>
      <c r="B92" s="13">
        <f>IFERROR(__xludf.DUMMYFUNCTION("""COMPUTED_VALUE"""),1868.99)</f>
        <v>1868.99</v>
      </c>
      <c r="C92" s="13">
        <f t="shared" si="1"/>
        <v>1929.625</v>
      </c>
      <c r="D92" s="13">
        <f t="shared" si="2"/>
        <v>1980.34</v>
      </c>
      <c r="E92" s="13" t="str">
        <f t="shared" si="3"/>
        <v/>
      </c>
      <c r="F92" s="3">
        <f t="shared" si="4"/>
        <v>0.005195419856</v>
      </c>
      <c r="G92" s="4">
        <f t="shared" si="5"/>
        <v>0.8988294475</v>
      </c>
      <c r="H92" s="5">
        <f t="shared" si="6"/>
        <v>0</v>
      </c>
      <c r="I92" s="5">
        <f t="shared" si="7"/>
        <v>0.9739234083</v>
      </c>
    </row>
    <row r="93">
      <c r="A93" s="12">
        <f>IFERROR(__xludf.DUMMYFUNCTION("""COMPUTED_VALUE"""),42391.66666666667)</f>
        <v>42391.66667</v>
      </c>
      <c r="B93" s="13">
        <f>IFERROR(__xludf.DUMMYFUNCTION("""COMPUTED_VALUE"""),1906.9)</f>
        <v>1906.9</v>
      </c>
      <c r="C93" s="13">
        <f t="shared" si="1"/>
        <v>1924.995</v>
      </c>
      <c r="D93" s="13">
        <f t="shared" si="2"/>
        <v>1991.985</v>
      </c>
      <c r="E93" s="13" t="str">
        <f t="shared" si="3"/>
        <v/>
      </c>
      <c r="F93" s="3">
        <f t="shared" si="4"/>
        <v>0.02028368263</v>
      </c>
      <c r="G93" s="4">
        <f t="shared" si="5"/>
        <v>0.9170610188</v>
      </c>
      <c r="H93" s="5">
        <f t="shared" si="6"/>
        <v>0</v>
      </c>
      <c r="I93" s="5">
        <f t="shared" si="7"/>
        <v>0.9739234083</v>
      </c>
    </row>
    <row r="94">
      <c r="A94" s="12">
        <f>IFERROR(__xludf.DUMMYFUNCTION("""COMPUTED_VALUE"""),42394.66666666667)</f>
        <v>42394.66667</v>
      </c>
      <c r="B94" s="13">
        <f>IFERROR(__xludf.DUMMYFUNCTION("""COMPUTED_VALUE"""),1877.08)</f>
        <v>1877.08</v>
      </c>
      <c r="C94" s="13">
        <f t="shared" si="1"/>
        <v>1899.555</v>
      </c>
      <c r="D94" s="13">
        <f t="shared" si="2"/>
        <v>1970.335</v>
      </c>
      <c r="E94" s="13" t="str">
        <f t="shared" si="3"/>
        <v/>
      </c>
      <c r="F94" s="3">
        <f t="shared" si="4"/>
        <v>-0.01563794641</v>
      </c>
      <c r="G94" s="4">
        <f t="shared" si="5"/>
        <v>0.9027200677</v>
      </c>
      <c r="H94" s="5">
        <f t="shared" si="6"/>
        <v>0</v>
      </c>
      <c r="I94" s="5">
        <f t="shared" si="7"/>
        <v>0.9739234083</v>
      </c>
    </row>
    <row r="95">
      <c r="A95" s="12">
        <f>IFERROR(__xludf.DUMMYFUNCTION("""COMPUTED_VALUE"""),42395.66666666667)</f>
        <v>42395.66667</v>
      </c>
      <c r="B95" s="13">
        <f>IFERROR(__xludf.DUMMYFUNCTION("""COMPUTED_VALUE"""),1903.63)</f>
        <v>1903.63</v>
      </c>
      <c r="C95" s="13">
        <f t="shared" si="1"/>
        <v>1913.65</v>
      </c>
      <c r="D95" s="13">
        <f t="shared" si="2"/>
        <v>1975.625</v>
      </c>
      <c r="E95" s="13" t="str">
        <f t="shared" si="3"/>
        <v/>
      </c>
      <c r="F95" s="3">
        <f t="shared" si="4"/>
        <v>0.01414430925</v>
      </c>
      <c r="G95" s="4">
        <f t="shared" si="5"/>
        <v>0.9154884195</v>
      </c>
      <c r="H95" s="5">
        <f t="shared" si="6"/>
        <v>0</v>
      </c>
      <c r="I95" s="5">
        <f t="shared" si="7"/>
        <v>0.9739234083</v>
      </c>
    </row>
    <row r="96">
      <c r="A96" s="12">
        <f>IFERROR(__xludf.DUMMYFUNCTION("""COMPUTED_VALUE"""),42396.66666666667)</f>
        <v>42396.66667</v>
      </c>
      <c r="B96" s="13">
        <f>IFERROR(__xludf.DUMMYFUNCTION("""COMPUTED_VALUE"""),1882.95)</f>
        <v>1882.95</v>
      </c>
      <c r="C96" s="13">
        <f t="shared" si="1"/>
        <v>1910.815</v>
      </c>
      <c r="D96" s="13">
        <f t="shared" si="2"/>
        <v>1967.59</v>
      </c>
      <c r="E96" s="13" t="str">
        <f t="shared" si="3"/>
        <v/>
      </c>
      <c r="F96" s="3">
        <f t="shared" si="4"/>
        <v>-0.01086345561</v>
      </c>
      <c r="G96" s="4">
        <f t="shared" si="5"/>
        <v>0.9055430517</v>
      </c>
      <c r="H96" s="5">
        <f t="shared" si="6"/>
        <v>0</v>
      </c>
      <c r="I96" s="5">
        <f t="shared" si="7"/>
        <v>0.9739234083</v>
      </c>
    </row>
    <row r="97">
      <c r="A97" s="12">
        <f>IFERROR(__xludf.DUMMYFUNCTION("""COMPUTED_VALUE"""),42397.66666666667)</f>
        <v>42397.66667</v>
      </c>
      <c r="B97" s="13">
        <f>IFERROR(__xludf.DUMMYFUNCTION("""COMPUTED_VALUE"""),1893.36)</f>
        <v>1893.36</v>
      </c>
      <c r="C97" s="13">
        <f t="shared" si="1"/>
        <v>1891.82</v>
      </c>
      <c r="D97" s="13">
        <f t="shared" si="2"/>
        <v>1952.865</v>
      </c>
      <c r="E97" s="13" t="str">
        <f t="shared" si="3"/>
        <v/>
      </c>
      <c r="F97" s="3">
        <f t="shared" si="4"/>
        <v>0.00552855891</v>
      </c>
      <c r="G97" s="4">
        <f t="shared" si="5"/>
        <v>0.9105493998</v>
      </c>
      <c r="H97" s="5">
        <f t="shared" si="6"/>
        <v>0</v>
      </c>
      <c r="I97" s="5">
        <f t="shared" si="7"/>
        <v>0.9739234083</v>
      </c>
    </row>
    <row r="98">
      <c r="A98" s="12">
        <f>IFERROR(__xludf.DUMMYFUNCTION("""COMPUTED_VALUE"""),42398.66666666667)</f>
        <v>42398.66667</v>
      </c>
      <c r="B98" s="13">
        <f>IFERROR(__xludf.DUMMYFUNCTION("""COMPUTED_VALUE"""),1940.24)</f>
        <v>1940.24</v>
      </c>
      <c r="C98" s="13">
        <f t="shared" si="1"/>
        <v>1931.04</v>
      </c>
      <c r="D98" s="13">
        <f t="shared" si="2"/>
        <v>1981.09</v>
      </c>
      <c r="E98" s="13" t="str">
        <f t="shared" si="3"/>
        <v/>
      </c>
      <c r="F98" s="3">
        <f t="shared" si="4"/>
        <v>0.02476021464</v>
      </c>
      <c r="G98" s="4">
        <f t="shared" si="5"/>
        <v>0.9330947984</v>
      </c>
      <c r="H98" s="5">
        <f t="shared" si="6"/>
        <v>0</v>
      </c>
      <c r="I98" s="5">
        <f t="shared" si="7"/>
        <v>0.9739234083</v>
      </c>
    </row>
    <row r="99">
      <c r="A99" s="12">
        <f>IFERROR(__xludf.DUMMYFUNCTION("""COMPUTED_VALUE"""),42401.66666666667)</f>
        <v>42401.66667</v>
      </c>
      <c r="B99" s="13">
        <f>IFERROR(__xludf.DUMMYFUNCTION("""COMPUTED_VALUE"""),1939.38)</f>
        <v>1939.38</v>
      </c>
      <c r="C99" s="13">
        <f t="shared" si="1"/>
        <v>1909.855</v>
      </c>
      <c r="D99" s="13">
        <f t="shared" si="2"/>
        <v>1991.395</v>
      </c>
      <c r="E99" s="13" t="str">
        <f t="shared" si="3"/>
        <v/>
      </c>
      <c r="F99" s="3">
        <f t="shared" si="4"/>
        <v>-0.0004432441347</v>
      </c>
      <c r="G99" s="4">
        <f t="shared" si="5"/>
        <v>0.9326812096</v>
      </c>
      <c r="H99" s="5">
        <f t="shared" si="6"/>
        <v>0</v>
      </c>
      <c r="I99" s="5">
        <f t="shared" si="7"/>
        <v>0.9739234083</v>
      </c>
    </row>
    <row r="100">
      <c r="A100" s="12">
        <f>IFERROR(__xludf.DUMMYFUNCTION("""COMPUTED_VALUE"""),42402.66666666667)</f>
        <v>42402.66667</v>
      </c>
      <c r="B100" s="13">
        <f>IFERROR(__xludf.DUMMYFUNCTION("""COMPUTED_VALUE"""),1903.03)</f>
        <v>1903.03</v>
      </c>
      <c r="C100" s="13">
        <f t="shared" si="1"/>
        <v>1892.18</v>
      </c>
      <c r="D100" s="13">
        <f t="shared" si="2"/>
        <v>1988.05</v>
      </c>
      <c r="E100" s="13" t="str">
        <f t="shared" si="3"/>
        <v/>
      </c>
      <c r="F100" s="3">
        <f t="shared" si="4"/>
        <v>-0.01874310347</v>
      </c>
      <c r="G100" s="4">
        <f t="shared" si="5"/>
        <v>0.9151998692</v>
      </c>
      <c r="H100" s="5">
        <f t="shared" si="6"/>
        <v>0</v>
      </c>
      <c r="I100" s="5">
        <f t="shared" si="7"/>
        <v>0.9739234083</v>
      </c>
    </row>
    <row r="101">
      <c r="A101" s="12">
        <f>IFERROR(__xludf.DUMMYFUNCTION("""COMPUTED_VALUE"""),42403.66666666667)</f>
        <v>42403.66667</v>
      </c>
      <c r="B101" s="13">
        <f>IFERROR(__xludf.DUMMYFUNCTION("""COMPUTED_VALUE"""),1912.53)</f>
        <v>1912.53</v>
      </c>
      <c r="C101" s="13">
        <f t="shared" si="1"/>
        <v>1885.93</v>
      </c>
      <c r="D101" s="13">
        <f t="shared" si="2"/>
        <v>1977.21</v>
      </c>
      <c r="E101" s="13" t="str">
        <f t="shared" si="3"/>
        <v/>
      </c>
      <c r="F101" s="3">
        <f t="shared" si="4"/>
        <v>0.004992039011</v>
      </c>
      <c r="G101" s="4">
        <f t="shared" si="5"/>
        <v>0.9197685826</v>
      </c>
      <c r="H101" s="5">
        <f t="shared" si="6"/>
        <v>0</v>
      </c>
      <c r="I101" s="5">
        <f t="shared" si="7"/>
        <v>0.9739234083</v>
      </c>
    </row>
    <row r="102">
      <c r="A102" s="12">
        <f>IFERROR(__xludf.DUMMYFUNCTION("""COMPUTED_VALUE"""),42404.66666666667)</f>
        <v>42404.66667</v>
      </c>
      <c r="B102" s="13">
        <f>IFERROR(__xludf.DUMMYFUNCTION("""COMPUTED_VALUE"""),1915.45)</f>
        <v>1915.45</v>
      </c>
      <c r="C102" s="13">
        <f t="shared" si="1"/>
        <v>1892.22</v>
      </c>
      <c r="D102" s="13">
        <f t="shared" si="2"/>
        <v>1960.5</v>
      </c>
      <c r="E102" s="13" t="str">
        <f t="shared" si="3"/>
        <v/>
      </c>
      <c r="F102" s="3">
        <f t="shared" si="4"/>
        <v>0.001526773436</v>
      </c>
      <c r="G102" s="4">
        <f t="shared" si="5"/>
        <v>0.9211728609</v>
      </c>
      <c r="H102" s="5">
        <f t="shared" si="6"/>
        <v>0</v>
      </c>
      <c r="I102" s="5">
        <f t="shared" si="7"/>
        <v>0.9739234083</v>
      </c>
    </row>
    <row r="103">
      <c r="A103" s="12">
        <f>IFERROR(__xludf.DUMMYFUNCTION("""COMPUTED_VALUE"""),42405.66666666667)</f>
        <v>42405.66667</v>
      </c>
      <c r="B103" s="13">
        <f>IFERROR(__xludf.DUMMYFUNCTION("""COMPUTED_VALUE"""),1880.05)</f>
        <v>1880.05</v>
      </c>
      <c r="C103" s="13">
        <f t="shared" si="1"/>
        <v>1893.475</v>
      </c>
      <c r="D103" s="13">
        <f t="shared" si="2"/>
        <v>1950.6</v>
      </c>
      <c r="E103" s="13" t="str">
        <f t="shared" si="3"/>
        <v/>
      </c>
      <c r="F103" s="3">
        <f t="shared" si="4"/>
        <v>-0.01848129682</v>
      </c>
      <c r="G103" s="4">
        <f t="shared" si="5"/>
        <v>0.9041483918</v>
      </c>
      <c r="H103" s="5">
        <f t="shared" si="6"/>
        <v>0</v>
      </c>
      <c r="I103" s="5">
        <f t="shared" si="7"/>
        <v>0.9739234083</v>
      </c>
    </row>
    <row r="104">
      <c r="A104" s="12">
        <f>IFERROR(__xludf.DUMMYFUNCTION("""COMPUTED_VALUE"""),42408.66666666667)</f>
        <v>42408.66667</v>
      </c>
      <c r="B104" s="13">
        <f>IFERROR(__xludf.DUMMYFUNCTION("""COMPUTED_VALUE"""),1853.44)</f>
        <v>1853.44</v>
      </c>
      <c r="C104" s="13">
        <f t="shared" si="1"/>
        <v>1865.26</v>
      </c>
      <c r="D104" s="13">
        <f t="shared" si="2"/>
        <v>1946.205</v>
      </c>
      <c r="E104" s="13" t="str">
        <f t="shared" si="3"/>
        <v/>
      </c>
      <c r="F104" s="3">
        <f t="shared" si="4"/>
        <v>-0.01415387889</v>
      </c>
      <c r="G104" s="4">
        <f t="shared" si="5"/>
        <v>0.891351185</v>
      </c>
      <c r="H104" s="5">
        <f t="shared" si="6"/>
        <v>0</v>
      </c>
      <c r="I104" s="5">
        <f t="shared" si="7"/>
        <v>0.9739234083</v>
      </c>
    </row>
    <row r="105">
      <c r="A105" s="12">
        <f>IFERROR(__xludf.DUMMYFUNCTION("""COMPUTED_VALUE"""),42409.66666666667)</f>
        <v>42409.66667</v>
      </c>
      <c r="B105" s="13">
        <f>IFERROR(__xludf.DUMMYFUNCTION("""COMPUTED_VALUE"""),1852.21)</f>
        <v>1852.21</v>
      </c>
      <c r="C105" s="13">
        <f t="shared" si="1"/>
        <v>1877.92</v>
      </c>
      <c r="D105" s="13">
        <f t="shared" si="2"/>
        <v>1958.25</v>
      </c>
      <c r="E105" s="13" t="str">
        <f t="shared" si="3"/>
        <v/>
      </c>
      <c r="F105" s="3">
        <f t="shared" si="4"/>
        <v>-0.0006636308702</v>
      </c>
      <c r="G105" s="4">
        <f t="shared" si="5"/>
        <v>0.8907596568</v>
      </c>
      <c r="H105" s="5">
        <f t="shared" si="6"/>
        <v>0</v>
      </c>
      <c r="I105" s="5">
        <f t="shared" si="7"/>
        <v>0.9739234083</v>
      </c>
    </row>
    <row r="106">
      <c r="A106" s="12">
        <f>IFERROR(__xludf.DUMMYFUNCTION("""COMPUTED_VALUE"""),42410.66666666667)</f>
        <v>42410.66667</v>
      </c>
      <c r="B106" s="13">
        <f>IFERROR(__xludf.DUMMYFUNCTION("""COMPUTED_VALUE"""),1851.86)</f>
        <v>1851.86</v>
      </c>
      <c r="C106" s="13">
        <f t="shared" si="1"/>
        <v>1867.405</v>
      </c>
      <c r="D106" s="13">
        <f t="shared" si="2"/>
        <v>1956.425</v>
      </c>
      <c r="E106" s="13" t="str">
        <f t="shared" si="3"/>
        <v/>
      </c>
      <c r="F106" s="3">
        <f t="shared" si="4"/>
        <v>-0.0001889634545</v>
      </c>
      <c r="G106" s="4">
        <f t="shared" si="5"/>
        <v>0.8905913358</v>
      </c>
      <c r="H106" s="5">
        <f t="shared" si="6"/>
        <v>0</v>
      </c>
      <c r="I106" s="5">
        <f t="shared" si="7"/>
        <v>0.9739234083</v>
      </c>
    </row>
    <row r="107">
      <c r="A107" s="12">
        <f>IFERROR(__xludf.DUMMYFUNCTION("""COMPUTED_VALUE"""),42411.66666666667)</f>
        <v>42411.66667</v>
      </c>
      <c r="B107" s="13">
        <f>IFERROR(__xludf.DUMMYFUNCTION("""COMPUTED_VALUE"""),1829.08)</f>
        <v>1829.08</v>
      </c>
      <c r="C107" s="13">
        <f t="shared" si="1"/>
        <v>1861.22</v>
      </c>
      <c r="D107" s="13">
        <f t="shared" si="2"/>
        <v>1942.79</v>
      </c>
      <c r="E107" s="13" t="str">
        <f t="shared" si="3"/>
        <v/>
      </c>
      <c r="F107" s="3">
        <f t="shared" si="4"/>
        <v>-0.01230114587</v>
      </c>
      <c r="G107" s="4">
        <f t="shared" si="5"/>
        <v>0.8796360419</v>
      </c>
      <c r="H107" s="5">
        <f t="shared" si="6"/>
        <v>0</v>
      </c>
      <c r="I107" s="5">
        <f t="shared" si="7"/>
        <v>0.9739234083</v>
      </c>
    </row>
    <row r="108">
      <c r="A108" s="12">
        <f>IFERROR(__xludf.DUMMYFUNCTION("""COMPUTED_VALUE"""),42412.66666666667)</f>
        <v>42412.66667</v>
      </c>
      <c r="B108" s="13">
        <f>IFERROR(__xludf.DUMMYFUNCTION("""COMPUTED_VALUE"""),1864.78)</f>
        <v>1864.78</v>
      </c>
      <c r="C108" s="13">
        <f t="shared" si="1"/>
        <v>1902.51</v>
      </c>
      <c r="D108" s="13">
        <f t="shared" si="2"/>
        <v>1971.57</v>
      </c>
      <c r="E108" s="13" t="str">
        <f t="shared" si="3"/>
        <v/>
      </c>
      <c r="F108" s="3">
        <f t="shared" si="4"/>
        <v>0.01951800905</v>
      </c>
      <c r="G108" s="4">
        <f t="shared" si="5"/>
        <v>0.8968047861</v>
      </c>
      <c r="H108" s="5">
        <f t="shared" si="6"/>
        <v>0</v>
      </c>
      <c r="I108" s="5">
        <f t="shared" si="7"/>
        <v>0.9739234083</v>
      </c>
    </row>
    <row r="109">
      <c r="A109" s="12">
        <f>IFERROR(__xludf.DUMMYFUNCTION("""COMPUTED_VALUE"""),42416.66666666667)</f>
        <v>42416.66667</v>
      </c>
      <c r="B109" s="13">
        <f>IFERROR(__xludf.DUMMYFUNCTION("""COMPUTED_VALUE"""),1895.58)</f>
        <v>1895.58</v>
      </c>
      <c r="C109" s="13">
        <f t="shared" si="1"/>
        <v>1917.48</v>
      </c>
      <c r="D109" s="13">
        <f t="shared" si="2"/>
        <v>1979.47</v>
      </c>
      <c r="E109" s="13" t="str">
        <f t="shared" si="3"/>
        <v/>
      </c>
      <c r="F109" s="3">
        <f t="shared" si="4"/>
        <v>0.01651669366</v>
      </c>
      <c r="G109" s="4">
        <f t="shared" si="5"/>
        <v>0.911617036</v>
      </c>
      <c r="H109" s="5">
        <f t="shared" si="6"/>
        <v>0</v>
      </c>
      <c r="I109" s="5">
        <f t="shared" si="7"/>
        <v>0.9739234083</v>
      </c>
    </row>
    <row r="110">
      <c r="A110" s="12">
        <f>IFERROR(__xludf.DUMMYFUNCTION("""COMPUTED_VALUE"""),42417.66666666667)</f>
        <v>42417.66667</v>
      </c>
      <c r="B110" s="13">
        <f>IFERROR(__xludf.DUMMYFUNCTION("""COMPUTED_VALUE"""),1926.82)</f>
        <v>1926.82</v>
      </c>
      <c r="C110" s="13">
        <f t="shared" si="1"/>
        <v>1914.925</v>
      </c>
      <c r="D110" s="13">
        <f t="shared" si="2"/>
        <v>1985.38</v>
      </c>
      <c r="E110" s="13" t="str">
        <f t="shared" si="3"/>
        <v/>
      </c>
      <c r="F110" s="3">
        <f t="shared" si="4"/>
        <v>0.01648044398</v>
      </c>
      <c r="G110" s="4">
        <f t="shared" si="5"/>
        <v>0.9266408895</v>
      </c>
      <c r="H110" s="5">
        <f t="shared" si="6"/>
        <v>0</v>
      </c>
      <c r="I110" s="5">
        <f t="shared" si="7"/>
        <v>0.9739234083</v>
      </c>
    </row>
    <row r="111">
      <c r="A111" s="12">
        <f>IFERROR(__xludf.DUMMYFUNCTION("""COMPUTED_VALUE"""),42418.66666666667)</f>
        <v>42418.66667</v>
      </c>
      <c r="B111" s="13">
        <f>IFERROR(__xludf.DUMMYFUNCTION("""COMPUTED_VALUE"""),1917.83)</f>
        <v>1917.83</v>
      </c>
      <c r="C111" s="13">
        <f t="shared" si="1"/>
        <v>1915.18</v>
      </c>
      <c r="D111" s="13">
        <f t="shared" si="2"/>
        <v>1965.245</v>
      </c>
      <c r="E111" s="13" t="str">
        <f t="shared" si="3"/>
        <v/>
      </c>
      <c r="F111" s="3">
        <f t="shared" si="4"/>
        <v>-0.004665718645</v>
      </c>
      <c r="G111" s="4">
        <f t="shared" si="5"/>
        <v>0.9223174438</v>
      </c>
      <c r="H111" s="5">
        <f t="shared" si="6"/>
        <v>0</v>
      </c>
      <c r="I111" s="5">
        <f t="shared" si="7"/>
        <v>0.9739234083</v>
      </c>
    </row>
    <row r="112">
      <c r="A112" s="12">
        <f>IFERROR(__xludf.DUMMYFUNCTION("""COMPUTED_VALUE"""),42419.66666666667)</f>
        <v>42419.66667</v>
      </c>
      <c r="B112" s="13">
        <f>IFERROR(__xludf.DUMMYFUNCTION("""COMPUTED_VALUE"""),1917.78)</f>
        <v>1917.78</v>
      </c>
      <c r="C112" s="13">
        <f t="shared" si="1"/>
        <v>1916.615</v>
      </c>
      <c r="D112" s="13">
        <f t="shared" si="2"/>
        <v>1967.245</v>
      </c>
      <c r="E112" s="13" t="str">
        <f t="shared" si="3"/>
        <v/>
      </c>
      <c r="F112" s="3">
        <f t="shared" si="4"/>
        <v>-0.00002607113248</v>
      </c>
      <c r="G112" s="4">
        <f t="shared" si="5"/>
        <v>0.922293398</v>
      </c>
      <c r="H112" s="5">
        <f t="shared" si="6"/>
        <v>0</v>
      </c>
      <c r="I112" s="5">
        <f t="shared" si="7"/>
        <v>0.9739234083</v>
      </c>
    </row>
    <row r="113">
      <c r="A113" s="12">
        <f>IFERROR(__xludf.DUMMYFUNCTION("""COMPUTED_VALUE"""),42422.66666666667)</f>
        <v>42422.66667</v>
      </c>
      <c r="B113" s="13">
        <f>IFERROR(__xludf.DUMMYFUNCTION("""COMPUTED_VALUE"""),1945.5)</f>
        <v>1945.5</v>
      </c>
      <c r="C113" s="13">
        <f t="shared" si="1"/>
        <v>1912.775</v>
      </c>
      <c r="D113" s="13">
        <f t="shared" si="2"/>
        <v>1967.88</v>
      </c>
      <c r="E113" s="13" t="str">
        <f t="shared" si="3"/>
        <v/>
      </c>
      <c r="F113" s="3">
        <f t="shared" si="4"/>
        <v>0.01445421268</v>
      </c>
      <c r="G113" s="4">
        <f t="shared" si="5"/>
        <v>0.9356244229</v>
      </c>
      <c r="H113" s="5">
        <f t="shared" si="6"/>
        <v>0</v>
      </c>
      <c r="I113" s="5">
        <f t="shared" si="7"/>
        <v>0.9739234083</v>
      </c>
    </row>
    <row r="114">
      <c r="A114" s="12">
        <f>IFERROR(__xludf.DUMMYFUNCTION("""COMPUTED_VALUE"""),42423.66666666667)</f>
        <v>42423.66667</v>
      </c>
      <c r="B114" s="13">
        <f>IFERROR(__xludf.DUMMYFUNCTION("""COMPUTED_VALUE"""),1921.27)</f>
        <v>1921.27</v>
      </c>
      <c r="C114" s="13">
        <f t="shared" si="1"/>
        <v>1887.355</v>
      </c>
      <c r="D114" s="13">
        <f t="shared" si="2"/>
        <v>1932.18</v>
      </c>
      <c r="E114" s="13" t="str">
        <f t="shared" si="3"/>
        <v/>
      </c>
      <c r="F114" s="3">
        <f t="shared" si="4"/>
        <v>-0.01245438191</v>
      </c>
      <c r="G114" s="4">
        <f t="shared" si="5"/>
        <v>0.923971799</v>
      </c>
      <c r="H114" s="5">
        <f t="shared" si="6"/>
        <v>0</v>
      </c>
      <c r="I114" s="5">
        <f t="shared" si="7"/>
        <v>0.9739234083</v>
      </c>
    </row>
    <row r="115">
      <c r="A115" s="12">
        <f>IFERROR(__xludf.DUMMYFUNCTION("""COMPUTED_VALUE"""),42424.66666666667)</f>
        <v>42424.66667</v>
      </c>
      <c r="B115" s="13">
        <f>IFERROR(__xludf.DUMMYFUNCTION("""COMPUTED_VALUE"""),1929.8)</f>
        <v>1929.8</v>
      </c>
      <c r="C115" s="13">
        <f t="shared" si="1"/>
        <v>1891.005</v>
      </c>
      <c r="D115" s="13">
        <f t="shared" si="2"/>
        <v>1925.915</v>
      </c>
      <c r="E115" s="13" t="str">
        <f t="shared" si="3"/>
        <v/>
      </c>
      <c r="F115" s="3">
        <f t="shared" si="4"/>
        <v>0.004439771609</v>
      </c>
      <c r="G115" s="4">
        <f t="shared" si="5"/>
        <v>0.9280740228</v>
      </c>
      <c r="H115" s="5">
        <f t="shared" si="6"/>
        <v>0</v>
      </c>
      <c r="I115" s="5">
        <f t="shared" si="7"/>
        <v>0.9739234083</v>
      </c>
    </row>
    <row r="116">
      <c r="A116" s="12">
        <f>IFERROR(__xludf.DUMMYFUNCTION("""COMPUTED_VALUE"""),42425.66666666667)</f>
        <v>42425.66667</v>
      </c>
      <c r="B116" s="13">
        <f>IFERROR(__xludf.DUMMYFUNCTION("""COMPUTED_VALUE"""),1951.7)</f>
        <v>1951.7</v>
      </c>
      <c r="C116" s="13">
        <f t="shared" si="1"/>
        <v>1901.78</v>
      </c>
      <c r="D116" s="13">
        <f t="shared" si="2"/>
        <v>1937.685</v>
      </c>
      <c r="E116" s="13" t="str">
        <f t="shared" si="3"/>
        <v/>
      </c>
      <c r="F116" s="3">
        <f t="shared" si="4"/>
        <v>0.01134832625</v>
      </c>
      <c r="G116" s="4">
        <f t="shared" si="5"/>
        <v>0.9386061096</v>
      </c>
      <c r="H116" s="5">
        <f t="shared" si="6"/>
        <v>0</v>
      </c>
      <c r="I116" s="5">
        <f t="shared" si="7"/>
        <v>0.9739234083</v>
      </c>
    </row>
    <row r="117">
      <c r="A117" s="12">
        <f>IFERROR(__xludf.DUMMYFUNCTION("""COMPUTED_VALUE"""),42426.66666666667)</f>
        <v>42426.66667</v>
      </c>
      <c r="B117" s="13">
        <f>IFERROR(__xludf.DUMMYFUNCTION("""COMPUTED_VALUE"""),1948.05)</f>
        <v>1948.05</v>
      </c>
      <c r="C117" s="13">
        <f t="shared" si="1"/>
        <v>1888.565</v>
      </c>
      <c r="D117" s="13">
        <f t="shared" si="2"/>
        <v>1943.365</v>
      </c>
      <c r="E117" s="13" t="str">
        <f t="shared" si="3"/>
        <v/>
      </c>
      <c r="F117" s="3">
        <f t="shared" si="4"/>
        <v>-0.001870164472</v>
      </c>
      <c r="G117" s="4">
        <f t="shared" si="5"/>
        <v>0.9368507618</v>
      </c>
      <c r="H117" s="5">
        <f t="shared" si="6"/>
        <v>0</v>
      </c>
      <c r="I117" s="5">
        <f t="shared" si="7"/>
        <v>0.9739234083</v>
      </c>
    </row>
    <row r="118">
      <c r="A118" s="12">
        <f>IFERROR(__xludf.DUMMYFUNCTION("""COMPUTED_VALUE"""),42429.66666666667)</f>
        <v>42429.66667</v>
      </c>
      <c r="B118" s="13">
        <f>IFERROR(__xludf.DUMMYFUNCTION("""COMPUTED_VALUE"""),1932.23)</f>
        <v>1932.23</v>
      </c>
      <c r="C118" s="13">
        <f t="shared" si="1"/>
        <v>1898.505</v>
      </c>
      <c r="D118" s="13">
        <f t="shared" si="2"/>
        <v>1911.255</v>
      </c>
      <c r="E118" s="13" t="str">
        <f t="shared" si="3"/>
        <v/>
      </c>
      <c r="F118" s="3">
        <f t="shared" si="4"/>
        <v>-0.008120941454</v>
      </c>
      <c r="G118" s="4">
        <f t="shared" si="5"/>
        <v>0.9292426516</v>
      </c>
      <c r="H118" s="5">
        <f t="shared" si="6"/>
        <v>0</v>
      </c>
      <c r="I118" s="5">
        <f t="shared" si="7"/>
        <v>0.9739234083</v>
      </c>
    </row>
    <row r="119">
      <c r="A119" s="12">
        <f>IFERROR(__xludf.DUMMYFUNCTION("""COMPUTED_VALUE"""),42430.66666666667)</f>
        <v>42430.66667</v>
      </c>
      <c r="B119" s="13">
        <f>IFERROR(__xludf.DUMMYFUNCTION("""COMPUTED_VALUE"""),1978.35)</f>
        <v>1978.35</v>
      </c>
      <c r="C119" s="13">
        <f t="shared" si="1"/>
        <v>1936.965</v>
      </c>
      <c r="D119" s="13">
        <f t="shared" si="2"/>
        <v>1950.095</v>
      </c>
      <c r="E119" s="13" t="str">
        <f t="shared" si="3"/>
        <v/>
      </c>
      <c r="F119" s="3">
        <f t="shared" si="4"/>
        <v>0.02386879409</v>
      </c>
      <c r="G119" s="4">
        <f t="shared" si="5"/>
        <v>0.9514225531</v>
      </c>
      <c r="H119" s="5">
        <f t="shared" si="6"/>
        <v>0</v>
      </c>
      <c r="I119" s="5">
        <f t="shared" si="7"/>
        <v>0.9739234083</v>
      </c>
    </row>
    <row r="120">
      <c r="A120" s="12">
        <f>IFERROR(__xludf.DUMMYFUNCTION("""COMPUTED_VALUE"""),42431.66666666667)</f>
        <v>42431.66667</v>
      </c>
      <c r="B120" s="13">
        <f>IFERROR(__xludf.DUMMYFUNCTION("""COMPUTED_VALUE"""),1986.45)</f>
        <v>1986.45</v>
      </c>
      <c r="C120" s="13">
        <f t="shared" si="1"/>
        <v>1956.635</v>
      </c>
      <c r="D120" s="13">
        <f t="shared" si="2"/>
        <v>1933.39</v>
      </c>
      <c r="E120" s="13" t="str">
        <f t="shared" si="3"/>
        <v>LONG</v>
      </c>
      <c r="F120" s="3">
        <f t="shared" si="4"/>
        <v>0.004094321025</v>
      </c>
      <c r="G120" s="4">
        <f t="shared" si="5"/>
        <v>0.9553179825</v>
      </c>
      <c r="H120" s="3">
        <f t="shared" si="6"/>
        <v>0.004094321025</v>
      </c>
      <c r="I120" s="5">
        <f t="shared" si="7"/>
        <v>0.9779109634</v>
      </c>
    </row>
    <row r="121">
      <c r="A121" s="12">
        <f>IFERROR(__xludf.DUMMYFUNCTION("""COMPUTED_VALUE"""),42432.66666666667)</f>
        <v>42432.66667</v>
      </c>
      <c r="B121" s="13">
        <f>IFERROR(__xludf.DUMMYFUNCTION("""COMPUTED_VALUE"""),1993.4)</f>
        <v>1993.4</v>
      </c>
      <c r="C121" s="13">
        <f t="shared" si="1"/>
        <v>1955.615</v>
      </c>
      <c r="D121" s="13">
        <f t="shared" si="2"/>
        <v>1937.365</v>
      </c>
      <c r="E121" s="13" t="str">
        <f t="shared" si="3"/>
        <v>LONG</v>
      </c>
      <c r="F121" s="3">
        <f t="shared" si="4"/>
        <v>0.003498703718</v>
      </c>
      <c r="G121" s="4">
        <f t="shared" si="5"/>
        <v>0.958660357</v>
      </c>
      <c r="H121" s="3">
        <f t="shared" si="6"/>
        <v>0.003498703718</v>
      </c>
      <c r="I121" s="5">
        <f t="shared" si="7"/>
        <v>0.9813323842</v>
      </c>
    </row>
    <row r="122">
      <c r="A122" s="12">
        <f>IFERROR(__xludf.DUMMYFUNCTION("""COMPUTED_VALUE"""),42433.66666666667)</f>
        <v>42433.66667</v>
      </c>
      <c r="B122" s="13">
        <f>IFERROR(__xludf.DUMMYFUNCTION("""COMPUTED_VALUE"""),1999.99)</f>
        <v>1999.99</v>
      </c>
      <c r="C122" s="13">
        <f t="shared" si="1"/>
        <v>1958.885</v>
      </c>
      <c r="D122" s="13">
        <f t="shared" si="2"/>
        <v>1929.66</v>
      </c>
      <c r="E122" s="13" t="str">
        <f t="shared" si="3"/>
        <v>LONG</v>
      </c>
      <c r="F122" s="3">
        <f t="shared" si="4"/>
        <v>0.003305909501</v>
      </c>
      <c r="G122" s="4">
        <f t="shared" si="5"/>
        <v>0.9618296014</v>
      </c>
      <c r="H122" s="3">
        <f t="shared" si="6"/>
        <v>0.003305909501</v>
      </c>
      <c r="I122" s="5">
        <f t="shared" si="7"/>
        <v>0.9845765802</v>
      </c>
    </row>
    <row r="123">
      <c r="A123" s="12">
        <f>IFERROR(__xludf.DUMMYFUNCTION("""COMPUTED_VALUE"""),42436.66666666667)</f>
        <v>42436.66667</v>
      </c>
      <c r="B123" s="13">
        <f>IFERROR(__xludf.DUMMYFUNCTION("""COMPUTED_VALUE"""),2001.76)</f>
        <v>2001.76</v>
      </c>
      <c r="C123" s="13">
        <f t="shared" si="1"/>
        <v>1973.63</v>
      </c>
      <c r="D123" s="13">
        <f t="shared" si="2"/>
        <v>1935.375</v>
      </c>
      <c r="E123" s="13" t="str">
        <f t="shared" si="3"/>
        <v>LONG</v>
      </c>
      <c r="F123" s="3">
        <f t="shared" si="4"/>
        <v>0.000885004425</v>
      </c>
      <c r="G123" s="4">
        <f t="shared" si="5"/>
        <v>0.9626808249</v>
      </c>
      <c r="H123" s="3">
        <f t="shared" si="6"/>
        <v>0.000885004425</v>
      </c>
      <c r="I123" s="5">
        <f t="shared" si="7"/>
        <v>0.9854479348</v>
      </c>
    </row>
    <row r="124">
      <c r="A124" s="12">
        <f>IFERROR(__xludf.DUMMYFUNCTION("""COMPUTED_VALUE"""),42437.66666666667)</f>
        <v>42437.66667</v>
      </c>
      <c r="B124" s="13">
        <f>IFERROR(__xludf.DUMMYFUNCTION("""COMPUTED_VALUE"""),1979.26)</f>
        <v>1979.26</v>
      </c>
      <c r="C124" s="13">
        <f t="shared" si="1"/>
        <v>1950.265</v>
      </c>
      <c r="D124" s="13">
        <f t="shared" si="2"/>
        <v>1943.08</v>
      </c>
      <c r="E124" s="13" t="str">
        <f t="shared" si="3"/>
        <v>LONG</v>
      </c>
      <c r="F124" s="3">
        <f t="shared" si="4"/>
        <v>-0.0112401087</v>
      </c>
      <c r="G124" s="4">
        <f t="shared" si="5"/>
        <v>0.9518601878</v>
      </c>
      <c r="H124" s="3">
        <f t="shared" si="6"/>
        <v>-0.0112401087</v>
      </c>
      <c r="I124" s="5">
        <f t="shared" si="7"/>
        <v>0.9743713929</v>
      </c>
    </row>
    <row r="125">
      <c r="A125" s="12">
        <f>IFERROR(__xludf.DUMMYFUNCTION("""COMPUTED_VALUE"""),42438.66666666667)</f>
        <v>42438.66667</v>
      </c>
      <c r="B125" s="13">
        <f>IFERROR(__xludf.DUMMYFUNCTION("""COMPUTED_VALUE"""),1989.26)</f>
        <v>1989.26</v>
      </c>
      <c r="C125" s="13">
        <f t="shared" si="1"/>
        <v>1959.53</v>
      </c>
      <c r="D125" s="13">
        <f t="shared" si="2"/>
        <v>1933.17</v>
      </c>
      <c r="E125" s="13" t="str">
        <f t="shared" si="3"/>
        <v>LONG</v>
      </c>
      <c r="F125" s="3">
        <f t="shared" si="4"/>
        <v>0.005052393319</v>
      </c>
      <c r="G125" s="4">
        <f t="shared" si="5"/>
        <v>0.9566693598</v>
      </c>
      <c r="H125" s="3">
        <f t="shared" si="6"/>
        <v>0.005052393319</v>
      </c>
      <c r="I125" s="5">
        <f t="shared" si="7"/>
        <v>0.9792943004</v>
      </c>
    </row>
    <row r="126">
      <c r="A126" s="12">
        <f>IFERROR(__xludf.DUMMYFUNCTION("""COMPUTED_VALUE"""),42439.66666666667)</f>
        <v>42439.66667</v>
      </c>
      <c r="B126" s="13">
        <f>IFERROR(__xludf.DUMMYFUNCTION("""COMPUTED_VALUE"""),1989.57)</f>
        <v>1989.57</v>
      </c>
      <c r="C126" s="13">
        <f t="shared" si="1"/>
        <v>1970.635</v>
      </c>
      <c r="D126" s="13">
        <f t="shared" si="2"/>
        <v>1946.6</v>
      </c>
      <c r="E126" s="13" t="str">
        <f t="shared" si="3"/>
        <v>LONG</v>
      </c>
      <c r="F126" s="3">
        <f t="shared" si="4"/>
        <v>0.0001558368439</v>
      </c>
      <c r="G126" s="4">
        <f t="shared" si="5"/>
        <v>0.9568184441</v>
      </c>
      <c r="H126" s="3">
        <f t="shared" si="6"/>
        <v>0.0001558368439</v>
      </c>
      <c r="I126" s="5">
        <f t="shared" si="7"/>
        <v>0.9794469106</v>
      </c>
    </row>
    <row r="127">
      <c r="A127" s="12">
        <f>IFERROR(__xludf.DUMMYFUNCTION("""COMPUTED_VALUE"""),42440.66666666667)</f>
        <v>42440.66667</v>
      </c>
      <c r="B127" s="13">
        <f>IFERROR(__xludf.DUMMYFUNCTION("""COMPUTED_VALUE"""),2022.19)</f>
        <v>2022.19</v>
      </c>
      <c r="C127" s="13">
        <f t="shared" si="1"/>
        <v>1985.12</v>
      </c>
      <c r="D127" s="13">
        <f t="shared" si="2"/>
        <v>1952.57</v>
      </c>
      <c r="E127" s="13" t="str">
        <f t="shared" si="3"/>
        <v>LONG</v>
      </c>
      <c r="F127" s="3">
        <f t="shared" si="4"/>
        <v>0.01639550255</v>
      </c>
      <c r="G127" s="4">
        <f t="shared" si="5"/>
        <v>0.9725059634</v>
      </c>
      <c r="H127" s="3">
        <f t="shared" si="6"/>
        <v>0.01639550255</v>
      </c>
      <c r="I127" s="5">
        <f t="shared" si="7"/>
        <v>0.9955054349</v>
      </c>
    </row>
    <row r="128">
      <c r="A128" s="12">
        <f>IFERROR(__xludf.DUMMYFUNCTION("""COMPUTED_VALUE"""),42443.66666666667)</f>
        <v>42443.66667</v>
      </c>
      <c r="B128" s="13">
        <f>IFERROR(__xludf.DUMMYFUNCTION("""COMPUTED_VALUE"""),2019.64)</f>
        <v>2019.64</v>
      </c>
      <c r="C128" s="13">
        <f t="shared" si="1"/>
        <v>1975.935</v>
      </c>
      <c r="D128" s="13">
        <f t="shared" si="2"/>
        <v>1956.5</v>
      </c>
      <c r="E128" s="13" t="str">
        <f t="shared" si="3"/>
        <v>LONG</v>
      </c>
      <c r="F128" s="3">
        <f t="shared" si="4"/>
        <v>-0.001261009104</v>
      </c>
      <c r="G128" s="4">
        <f t="shared" si="5"/>
        <v>0.9712796245</v>
      </c>
      <c r="H128" s="3">
        <f t="shared" si="6"/>
        <v>-0.001261009104</v>
      </c>
      <c r="I128" s="5">
        <f t="shared" si="7"/>
        <v>0.9942500935</v>
      </c>
    </row>
    <row r="129">
      <c r="A129" s="12">
        <f>IFERROR(__xludf.DUMMYFUNCTION("""COMPUTED_VALUE"""),42444.66666666667)</f>
        <v>42444.66667</v>
      </c>
      <c r="B129" s="13">
        <f>IFERROR(__xludf.DUMMYFUNCTION("""COMPUTED_VALUE"""),2015.93)</f>
        <v>2015.93</v>
      </c>
      <c r="C129" s="13">
        <f t="shared" si="1"/>
        <v>1997.14</v>
      </c>
      <c r="D129" s="13">
        <f t="shared" si="2"/>
        <v>1978.085</v>
      </c>
      <c r="E129" s="13" t="str">
        <f t="shared" si="3"/>
        <v>LONG</v>
      </c>
      <c r="F129" s="3">
        <f t="shared" si="4"/>
        <v>-0.001836961043</v>
      </c>
      <c r="G129" s="4">
        <f t="shared" si="5"/>
        <v>0.9694954217</v>
      </c>
      <c r="H129" s="3">
        <f t="shared" si="6"/>
        <v>-0.001836961043</v>
      </c>
      <c r="I129" s="5">
        <f t="shared" si="7"/>
        <v>0.9924236948</v>
      </c>
    </row>
    <row r="130">
      <c r="A130" s="12">
        <f>IFERROR(__xludf.DUMMYFUNCTION("""COMPUTED_VALUE"""),42445.66666666667)</f>
        <v>42445.66667</v>
      </c>
      <c r="B130" s="13">
        <f>IFERROR(__xludf.DUMMYFUNCTION("""COMPUTED_VALUE"""),2027.22)</f>
        <v>2027.22</v>
      </c>
      <c r="C130" s="13">
        <f t="shared" si="1"/>
        <v>2006.835</v>
      </c>
      <c r="D130" s="13">
        <f t="shared" si="2"/>
        <v>1983.3</v>
      </c>
      <c r="E130" s="13" t="str">
        <f t="shared" si="3"/>
        <v>LONG</v>
      </c>
      <c r="F130" s="3">
        <f t="shared" si="4"/>
        <v>0.005600392871</v>
      </c>
      <c r="G130" s="4">
        <f t="shared" si="5"/>
        <v>0.9749249769</v>
      </c>
      <c r="H130" s="3">
        <f t="shared" si="6"/>
        <v>0.005600392871</v>
      </c>
      <c r="I130" s="5">
        <f t="shared" si="7"/>
        <v>0.9979816574</v>
      </c>
    </row>
    <row r="131">
      <c r="A131" s="12">
        <f>IFERROR(__xludf.DUMMYFUNCTION("""COMPUTED_VALUE"""),42446.66666666667)</f>
        <v>42446.66667</v>
      </c>
      <c r="B131" s="13">
        <f>IFERROR(__xludf.DUMMYFUNCTION("""COMPUTED_VALUE"""),2040.59)</f>
        <v>2040.59</v>
      </c>
      <c r="C131" s="13">
        <f t="shared" si="1"/>
        <v>2016.995</v>
      </c>
      <c r="D131" s="13">
        <f t="shared" si="2"/>
        <v>1971.81</v>
      </c>
      <c r="E131" s="13" t="str">
        <f t="shared" si="3"/>
        <v>LONG</v>
      </c>
      <c r="F131" s="3">
        <f t="shared" si="4"/>
        <v>0.0065952388</v>
      </c>
      <c r="G131" s="4">
        <f t="shared" si="5"/>
        <v>0.98135484</v>
      </c>
      <c r="H131" s="3">
        <f t="shared" si="6"/>
        <v>0.0065952388</v>
      </c>
      <c r="I131" s="5">
        <f t="shared" si="7"/>
        <v>1.004563585</v>
      </c>
    </row>
    <row r="132">
      <c r="A132" s="12">
        <f>IFERROR(__xludf.DUMMYFUNCTION("""COMPUTED_VALUE"""),42447.66666666667)</f>
        <v>42447.66667</v>
      </c>
      <c r="B132" s="13">
        <f>IFERROR(__xludf.DUMMYFUNCTION("""COMPUTED_VALUE"""),2049.58)</f>
        <v>2049.58</v>
      </c>
      <c r="C132" s="13">
        <f t="shared" si="1"/>
        <v>2024.785</v>
      </c>
      <c r="D132" s="13">
        <f t="shared" si="2"/>
        <v>1981.055</v>
      </c>
      <c r="E132" s="13" t="str">
        <f t="shared" si="3"/>
        <v>LONG</v>
      </c>
      <c r="F132" s="3">
        <f t="shared" si="4"/>
        <v>0.00440558858</v>
      </c>
      <c r="G132" s="4">
        <f t="shared" si="5"/>
        <v>0.9856782856</v>
      </c>
      <c r="H132" s="3">
        <f t="shared" si="6"/>
        <v>0.00440558858</v>
      </c>
      <c r="I132" s="5">
        <f t="shared" si="7"/>
        <v>1.008989279</v>
      </c>
    </row>
    <row r="133">
      <c r="A133" s="12">
        <f>IFERROR(__xludf.DUMMYFUNCTION("""COMPUTED_VALUE"""),42450.66666666667)</f>
        <v>42450.66667</v>
      </c>
      <c r="B133" s="13">
        <f>IFERROR(__xludf.DUMMYFUNCTION("""COMPUTED_VALUE"""),2051.6)</f>
        <v>2051.6</v>
      </c>
      <c r="C133" s="13">
        <f t="shared" si="1"/>
        <v>2026.68</v>
      </c>
      <c r="D133" s="13">
        <f t="shared" si="2"/>
        <v>1983.525</v>
      </c>
      <c r="E133" s="13" t="str">
        <f t="shared" si="3"/>
        <v>LONG</v>
      </c>
      <c r="F133" s="3">
        <f t="shared" si="4"/>
        <v>0.0009855677749</v>
      </c>
      <c r="G133" s="4">
        <f t="shared" si="5"/>
        <v>0.9866497384</v>
      </c>
      <c r="H133" s="3">
        <f t="shared" si="6"/>
        <v>0.0009855677749</v>
      </c>
      <c r="I133" s="5">
        <f t="shared" si="7"/>
        <v>1.009983706</v>
      </c>
    </row>
    <row r="134">
      <c r="A134" s="12">
        <f>IFERROR(__xludf.DUMMYFUNCTION("""COMPUTED_VALUE"""),42451.66666666667)</f>
        <v>42451.66667</v>
      </c>
      <c r="B134" s="13">
        <f>IFERROR(__xludf.DUMMYFUNCTION("""COMPUTED_VALUE"""),2049.8)</f>
        <v>2049.8</v>
      </c>
      <c r="C134" s="13">
        <f t="shared" si="1"/>
        <v>2014.53</v>
      </c>
      <c r="D134" s="13">
        <f t="shared" si="2"/>
        <v>1964.925</v>
      </c>
      <c r="E134" s="13" t="str">
        <f t="shared" si="3"/>
        <v>LONG</v>
      </c>
      <c r="F134" s="3">
        <f t="shared" si="4"/>
        <v>-0.0008773640086</v>
      </c>
      <c r="G134" s="4">
        <f t="shared" si="5"/>
        <v>0.9857840874</v>
      </c>
      <c r="H134" s="3">
        <f t="shared" si="6"/>
        <v>-0.0008773640086</v>
      </c>
      <c r="I134" s="5">
        <f t="shared" si="7"/>
        <v>1.009097583</v>
      </c>
    </row>
    <row r="135">
      <c r="A135" s="12">
        <f>IFERROR(__xludf.DUMMYFUNCTION("""COMPUTED_VALUE"""),42452.66666666667)</f>
        <v>42452.66667</v>
      </c>
      <c r="B135" s="13">
        <f>IFERROR(__xludf.DUMMYFUNCTION("""COMPUTED_VALUE"""),2036.71)</f>
        <v>2036.71</v>
      </c>
      <c r="C135" s="13">
        <f t="shared" si="1"/>
        <v>2012.985</v>
      </c>
      <c r="D135" s="13">
        <f t="shared" si="2"/>
        <v>1945.075</v>
      </c>
      <c r="E135" s="13" t="str">
        <f t="shared" si="3"/>
        <v>LONG</v>
      </c>
      <c r="F135" s="3">
        <f t="shared" si="4"/>
        <v>-0.006385988877</v>
      </c>
      <c r="G135" s="4">
        <f t="shared" si="5"/>
        <v>0.9794888812</v>
      </c>
      <c r="H135" s="3">
        <f t="shared" si="6"/>
        <v>-0.006385988877</v>
      </c>
      <c r="I135" s="5">
        <f t="shared" si="7"/>
        <v>1.002653497</v>
      </c>
    </row>
    <row r="136">
      <c r="A136" s="12">
        <f>IFERROR(__xludf.DUMMYFUNCTION("""COMPUTED_VALUE"""),42453.66666666667)</f>
        <v>42453.66667</v>
      </c>
      <c r="B136" s="13">
        <f>IFERROR(__xludf.DUMMYFUNCTION("""COMPUTED_VALUE"""),2035.94)</f>
        <v>2035.94</v>
      </c>
      <c r="C136" s="13">
        <f t="shared" si="1"/>
        <v>2012.755</v>
      </c>
      <c r="D136" s="13">
        <f t="shared" si="2"/>
        <v>1944.075</v>
      </c>
      <c r="E136" s="13" t="str">
        <f t="shared" si="3"/>
        <v>LONG</v>
      </c>
      <c r="F136" s="3">
        <f t="shared" si="4"/>
        <v>-0.0003780606959</v>
      </c>
      <c r="G136" s="4">
        <f t="shared" si="5"/>
        <v>0.9791185749</v>
      </c>
      <c r="H136" s="3">
        <f t="shared" si="6"/>
        <v>-0.0003780606959</v>
      </c>
      <c r="I136" s="5">
        <f t="shared" si="7"/>
        <v>1.002274433</v>
      </c>
    </row>
    <row r="137">
      <c r="A137" s="12">
        <f>IFERROR(__xludf.DUMMYFUNCTION("""COMPUTED_VALUE"""),42457.66666666667)</f>
        <v>42457.66667</v>
      </c>
      <c r="B137" s="13">
        <f>IFERROR(__xludf.DUMMYFUNCTION("""COMPUTED_VALUE"""),2037.05)</f>
        <v>2037.05</v>
      </c>
      <c r="C137" s="13">
        <f t="shared" si="1"/>
        <v>2029.62</v>
      </c>
      <c r="D137" s="13">
        <f t="shared" si="2"/>
        <v>1944.455</v>
      </c>
      <c r="E137" s="13" t="str">
        <f t="shared" si="3"/>
        <v>LONG</v>
      </c>
      <c r="F137" s="3">
        <f t="shared" si="4"/>
        <v>0.0005452027073</v>
      </c>
      <c r="G137" s="4">
        <f t="shared" si="5"/>
        <v>0.979652393</v>
      </c>
      <c r="H137" s="3">
        <f t="shared" si="6"/>
        <v>0.0005452027073</v>
      </c>
      <c r="I137" s="5">
        <f t="shared" si="7"/>
        <v>1.002820875</v>
      </c>
    </row>
    <row r="138">
      <c r="A138" s="12">
        <f>IFERROR(__xludf.DUMMYFUNCTION("""COMPUTED_VALUE"""),42458.66666666667)</f>
        <v>42458.66667</v>
      </c>
      <c r="B138" s="13">
        <f>IFERROR(__xludf.DUMMYFUNCTION("""COMPUTED_VALUE"""),2055.01)</f>
        <v>2055.01</v>
      </c>
      <c r="C138" s="13">
        <f t="shared" si="1"/>
        <v>2037.325</v>
      </c>
      <c r="D138" s="13">
        <f t="shared" si="2"/>
        <v>1942.045</v>
      </c>
      <c r="E138" s="13" t="str">
        <f t="shared" si="3"/>
        <v>LONG</v>
      </c>
      <c r="F138" s="3">
        <f t="shared" si="4"/>
        <v>0.008816671167</v>
      </c>
      <c r="G138" s="4">
        <f t="shared" si="5"/>
        <v>0.9882896661</v>
      </c>
      <c r="H138" s="3">
        <f t="shared" si="6"/>
        <v>0.008816671167</v>
      </c>
      <c r="I138" s="5">
        <f t="shared" si="7"/>
        <v>1.011662417</v>
      </c>
    </row>
    <row r="139">
      <c r="A139" s="12">
        <f>IFERROR(__xludf.DUMMYFUNCTION("""COMPUTED_VALUE"""),42459.66666666667)</f>
        <v>42459.66667</v>
      </c>
      <c r="B139" s="13">
        <f>IFERROR(__xludf.DUMMYFUNCTION("""COMPUTED_VALUE"""),2063.95)</f>
        <v>2063.95</v>
      </c>
      <c r="C139" s="13">
        <f t="shared" si="1"/>
        <v>2039.94</v>
      </c>
      <c r="D139" s="13">
        <f t="shared" si="2"/>
        <v>1964.365</v>
      </c>
      <c r="E139" s="13" t="str">
        <f t="shared" si="3"/>
        <v>LONG</v>
      </c>
      <c r="F139" s="3">
        <f t="shared" si="4"/>
        <v>0.004350343794</v>
      </c>
      <c r="G139" s="4">
        <f t="shared" si="5"/>
        <v>0.9925890659</v>
      </c>
      <c r="H139" s="3">
        <f t="shared" si="6"/>
        <v>0.004350343794</v>
      </c>
      <c r="I139" s="5">
        <f t="shared" si="7"/>
        <v>1.016063497</v>
      </c>
    </row>
    <row r="140">
      <c r="A140" s="12">
        <f>IFERROR(__xludf.DUMMYFUNCTION("""COMPUTED_VALUE"""),42460.66666666667)</f>
        <v>42460.66667</v>
      </c>
      <c r="B140" s="13">
        <f>IFERROR(__xludf.DUMMYFUNCTION("""COMPUTED_VALUE"""),2059.74)</f>
        <v>2059.74</v>
      </c>
      <c r="C140" s="13">
        <f t="shared" si="1"/>
        <v>2043.48</v>
      </c>
      <c r="D140" s="13">
        <f t="shared" si="2"/>
        <v>1977.66</v>
      </c>
      <c r="E140" s="13" t="str">
        <f t="shared" si="3"/>
        <v>LONG</v>
      </c>
      <c r="F140" s="3">
        <f t="shared" si="4"/>
        <v>-0.002039778095</v>
      </c>
      <c r="G140" s="4">
        <f t="shared" si="5"/>
        <v>0.9905644044</v>
      </c>
      <c r="H140" s="3">
        <f t="shared" si="6"/>
        <v>-0.002039778095</v>
      </c>
      <c r="I140" s="5">
        <f t="shared" si="7"/>
        <v>1.013990953</v>
      </c>
    </row>
    <row r="141">
      <c r="A141" s="12">
        <f>IFERROR(__xludf.DUMMYFUNCTION("""COMPUTED_VALUE"""),42461.66666666667)</f>
        <v>42461.66667</v>
      </c>
      <c r="B141" s="13">
        <f>IFERROR(__xludf.DUMMYFUNCTION("""COMPUTED_VALUE"""),2072.78)</f>
        <v>2072.78</v>
      </c>
      <c r="C141" s="13">
        <f t="shared" si="1"/>
        <v>2056.685</v>
      </c>
      <c r="D141" s="13">
        <f t="shared" si="2"/>
        <v>1999.8</v>
      </c>
      <c r="E141" s="13" t="str">
        <f t="shared" si="3"/>
        <v>LONG</v>
      </c>
      <c r="F141" s="3">
        <f t="shared" si="4"/>
        <v>0.006330896133</v>
      </c>
      <c r="G141" s="4">
        <f t="shared" si="5"/>
        <v>0.9968355648</v>
      </c>
      <c r="H141" s="3">
        <f t="shared" si="6"/>
        <v>0.006330896133</v>
      </c>
      <c r="I141" s="5">
        <f t="shared" si="7"/>
        <v>1.020410424</v>
      </c>
    </row>
    <row r="142">
      <c r="A142" s="12">
        <f>IFERROR(__xludf.DUMMYFUNCTION("""COMPUTED_VALUE"""),42464.66666666667)</f>
        <v>42464.66667</v>
      </c>
      <c r="B142" s="13">
        <f>IFERROR(__xludf.DUMMYFUNCTION("""COMPUTED_VALUE"""),2066.13)</f>
        <v>2066.13</v>
      </c>
      <c r="C142" s="13">
        <f t="shared" si="1"/>
        <v>2057.855</v>
      </c>
      <c r="D142" s="13">
        <f t="shared" si="2"/>
        <v>1991.98</v>
      </c>
      <c r="E142" s="13" t="str">
        <f t="shared" si="3"/>
        <v>LONG</v>
      </c>
      <c r="F142" s="3">
        <f t="shared" si="4"/>
        <v>-0.00320825172</v>
      </c>
      <c r="G142" s="4">
        <f t="shared" si="5"/>
        <v>0.9936374654</v>
      </c>
      <c r="H142" s="3">
        <f t="shared" si="6"/>
        <v>-0.00320825172</v>
      </c>
      <c r="I142" s="5">
        <f t="shared" si="7"/>
        <v>1.017136691</v>
      </c>
    </row>
    <row r="143">
      <c r="A143" s="12">
        <f>IFERROR(__xludf.DUMMYFUNCTION("""COMPUTED_VALUE"""),42465.66666666667)</f>
        <v>42465.66667</v>
      </c>
      <c r="B143" s="13">
        <f>IFERROR(__xludf.DUMMYFUNCTION("""COMPUTED_VALUE"""),2045.17)</f>
        <v>2045.17</v>
      </c>
      <c r="C143" s="13">
        <f t="shared" si="1"/>
        <v>2048.385</v>
      </c>
      <c r="D143" s="13">
        <f t="shared" si="2"/>
        <v>1981.475</v>
      </c>
      <c r="E143" s="13" t="str">
        <f t="shared" si="3"/>
        <v>LONG</v>
      </c>
      <c r="F143" s="3">
        <f t="shared" si="4"/>
        <v>-0.0101445698</v>
      </c>
      <c r="G143" s="4">
        <f t="shared" si="5"/>
        <v>0.9835574408</v>
      </c>
      <c r="H143" s="3">
        <f t="shared" si="6"/>
        <v>-0.0101445698</v>
      </c>
      <c r="I143" s="5">
        <f t="shared" si="7"/>
        <v>1.006818276</v>
      </c>
    </row>
    <row r="144">
      <c r="A144" s="12">
        <f>IFERROR(__xludf.DUMMYFUNCTION("""COMPUTED_VALUE"""),42466.66666666667)</f>
        <v>42466.66667</v>
      </c>
      <c r="B144" s="13">
        <f>IFERROR(__xludf.DUMMYFUNCTION("""COMPUTED_VALUE"""),2066.66)</f>
        <v>2066.66</v>
      </c>
      <c r="C144" s="13">
        <f t="shared" si="1"/>
        <v>2058.23</v>
      </c>
      <c r="D144" s="13">
        <f t="shared" si="2"/>
        <v>2006.08</v>
      </c>
      <c r="E144" s="13" t="str">
        <f t="shared" si="3"/>
        <v>LONG</v>
      </c>
      <c r="F144" s="3">
        <f t="shared" si="4"/>
        <v>0.01050768396</v>
      </c>
      <c r="G144" s="4">
        <f t="shared" si="5"/>
        <v>0.9938923515</v>
      </c>
      <c r="H144" s="3">
        <f t="shared" si="6"/>
        <v>0.01050768396</v>
      </c>
      <c r="I144" s="5">
        <f t="shared" si="7"/>
        <v>1.017397605</v>
      </c>
    </row>
    <row r="145">
      <c r="A145" s="12">
        <f>IFERROR(__xludf.DUMMYFUNCTION("""COMPUTED_VALUE"""),42467.66666666667)</f>
        <v>42467.66667</v>
      </c>
      <c r="B145" s="13">
        <f>IFERROR(__xludf.DUMMYFUNCTION("""COMPUTED_VALUE"""),2041.91)</f>
        <v>2041.91</v>
      </c>
      <c r="C145" s="13">
        <f t="shared" si="1"/>
        <v>2039.31</v>
      </c>
      <c r="D145" s="13">
        <f t="shared" si="2"/>
        <v>1981.59</v>
      </c>
      <c r="E145" s="13" t="str">
        <f t="shared" si="3"/>
        <v>LONG</v>
      </c>
      <c r="F145" s="3">
        <f t="shared" si="4"/>
        <v>-0.01197584508</v>
      </c>
      <c r="G145" s="4">
        <f t="shared" si="5"/>
        <v>0.9819896507</v>
      </c>
      <c r="H145" s="3">
        <f t="shared" si="6"/>
        <v>-0.01197584508</v>
      </c>
      <c r="I145" s="5">
        <f t="shared" si="7"/>
        <v>1.005213409</v>
      </c>
    </row>
    <row r="146">
      <c r="A146" s="12">
        <f>IFERROR(__xludf.DUMMYFUNCTION("""COMPUTED_VALUE"""),42468.66666666667)</f>
        <v>42468.66667</v>
      </c>
      <c r="B146" s="13">
        <f>IFERROR(__xludf.DUMMYFUNCTION("""COMPUTED_VALUE"""),2047.6)</f>
        <v>2047.6</v>
      </c>
      <c r="C146" s="13">
        <f t="shared" si="1"/>
        <v>2041.77</v>
      </c>
      <c r="D146" s="13">
        <f t="shared" si="2"/>
        <v>1988.7</v>
      </c>
      <c r="E146" s="13" t="str">
        <f t="shared" si="3"/>
        <v>LONG</v>
      </c>
      <c r="F146" s="3">
        <f t="shared" si="4"/>
        <v>0.002786606657</v>
      </c>
      <c r="G146" s="4">
        <f t="shared" si="5"/>
        <v>0.9847260696</v>
      </c>
      <c r="H146" s="3">
        <f t="shared" si="6"/>
        <v>0.002786606657</v>
      </c>
      <c r="I146" s="5">
        <f t="shared" si="7"/>
        <v>1.008014543</v>
      </c>
    </row>
    <row r="147">
      <c r="A147" s="12">
        <f>IFERROR(__xludf.DUMMYFUNCTION("""COMPUTED_VALUE"""),42471.66666666667)</f>
        <v>42471.66667</v>
      </c>
      <c r="B147" s="13">
        <f>IFERROR(__xludf.DUMMYFUNCTION("""COMPUTED_VALUE"""),2041.99)</f>
        <v>2041.99</v>
      </c>
      <c r="C147" s="13">
        <f t="shared" si="1"/>
        <v>2039.52</v>
      </c>
      <c r="D147" s="13">
        <f t="shared" si="2"/>
        <v>1996.845</v>
      </c>
      <c r="E147" s="13" t="str">
        <f t="shared" si="3"/>
        <v>LONG</v>
      </c>
      <c r="F147" s="3">
        <f t="shared" si="4"/>
        <v>-0.002739792928</v>
      </c>
      <c r="G147" s="4">
        <f t="shared" si="5"/>
        <v>0.982028124</v>
      </c>
      <c r="H147" s="3">
        <f t="shared" si="6"/>
        <v>-0.002739792928</v>
      </c>
      <c r="I147" s="5">
        <f t="shared" si="7"/>
        <v>1.005252792</v>
      </c>
    </row>
    <row r="148">
      <c r="A148" s="12">
        <f>IFERROR(__xludf.DUMMYFUNCTION("""COMPUTED_VALUE"""),42472.66666666667)</f>
        <v>42472.66667</v>
      </c>
      <c r="B148" s="13">
        <f>IFERROR(__xludf.DUMMYFUNCTION("""COMPUTED_VALUE"""),2061.72)</f>
        <v>2061.72</v>
      </c>
      <c r="C148" s="13">
        <f t="shared" si="1"/>
        <v>2058.365</v>
      </c>
      <c r="D148" s="13">
        <f t="shared" si="2"/>
        <v>2004.885</v>
      </c>
      <c r="E148" s="13" t="str">
        <f t="shared" si="3"/>
        <v>LONG</v>
      </c>
      <c r="F148" s="3">
        <f t="shared" si="4"/>
        <v>0.009662143301</v>
      </c>
      <c r="G148" s="4">
        <f t="shared" si="5"/>
        <v>0.9915166205</v>
      </c>
      <c r="H148" s="3">
        <f t="shared" si="6"/>
        <v>0.009662143301</v>
      </c>
      <c r="I148" s="5">
        <f t="shared" si="7"/>
        <v>1.014965688</v>
      </c>
    </row>
    <row r="149">
      <c r="A149" s="12">
        <f>IFERROR(__xludf.DUMMYFUNCTION("""COMPUTED_VALUE"""),42473.66666666667)</f>
        <v>42473.66667</v>
      </c>
      <c r="B149" s="13">
        <f>IFERROR(__xludf.DUMMYFUNCTION("""COMPUTED_VALUE"""),2082.42)</f>
        <v>2082.42</v>
      </c>
      <c r="C149" s="13">
        <f t="shared" si="1"/>
        <v>2073.185</v>
      </c>
      <c r="D149" s="13">
        <f t="shared" si="2"/>
        <v>2007.325</v>
      </c>
      <c r="E149" s="13" t="str">
        <f t="shared" si="3"/>
        <v>LONG</v>
      </c>
      <c r="F149" s="3">
        <f t="shared" si="4"/>
        <v>0.01004016064</v>
      </c>
      <c r="G149" s="4">
        <f t="shared" si="5"/>
        <v>1.001471607</v>
      </c>
      <c r="H149" s="3">
        <f t="shared" si="6"/>
        <v>0.01004016064</v>
      </c>
      <c r="I149" s="5">
        <f t="shared" si="7"/>
        <v>1.025156107</v>
      </c>
    </row>
    <row r="150">
      <c r="A150" s="12">
        <f>IFERROR(__xludf.DUMMYFUNCTION("""COMPUTED_VALUE"""),42474.66666666667)</f>
        <v>42474.66667</v>
      </c>
      <c r="B150" s="13">
        <f>IFERROR(__xludf.DUMMYFUNCTION("""COMPUTED_VALUE"""),2082.78)</f>
        <v>2082.78</v>
      </c>
      <c r="C150" s="13">
        <f t="shared" si="1"/>
        <v>2071.26</v>
      </c>
      <c r="D150" s="13">
        <f t="shared" si="2"/>
        <v>2030.565</v>
      </c>
      <c r="E150" s="13" t="str">
        <f t="shared" si="3"/>
        <v>LONG</v>
      </c>
      <c r="F150" s="3">
        <f t="shared" si="4"/>
        <v>0.0001728757887</v>
      </c>
      <c r="G150" s="4">
        <f t="shared" si="5"/>
        <v>1.001644737</v>
      </c>
      <c r="H150" s="3">
        <f t="shared" si="6"/>
        <v>0.0001728757887</v>
      </c>
      <c r="I150" s="5">
        <f t="shared" si="7"/>
        <v>1.025333332</v>
      </c>
    </row>
    <row r="151">
      <c r="A151" s="12">
        <f>IFERROR(__xludf.DUMMYFUNCTION("""COMPUTED_VALUE"""),42475.66666666667)</f>
        <v>42475.66667</v>
      </c>
      <c r="B151" s="13">
        <f>IFERROR(__xludf.DUMMYFUNCTION("""COMPUTED_VALUE"""),2080.73)</f>
        <v>2080.73</v>
      </c>
      <c r="C151" s="13">
        <f t="shared" si="1"/>
        <v>2076.755</v>
      </c>
      <c r="D151" s="13">
        <f t="shared" si="2"/>
        <v>2033.59</v>
      </c>
      <c r="E151" s="13" t="str">
        <f t="shared" si="3"/>
        <v>LONG</v>
      </c>
      <c r="F151" s="3">
        <f t="shared" si="4"/>
        <v>-0.0009842614198</v>
      </c>
      <c r="G151" s="4">
        <f t="shared" si="5"/>
        <v>1.000658857</v>
      </c>
      <c r="H151" s="3">
        <f t="shared" si="6"/>
        <v>-0.0009842614198</v>
      </c>
      <c r="I151" s="5">
        <f t="shared" si="7"/>
        <v>1.024324135</v>
      </c>
    </row>
    <row r="152">
      <c r="A152" s="12">
        <f>IFERROR(__xludf.DUMMYFUNCTION("""COMPUTED_VALUE"""),42478.66666666667)</f>
        <v>42478.66667</v>
      </c>
      <c r="B152" s="13">
        <f>IFERROR(__xludf.DUMMYFUNCTION("""COMPUTED_VALUE"""),2094.34)</f>
        <v>2094.34</v>
      </c>
      <c r="C152" s="13">
        <f t="shared" si="1"/>
        <v>2080.235</v>
      </c>
      <c r="D152" s="13">
        <f t="shared" si="2"/>
        <v>2043.87</v>
      </c>
      <c r="E152" s="13" t="str">
        <f t="shared" si="3"/>
        <v>LONG</v>
      </c>
      <c r="F152" s="3">
        <f t="shared" si="4"/>
        <v>0.006540973601</v>
      </c>
      <c r="G152" s="4">
        <f t="shared" si="5"/>
        <v>1.00720414</v>
      </c>
      <c r="H152" s="3">
        <f t="shared" si="6"/>
        <v>0.006540973601</v>
      </c>
      <c r="I152" s="5">
        <f t="shared" si="7"/>
        <v>1.031024213</v>
      </c>
    </row>
    <row r="153">
      <c r="A153" s="12">
        <f>IFERROR(__xludf.DUMMYFUNCTION("""COMPUTED_VALUE"""),42479.66666666667)</f>
        <v>42479.66667</v>
      </c>
      <c r="B153" s="13">
        <f>IFERROR(__xludf.DUMMYFUNCTION("""COMPUTED_VALUE"""),2100.8)</f>
        <v>2100.8</v>
      </c>
      <c r="C153" s="13">
        <f t="shared" si="1"/>
        <v>2072.985</v>
      </c>
      <c r="D153" s="13">
        <f t="shared" si="2"/>
        <v>2050.395</v>
      </c>
      <c r="E153" s="13" t="str">
        <f t="shared" si="3"/>
        <v>LONG</v>
      </c>
      <c r="F153" s="3">
        <f t="shared" si="4"/>
        <v>0.003084503949</v>
      </c>
      <c r="G153" s="4">
        <f t="shared" si="5"/>
        <v>1.010310865</v>
      </c>
      <c r="H153" s="3">
        <f t="shared" si="6"/>
        <v>0.003084503949</v>
      </c>
      <c r="I153" s="5">
        <f t="shared" si="7"/>
        <v>1.034204411</v>
      </c>
    </row>
    <row r="154">
      <c r="A154" s="12">
        <f>IFERROR(__xludf.DUMMYFUNCTION("""COMPUTED_VALUE"""),42480.66666666667)</f>
        <v>42480.66667</v>
      </c>
      <c r="B154" s="13">
        <f>IFERROR(__xludf.DUMMYFUNCTION("""COMPUTED_VALUE"""),2102.4)</f>
        <v>2102.4</v>
      </c>
      <c r="C154" s="13">
        <f t="shared" si="1"/>
        <v>2084.53</v>
      </c>
      <c r="D154" s="13">
        <f t="shared" si="2"/>
        <v>2052.08</v>
      </c>
      <c r="E154" s="13" t="str">
        <f t="shared" si="3"/>
        <v>LONG</v>
      </c>
      <c r="F154" s="3">
        <f t="shared" si="4"/>
        <v>0.000761614623</v>
      </c>
      <c r="G154" s="4">
        <f t="shared" si="5"/>
        <v>1.011080332</v>
      </c>
      <c r="H154" s="3">
        <f t="shared" si="6"/>
        <v>0.000761614623</v>
      </c>
      <c r="I154" s="5">
        <f t="shared" si="7"/>
        <v>1.034992076</v>
      </c>
    </row>
    <row r="155">
      <c r="A155" s="12">
        <f>IFERROR(__xludf.DUMMYFUNCTION("""COMPUTED_VALUE"""),42481.66666666667)</f>
        <v>42481.66667</v>
      </c>
      <c r="B155" s="13">
        <f>IFERROR(__xludf.DUMMYFUNCTION("""COMPUTED_VALUE"""),2091.48)</f>
        <v>2091.48</v>
      </c>
      <c r="C155" s="13">
        <f t="shared" si="1"/>
        <v>2066.695</v>
      </c>
      <c r="D155" s="13">
        <f t="shared" si="2"/>
        <v>2035.37</v>
      </c>
      <c r="E155" s="13" t="str">
        <f t="shared" si="3"/>
        <v>LONG</v>
      </c>
      <c r="F155" s="3">
        <f t="shared" si="4"/>
        <v>-0.005194063927</v>
      </c>
      <c r="G155" s="4">
        <f t="shared" si="5"/>
        <v>1.005828717</v>
      </c>
      <c r="H155" s="3">
        <f t="shared" si="6"/>
        <v>-0.005194063927</v>
      </c>
      <c r="I155" s="5">
        <f t="shared" si="7"/>
        <v>1.029616261</v>
      </c>
    </row>
    <row r="156">
      <c r="A156" s="12">
        <f>IFERROR(__xludf.DUMMYFUNCTION("""COMPUTED_VALUE"""),42482.66666666667)</f>
        <v>42482.66667</v>
      </c>
      <c r="B156" s="13">
        <f>IFERROR(__xludf.DUMMYFUNCTION("""COMPUTED_VALUE"""),2091.58)</f>
        <v>2091.58</v>
      </c>
      <c r="C156" s="13">
        <f t="shared" si="1"/>
        <v>2069.59</v>
      </c>
      <c r="D156" s="13">
        <f t="shared" si="2"/>
        <v>2040.42</v>
      </c>
      <c r="E156" s="13" t="str">
        <f t="shared" si="3"/>
        <v>LONG</v>
      </c>
      <c r="F156" s="3">
        <f t="shared" si="4"/>
        <v>0.00004781303192</v>
      </c>
      <c r="G156" s="4">
        <f t="shared" si="5"/>
        <v>1.005876808</v>
      </c>
      <c r="H156" s="3">
        <f t="shared" si="6"/>
        <v>0.00004781303192</v>
      </c>
      <c r="I156" s="5">
        <f t="shared" si="7"/>
        <v>1.02966549</v>
      </c>
    </row>
    <row r="157">
      <c r="A157" s="12">
        <f>IFERROR(__xludf.DUMMYFUNCTION("""COMPUTED_VALUE"""),42485.66666666667)</f>
        <v>42485.66667</v>
      </c>
      <c r="B157" s="13">
        <f>IFERROR(__xludf.DUMMYFUNCTION("""COMPUTED_VALUE"""),2087.79)</f>
        <v>2087.79</v>
      </c>
      <c r="C157" s="13">
        <f t="shared" si="1"/>
        <v>2064.89</v>
      </c>
      <c r="D157" s="13">
        <f t="shared" si="2"/>
        <v>2038.68</v>
      </c>
      <c r="E157" s="13" t="str">
        <f t="shared" si="3"/>
        <v>LONG</v>
      </c>
      <c r="F157" s="3">
        <f t="shared" si="4"/>
        <v>-0.001812027271</v>
      </c>
      <c r="G157" s="4">
        <f t="shared" si="5"/>
        <v>1.004054132</v>
      </c>
      <c r="H157" s="3">
        <f t="shared" si="6"/>
        <v>-0.001812027271</v>
      </c>
      <c r="I157" s="5">
        <f t="shared" si="7"/>
        <v>1.027799708</v>
      </c>
    </row>
    <row r="158">
      <c r="A158" s="12">
        <f>IFERROR(__xludf.DUMMYFUNCTION("""COMPUTED_VALUE"""),42486.66666666667)</f>
        <v>42486.66667</v>
      </c>
      <c r="B158" s="13">
        <f>IFERROR(__xludf.DUMMYFUNCTION("""COMPUTED_VALUE"""),2091.7)</f>
        <v>2091.7</v>
      </c>
      <c r="C158" s="13">
        <f t="shared" si="1"/>
        <v>2076.71</v>
      </c>
      <c r="D158" s="13">
        <f t="shared" si="2"/>
        <v>2056.945</v>
      </c>
      <c r="E158" s="13" t="str">
        <f t="shared" si="3"/>
        <v>LONG</v>
      </c>
      <c r="F158" s="3">
        <f t="shared" si="4"/>
        <v>0.00187279372</v>
      </c>
      <c r="G158" s="4">
        <f t="shared" si="5"/>
        <v>1.005934518</v>
      </c>
      <c r="H158" s="3">
        <f t="shared" si="6"/>
        <v>0.00187279372</v>
      </c>
      <c r="I158" s="5">
        <f t="shared" si="7"/>
        <v>1.029724565</v>
      </c>
    </row>
    <row r="159">
      <c r="A159" s="12">
        <f>IFERROR(__xludf.DUMMYFUNCTION("""COMPUTED_VALUE"""),42487.66666666667)</f>
        <v>42487.66667</v>
      </c>
      <c r="B159" s="13">
        <f>IFERROR(__xludf.DUMMYFUNCTION("""COMPUTED_VALUE"""),2095.15)</f>
        <v>2095.15</v>
      </c>
      <c r="C159" s="13">
        <f t="shared" si="1"/>
        <v>2088.785</v>
      </c>
      <c r="D159" s="13">
        <f t="shared" si="2"/>
        <v>2057.395</v>
      </c>
      <c r="E159" s="13" t="str">
        <f t="shared" si="3"/>
        <v>LONG</v>
      </c>
      <c r="F159" s="3">
        <f t="shared" si="4"/>
        <v>0.001649376106</v>
      </c>
      <c r="G159" s="4">
        <f t="shared" si="5"/>
        <v>1.007593683</v>
      </c>
      <c r="H159" s="3">
        <f t="shared" si="6"/>
        <v>0.001649376106</v>
      </c>
      <c r="I159" s="5">
        <f t="shared" si="7"/>
        <v>1.031422968</v>
      </c>
    </row>
    <row r="160">
      <c r="A160" s="12">
        <f>IFERROR(__xludf.DUMMYFUNCTION("""COMPUTED_VALUE"""),42488.66666666667)</f>
        <v>42488.66667</v>
      </c>
      <c r="B160" s="13">
        <f>IFERROR(__xludf.DUMMYFUNCTION("""COMPUTED_VALUE"""),2075.81)</f>
        <v>2075.81</v>
      </c>
      <c r="C160" s="13">
        <f t="shared" si="1"/>
        <v>2079.295</v>
      </c>
      <c r="D160" s="13">
        <f t="shared" si="2"/>
        <v>2045.87</v>
      </c>
      <c r="E160" s="13" t="str">
        <f t="shared" si="3"/>
        <v>LONG</v>
      </c>
      <c r="F160" s="3">
        <f t="shared" si="4"/>
        <v>-0.00923084266</v>
      </c>
      <c r="G160" s="4">
        <f t="shared" si="5"/>
        <v>0.9982927439</v>
      </c>
      <c r="H160" s="3">
        <f t="shared" si="6"/>
        <v>-0.00923084266</v>
      </c>
      <c r="I160" s="5">
        <f t="shared" si="7"/>
        <v>1.021902065</v>
      </c>
    </row>
    <row r="161">
      <c r="A161" s="12">
        <f>IFERROR(__xludf.DUMMYFUNCTION("""COMPUTED_VALUE"""),42489.66666666667)</f>
        <v>42489.66667</v>
      </c>
      <c r="B161" s="13">
        <f>IFERROR(__xludf.DUMMYFUNCTION("""COMPUTED_VALUE"""),2065.3)</f>
        <v>2065.3</v>
      </c>
      <c r="C161" s="13">
        <f t="shared" si="1"/>
        <v>2073.015</v>
      </c>
      <c r="D161" s="13">
        <f t="shared" si="2"/>
        <v>2046.26</v>
      </c>
      <c r="E161" s="13" t="str">
        <f t="shared" si="3"/>
        <v>LONG</v>
      </c>
      <c r="F161" s="3">
        <f t="shared" si="4"/>
        <v>-0.005063083808</v>
      </c>
      <c r="G161" s="4">
        <f t="shared" si="5"/>
        <v>0.9932383041</v>
      </c>
      <c r="H161" s="3">
        <f t="shared" si="6"/>
        <v>-0.005063083808</v>
      </c>
      <c r="I161" s="5">
        <f t="shared" si="7"/>
        <v>1.016728089</v>
      </c>
    </row>
    <row r="162">
      <c r="A162" s="12">
        <f>IFERROR(__xludf.DUMMYFUNCTION("""COMPUTED_VALUE"""),42492.66666666667)</f>
        <v>42492.66667</v>
      </c>
      <c r="B162" s="13">
        <f>IFERROR(__xludf.DUMMYFUNCTION("""COMPUTED_VALUE"""),2081.43)</f>
        <v>2081.43</v>
      </c>
      <c r="C162" s="13">
        <f t="shared" si="1"/>
        <v>2087.885</v>
      </c>
      <c r="D162" s="13">
        <f t="shared" si="2"/>
        <v>2061.01</v>
      </c>
      <c r="E162" s="13" t="str">
        <f t="shared" si="3"/>
        <v>LONG</v>
      </c>
      <c r="F162" s="3">
        <f t="shared" si="4"/>
        <v>0.007810003389</v>
      </c>
      <c r="G162" s="4">
        <f t="shared" si="5"/>
        <v>1.000995499</v>
      </c>
      <c r="H162" s="3">
        <f t="shared" si="6"/>
        <v>0.007810003389</v>
      </c>
      <c r="I162" s="5">
        <f t="shared" si="7"/>
        <v>1.024668739</v>
      </c>
    </row>
    <row r="163">
      <c r="A163" s="12">
        <f>IFERROR(__xludf.DUMMYFUNCTION("""COMPUTED_VALUE"""),42493.66666666667)</f>
        <v>42493.66667</v>
      </c>
      <c r="B163" s="13">
        <f>IFERROR(__xludf.DUMMYFUNCTION("""COMPUTED_VALUE"""),2063.37)</f>
        <v>2063.37</v>
      </c>
      <c r="C163" s="13">
        <f t="shared" si="1"/>
        <v>2082.085</v>
      </c>
      <c r="D163" s="13">
        <f t="shared" si="2"/>
        <v>2056.475</v>
      </c>
      <c r="E163" s="13" t="str">
        <f t="shared" si="3"/>
        <v>LONG</v>
      </c>
      <c r="F163" s="3">
        <f t="shared" si="4"/>
        <v>-0.008676727058</v>
      </c>
      <c r="G163" s="4">
        <f t="shared" si="5"/>
        <v>0.9923101339</v>
      </c>
      <c r="H163" s="3">
        <f t="shared" si="6"/>
        <v>-0.008676727058</v>
      </c>
      <c r="I163" s="5">
        <f t="shared" si="7"/>
        <v>1.015777968</v>
      </c>
    </row>
    <row r="164">
      <c r="A164" s="12">
        <f>IFERROR(__xludf.DUMMYFUNCTION("""COMPUTED_VALUE"""),42494.66666666667)</f>
        <v>42494.66667</v>
      </c>
      <c r="B164" s="13">
        <f>IFERROR(__xludf.DUMMYFUNCTION("""COMPUTED_VALUE"""),2051.12)</f>
        <v>2051.12</v>
      </c>
      <c r="C164" s="13">
        <f t="shared" si="1"/>
        <v>2076.76</v>
      </c>
      <c r="D164" s="13">
        <f t="shared" si="2"/>
        <v>2051.36</v>
      </c>
      <c r="E164" s="13" t="str">
        <f t="shared" si="3"/>
        <v>LONG</v>
      </c>
      <c r="F164" s="3">
        <f t="shared" si="4"/>
        <v>-0.005936889651</v>
      </c>
      <c r="G164" s="4">
        <f t="shared" si="5"/>
        <v>0.9864188981</v>
      </c>
      <c r="H164" s="3">
        <f t="shared" si="6"/>
        <v>-0.005936889651</v>
      </c>
      <c r="I164" s="5">
        <f t="shared" si="7"/>
        <v>1.009747406</v>
      </c>
    </row>
    <row r="165">
      <c r="A165" s="12">
        <f>IFERROR(__xludf.DUMMYFUNCTION("""COMPUTED_VALUE"""),42495.66666666667)</f>
        <v>42495.66667</v>
      </c>
      <c r="B165" s="13">
        <f>IFERROR(__xludf.DUMMYFUNCTION("""COMPUTED_VALUE"""),2050.63)</f>
        <v>2050.63</v>
      </c>
      <c r="C165" s="13">
        <f t="shared" si="1"/>
        <v>2071.055</v>
      </c>
      <c r="D165" s="13">
        <f t="shared" si="2"/>
        <v>2050.215</v>
      </c>
      <c r="E165" s="13" t="str">
        <f t="shared" si="3"/>
        <v>LONG</v>
      </c>
      <c r="F165" s="3">
        <f t="shared" si="4"/>
        <v>-0.0002388938726</v>
      </c>
      <c r="G165" s="4">
        <f t="shared" si="5"/>
        <v>0.9861832487</v>
      </c>
      <c r="H165" s="3">
        <f t="shared" si="6"/>
        <v>-0.0002388938726</v>
      </c>
      <c r="I165" s="5">
        <f t="shared" si="7"/>
        <v>1.009506184</v>
      </c>
    </row>
    <row r="166">
      <c r="A166" s="12">
        <f>IFERROR(__xludf.DUMMYFUNCTION("""COMPUTED_VALUE"""),42496.66666666667)</f>
        <v>42496.66667</v>
      </c>
      <c r="B166" s="13">
        <f>IFERROR(__xludf.DUMMYFUNCTION("""COMPUTED_VALUE"""),2057.14)</f>
        <v>2057.14</v>
      </c>
      <c r="C166" s="13">
        <f t="shared" si="1"/>
        <v>2074.36</v>
      </c>
      <c r="D166" s="13">
        <f t="shared" si="2"/>
        <v>2046.925</v>
      </c>
      <c r="E166" s="13" t="str">
        <f t="shared" si="3"/>
        <v>LONG</v>
      </c>
      <c r="F166" s="3">
        <f t="shared" si="4"/>
        <v>0.003174634137</v>
      </c>
      <c r="G166" s="4">
        <f t="shared" si="5"/>
        <v>0.9893140197</v>
      </c>
      <c r="H166" s="3">
        <f t="shared" si="6"/>
        <v>0.003174634137</v>
      </c>
      <c r="I166" s="5">
        <f t="shared" si="7"/>
        <v>1.012710997</v>
      </c>
    </row>
    <row r="167">
      <c r="A167" s="12">
        <f>IFERROR(__xludf.DUMMYFUNCTION("""COMPUTED_VALUE"""),42499.66666666667)</f>
        <v>42499.66667</v>
      </c>
      <c r="B167" s="13">
        <f>IFERROR(__xludf.DUMMYFUNCTION("""COMPUTED_VALUE"""),2058.69)</f>
        <v>2058.69</v>
      </c>
      <c r="C167" s="13">
        <f t="shared" si="1"/>
        <v>2073.24</v>
      </c>
      <c r="D167" s="13">
        <f t="shared" si="2"/>
        <v>2047.315</v>
      </c>
      <c r="E167" s="13" t="str">
        <f t="shared" si="3"/>
        <v>LONG</v>
      </c>
      <c r="F167" s="3">
        <f t="shared" si="4"/>
        <v>0.0007534732687</v>
      </c>
      <c r="G167" s="4">
        <f t="shared" si="5"/>
        <v>0.9900594414</v>
      </c>
      <c r="H167" s="3">
        <f t="shared" si="6"/>
        <v>0.0007534732687</v>
      </c>
      <c r="I167" s="5">
        <f t="shared" si="7"/>
        <v>1.013474047</v>
      </c>
    </row>
    <row r="168">
      <c r="A168" s="12">
        <f>IFERROR(__xludf.DUMMYFUNCTION("""COMPUTED_VALUE"""),42500.66666666667)</f>
        <v>42500.66667</v>
      </c>
      <c r="B168" s="13">
        <f>IFERROR(__xludf.DUMMYFUNCTION("""COMPUTED_VALUE"""),2084.39)</f>
        <v>2084.39</v>
      </c>
      <c r="C168" s="13">
        <f t="shared" si="1"/>
        <v>2088.045</v>
      </c>
      <c r="D168" s="13">
        <f t="shared" si="2"/>
        <v>2060.72</v>
      </c>
      <c r="E168" s="13" t="str">
        <f t="shared" si="3"/>
        <v>LONG</v>
      </c>
      <c r="F168" s="3">
        <f t="shared" si="4"/>
        <v>0.0124836668</v>
      </c>
      <c r="G168" s="4">
        <f t="shared" si="5"/>
        <v>1.002419014</v>
      </c>
      <c r="H168" s="3">
        <f t="shared" si="6"/>
        <v>0.0124836668</v>
      </c>
      <c r="I168" s="5">
        <f t="shared" si="7"/>
        <v>1.02612592</v>
      </c>
    </row>
    <row r="169">
      <c r="A169" s="12">
        <f>IFERROR(__xludf.DUMMYFUNCTION("""COMPUTED_VALUE"""),42501.66666666667)</f>
        <v>42501.66667</v>
      </c>
      <c r="B169" s="13">
        <f>IFERROR(__xludf.DUMMYFUNCTION("""COMPUTED_VALUE"""),2064.46)</f>
        <v>2064.46</v>
      </c>
      <c r="C169" s="13">
        <f t="shared" si="1"/>
        <v>2079.805</v>
      </c>
      <c r="D169" s="13">
        <f t="shared" si="2"/>
        <v>2059.735</v>
      </c>
      <c r="E169" s="13" t="str">
        <f t="shared" si="3"/>
        <v>LONG</v>
      </c>
      <c r="F169" s="3">
        <f t="shared" si="4"/>
        <v>-0.009561550382</v>
      </c>
      <c r="G169" s="4">
        <f t="shared" si="5"/>
        <v>0.9928343336</v>
      </c>
      <c r="H169" s="3">
        <f t="shared" si="6"/>
        <v>-0.009561550382</v>
      </c>
      <c r="I169" s="5">
        <f t="shared" si="7"/>
        <v>1.016314565</v>
      </c>
    </row>
    <row r="170">
      <c r="A170" s="12">
        <f>IFERROR(__xludf.DUMMYFUNCTION("""COMPUTED_VALUE"""),42502.66666666667)</f>
        <v>42502.66667</v>
      </c>
      <c r="B170" s="13">
        <f>IFERROR(__xludf.DUMMYFUNCTION("""COMPUTED_VALUE"""),2064.11)</f>
        <v>2064.11</v>
      </c>
      <c r="C170" s="13">
        <f t="shared" si="1"/>
        <v>2069.96</v>
      </c>
      <c r="D170" s="13">
        <f t="shared" si="2"/>
        <v>2064.03</v>
      </c>
      <c r="E170" s="13" t="str">
        <f t="shared" si="3"/>
        <v>LONG</v>
      </c>
      <c r="F170" s="3">
        <f t="shared" si="4"/>
        <v>-0.0001695358593</v>
      </c>
      <c r="G170" s="4">
        <f t="shared" si="5"/>
        <v>0.9926660126</v>
      </c>
      <c r="H170" s="3">
        <f t="shared" si="6"/>
        <v>-0.0001695358593</v>
      </c>
      <c r="I170" s="5">
        <f t="shared" si="7"/>
        <v>1.016142263</v>
      </c>
    </row>
    <row r="171">
      <c r="A171" s="12">
        <f>IFERROR(__xludf.DUMMYFUNCTION("""COMPUTED_VALUE"""),42503.66666666667)</f>
        <v>42503.66667</v>
      </c>
      <c r="B171" s="13">
        <f>IFERROR(__xludf.DUMMYFUNCTION("""COMPUTED_VALUE"""),2046.61)</f>
        <v>2046.61</v>
      </c>
      <c r="C171" s="13">
        <f t="shared" si="1"/>
        <v>2055.955</v>
      </c>
      <c r="D171" s="13">
        <f t="shared" si="2"/>
        <v>2053.175</v>
      </c>
      <c r="E171" s="13" t="str">
        <f t="shared" si="3"/>
        <v>LONG</v>
      </c>
      <c r="F171" s="3">
        <f t="shared" si="4"/>
        <v>-0.008478230327</v>
      </c>
      <c r="G171" s="4">
        <f t="shared" si="5"/>
        <v>0.9842499615</v>
      </c>
      <c r="H171" s="3">
        <f t="shared" si="6"/>
        <v>-0.008478230327</v>
      </c>
      <c r="I171" s="5">
        <f t="shared" si="7"/>
        <v>1.007527175</v>
      </c>
    </row>
    <row r="172">
      <c r="A172" s="12">
        <f>IFERROR(__xludf.DUMMYFUNCTION("""COMPUTED_VALUE"""),42506.66666666667)</f>
        <v>42506.66667</v>
      </c>
      <c r="B172" s="13">
        <f>IFERROR(__xludf.DUMMYFUNCTION("""COMPUTED_VALUE"""),2066.66)</f>
        <v>2066.66</v>
      </c>
      <c r="C172" s="13">
        <f t="shared" si="1"/>
        <v>2074.045</v>
      </c>
      <c r="D172" s="13">
        <f t="shared" si="2"/>
        <v>2069.72</v>
      </c>
      <c r="E172" s="13" t="str">
        <f t="shared" si="3"/>
        <v>LONG</v>
      </c>
      <c r="F172" s="3">
        <f t="shared" si="4"/>
        <v>0.009796688182</v>
      </c>
      <c r="G172" s="4">
        <f t="shared" si="5"/>
        <v>0.9938923515</v>
      </c>
      <c r="H172" s="3">
        <f t="shared" si="6"/>
        <v>0.009796688182</v>
      </c>
      <c r="I172" s="5">
        <f t="shared" si="7"/>
        <v>1.017397605</v>
      </c>
    </row>
    <row r="173">
      <c r="A173" s="12">
        <f>IFERROR(__xludf.DUMMYFUNCTION("""COMPUTED_VALUE"""),42507.66666666667)</f>
        <v>42507.66667</v>
      </c>
      <c r="B173" s="13">
        <f>IFERROR(__xludf.DUMMYFUNCTION("""COMPUTED_VALUE"""),2047.21)</f>
        <v>2047.21</v>
      </c>
      <c r="C173" s="13">
        <f t="shared" si="1"/>
        <v>2055.29</v>
      </c>
      <c r="D173" s="13">
        <f t="shared" si="2"/>
        <v>2056.67</v>
      </c>
      <c r="E173" s="13" t="str">
        <f t="shared" si="3"/>
        <v/>
      </c>
      <c r="F173" s="3">
        <f t="shared" si="4"/>
        <v>-0.009411320682</v>
      </c>
      <c r="G173" s="4">
        <f t="shared" si="5"/>
        <v>0.9845385118</v>
      </c>
      <c r="H173" s="5">
        <f t="shared" si="6"/>
        <v>0</v>
      </c>
      <c r="I173" s="5">
        <f t="shared" si="7"/>
        <v>1.017397605</v>
      </c>
    </row>
    <row r="174">
      <c r="A174" s="12">
        <f>IFERROR(__xludf.DUMMYFUNCTION("""COMPUTED_VALUE"""),42508.66666666667)</f>
        <v>42508.66667</v>
      </c>
      <c r="B174" s="13">
        <f>IFERROR(__xludf.DUMMYFUNCTION("""COMPUTED_VALUE"""),2047.63)</f>
        <v>2047.63</v>
      </c>
      <c r="C174" s="13">
        <f t="shared" si="1"/>
        <v>2049.375</v>
      </c>
      <c r="D174" s="13">
        <f t="shared" si="2"/>
        <v>2046.4</v>
      </c>
      <c r="E174" s="13" t="str">
        <f t="shared" si="3"/>
        <v>LONG</v>
      </c>
      <c r="F174" s="3">
        <f t="shared" si="4"/>
        <v>0.0002051572628</v>
      </c>
      <c r="G174" s="4">
        <f t="shared" si="5"/>
        <v>0.9847404971</v>
      </c>
      <c r="H174" s="3">
        <f t="shared" si="6"/>
        <v>0.0002051572628</v>
      </c>
      <c r="I174" s="5">
        <f t="shared" si="7"/>
        <v>1.017606331</v>
      </c>
    </row>
    <row r="175">
      <c r="A175" s="12">
        <f>IFERROR(__xludf.DUMMYFUNCTION("""COMPUTED_VALUE"""),42509.66666666667)</f>
        <v>42509.66667</v>
      </c>
      <c r="B175" s="13">
        <f>IFERROR(__xludf.DUMMYFUNCTION("""COMPUTED_VALUE"""),2040.04)</f>
        <v>2040.04</v>
      </c>
      <c r="C175" s="13">
        <f t="shared" si="1"/>
        <v>2045.335</v>
      </c>
      <c r="D175" s="13">
        <f t="shared" si="2"/>
        <v>2053.35</v>
      </c>
      <c r="E175" s="13" t="str">
        <f t="shared" si="3"/>
        <v/>
      </c>
      <c r="F175" s="3">
        <f t="shared" si="4"/>
        <v>-0.003706724359</v>
      </c>
      <c r="G175" s="4">
        <f t="shared" si="5"/>
        <v>0.9810903355</v>
      </c>
      <c r="H175" s="5">
        <f t="shared" si="6"/>
        <v>0</v>
      </c>
      <c r="I175" s="5">
        <f t="shared" si="7"/>
        <v>1.017606331</v>
      </c>
    </row>
    <row r="176">
      <c r="A176" s="12">
        <f>IFERROR(__xludf.DUMMYFUNCTION("""COMPUTED_VALUE"""),42510.66666666667)</f>
        <v>42510.66667</v>
      </c>
      <c r="B176" s="13">
        <f>IFERROR(__xludf.DUMMYFUNCTION("""COMPUTED_VALUE"""),2052.32)</f>
        <v>2052.32</v>
      </c>
      <c r="C176" s="13">
        <f t="shared" si="1"/>
        <v>2054.73</v>
      </c>
      <c r="D176" s="13">
        <f t="shared" si="2"/>
        <v>2047.115</v>
      </c>
      <c r="E176" s="13" t="str">
        <f t="shared" si="3"/>
        <v>LONG</v>
      </c>
      <c r="F176" s="3">
        <f t="shared" si="4"/>
        <v>0.006019489814</v>
      </c>
      <c r="G176" s="4">
        <f t="shared" si="5"/>
        <v>0.9869959988</v>
      </c>
      <c r="H176" s="3">
        <f t="shared" si="6"/>
        <v>0.006019489814</v>
      </c>
      <c r="I176" s="5">
        <f t="shared" si="7"/>
        <v>1.023731802</v>
      </c>
    </row>
    <row r="177">
      <c r="A177" s="12">
        <f>IFERROR(__xludf.DUMMYFUNCTION("""COMPUTED_VALUE"""),42513.66666666667)</f>
        <v>42513.66667</v>
      </c>
      <c r="B177" s="13">
        <f>IFERROR(__xludf.DUMMYFUNCTION("""COMPUTED_VALUE"""),2048.04)</f>
        <v>2048.04</v>
      </c>
      <c r="C177" s="13">
        <f t="shared" si="1"/>
        <v>2053.365</v>
      </c>
      <c r="D177" s="13">
        <f t="shared" si="2"/>
        <v>2047.82</v>
      </c>
      <c r="E177" s="13" t="str">
        <f t="shared" si="3"/>
        <v>LONG</v>
      </c>
      <c r="F177" s="3">
        <f t="shared" si="4"/>
        <v>-0.002085444765</v>
      </c>
      <c r="G177" s="4">
        <f t="shared" si="5"/>
        <v>0.9849376731</v>
      </c>
      <c r="H177" s="3">
        <f t="shared" si="6"/>
        <v>-0.002085444765</v>
      </c>
      <c r="I177" s="5">
        <f t="shared" si="7"/>
        <v>1.021596866</v>
      </c>
    </row>
    <row r="178">
      <c r="A178" s="12">
        <f>IFERROR(__xludf.DUMMYFUNCTION("""COMPUTED_VALUE"""),42514.66666666667)</f>
        <v>42514.66667</v>
      </c>
      <c r="B178" s="13">
        <f>IFERROR(__xludf.DUMMYFUNCTION("""COMPUTED_VALUE"""),2076.06)</f>
        <v>2076.06</v>
      </c>
      <c r="C178" s="13">
        <f t="shared" si="1"/>
        <v>2080.225</v>
      </c>
      <c r="D178" s="13">
        <f t="shared" si="2"/>
        <v>2059.025</v>
      </c>
      <c r="E178" s="13" t="str">
        <f t="shared" si="3"/>
        <v>LONG</v>
      </c>
      <c r="F178" s="3">
        <f t="shared" si="4"/>
        <v>0.01368137341</v>
      </c>
      <c r="G178" s="4">
        <f t="shared" si="5"/>
        <v>0.9984129732</v>
      </c>
      <c r="H178" s="3">
        <f t="shared" si="6"/>
        <v>0.01368137341</v>
      </c>
      <c r="I178" s="5">
        <f t="shared" si="7"/>
        <v>1.035573714</v>
      </c>
    </row>
    <row r="179">
      <c r="A179" s="12">
        <f>IFERROR(__xludf.DUMMYFUNCTION("""COMPUTED_VALUE"""),42515.66666666667)</f>
        <v>42515.66667</v>
      </c>
      <c r="B179" s="13">
        <f>IFERROR(__xludf.DUMMYFUNCTION("""COMPUTED_VALUE"""),2090.54)</f>
        <v>2090.54</v>
      </c>
      <c r="C179" s="13">
        <f t="shared" si="1"/>
        <v>2077.5</v>
      </c>
      <c r="D179" s="13">
        <f t="shared" si="2"/>
        <v>2076.13</v>
      </c>
      <c r="E179" s="13" t="str">
        <f t="shared" si="3"/>
        <v>LONG</v>
      </c>
      <c r="F179" s="3">
        <f t="shared" si="4"/>
        <v>0.006974750248</v>
      </c>
      <c r="G179" s="4">
        <f t="shared" si="5"/>
        <v>1.005376654</v>
      </c>
      <c r="H179" s="3">
        <f t="shared" si="6"/>
        <v>0.006974750248</v>
      </c>
      <c r="I179" s="5">
        <f t="shared" si="7"/>
        <v>1.042796582</v>
      </c>
    </row>
    <row r="180">
      <c r="A180" s="12">
        <f>IFERROR(__xludf.DUMMYFUNCTION("""COMPUTED_VALUE"""),42516.66666666667)</f>
        <v>42516.66667</v>
      </c>
      <c r="B180" s="13">
        <f>IFERROR(__xludf.DUMMYFUNCTION("""COMPUTED_VALUE"""),2090.1)</f>
        <v>2090.1</v>
      </c>
      <c r="C180" s="13">
        <f t="shared" si="1"/>
        <v>2077.105</v>
      </c>
      <c r="D180" s="13">
        <f t="shared" si="2"/>
        <v>2086.26</v>
      </c>
      <c r="E180" s="13" t="str">
        <f t="shared" si="3"/>
        <v/>
      </c>
      <c r="F180" s="3">
        <f t="shared" si="4"/>
        <v>-0.0002104719355</v>
      </c>
      <c r="G180" s="4">
        <f t="shared" si="5"/>
        <v>1.005165051</v>
      </c>
      <c r="H180" s="5">
        <f t="shared" si="6"/>
        <v>0</v>
      </c>
      <c r="I180" s="5">
        <f t="shared" si="7"/>
        <v>1.042796582</v>
      </c>
    </row>
    <row r="181">
      <c r="A181" s="12">
        <f>IFERROR(__xludf.DUMMYFUNCTION("""COMPUTED_VALUE"""),42517.66666666667)</f>
        <v>42517.66667</v>
      </c>
      <c r="B181" s="13">
        <f>IFERROR(__xludf.DUMMYFUNCTION("""COMPUTED_VALUE"""),2099.06)</f>
        <v>2099.06</v>
      </c>
      <c r="C181" s="13">
        <f t="shared" si="1"/>
        <v>2072.835</v>
      </c>
      <c r="D181" s="13">
        <f t="shared" si="2"/>
        <v>2090.92</v>
      </c>
      <c r="E181" s="13" t="str">
        <f t="shared" si="3"/>
        <v/>
      </c>
      <c r="F181" s="3">
        <f t="shared" si="4"/>
        <v>0.004286876226</v>
      </c>
      <c r="G181" s="4">
        <f t="shared" si="5"/>
        <v>1.009474069</v>
      </c>
      <c r="H181" s="5">
        <f t="shared" si="6"/>
        <v>0</v>
      </c>
      <c r="I181" s="5">
        <f t="shared" si="7"/>
        <v>1.042796582</v>
      </c>
    </row>
    <row r="182">
      <c r="A182" s="12">
        <f>IFERROR(__xludf.DUMMYFUNCTION("""COMPUTED_VALUE"""),42521.66666666667)</f>
        <v>42521.66667</v>
      </c>
      <c r="B182" s="13">
        <f>IFERROR(__xludf.DUMMYFUNCTION("""COMPUTED_VALUE"""),2096.96)</f>
        <v>2096.96</v>
      </c>
      <c r="C182" s="13">
        <f t="shared" si="1"/>
        <v>2081.81</v>
      </c>
      <c r="D182" s="13">
        <f t="shared" si="2"/>
        <v>2088.845</v>
      </c>
      <c r="E182" s="13" t="str">
        <f t="shared" si="3"/>
        <v/>
      </c>
      <c r="F182" s="3">
        <f t="shared" si="4"/>
        <v>-0.00100044782</v>
      </c>
      <c r="G182" s="4">
        <f t="shared" si="5"/>
        <v>1.008464143</v>
      </c>
      <c r="H182" s="5">
        <f t="shared" si="6"/>
        <v>0</v>
      </c>
      <c r="I182" s="5">
        <f t="shared" si="7"/>
        <v>1.042796582</v>
      </c>
    </row>
    <row r="183">
      <c r="A183" s="12">
        <f>IFERROR(__xludf.DUMMYFUNCTION("""COMPUTED_VALUE"""),42522.66666666667)</f>
        <v>42522.66667</v>
      </c>
      <c r="B183" s="13">
        <f>IFERROR(__xludf.DUMMYFUNCTION("""COMPUTED_VALUE"""),2099.33)</f>
        <v>2099.33</v>
      </c>
      <c r="C183" s="13">
        <f t="shared" si="1"/>
        <v>2073.27</v>
      </c>
      <c r="D183" s="13">
        <f t="shared" si="2"/>
        <v>2096.835</v>
      </c>
      <c r="E183" s="13" t="str">
        <f t="shared" si="3"/>
        <v/>
      </c>
      <c r="F183" s="3">
        <f t="shared" si="4"/>
        <v>0.001130207539</v>
      </c>
      <c r="G183" s="4">
        <f t="shared" si="5"/>
        <v>1.009603917</v>
      </c>
      <c r="H183" s="5">
        <f t="shared" si="6"/>
        <v>0</v>
      </c>
      <c r="I183" s="5">
        <f t="shared" si="7"/>
        <v>1.042796582</v>
      </c>
    </row>
    <row r="184">
      <c r="A184" s="12">
        <f>IFERROR(__xludf.DUMMYFUNCTION("""COMPUTED_VALUE"""),42523.66666666667)</f>
        <v>42523.66667</v>
      </c>
      <c r="B184" s="13">
        <f>IFERROR(__xludf.DUMMYFUNCTION("""COMPUTED_VALUE"""),2105.26)</f>
        <v>2105.26</v>
      </c>
      <c r="C184" s="13">
        <f t="shared" si="1"/>
        <v>2076.445</v>
      </c>
      <c r="D184" s="13">
        <f t="shared" si="2"/>
        <v>2103.03</v>
      </c>
      <c r="E184" s="13" t="str">
        <f t="shared" si="3"/>
        <v/>
      </c>
      <c r="F184" s="3">
        <f t="shared" si="4"/>
        <v>0.002824710741</v>
      </c>
      <c r="G184" s="4">
        <f t="shared" si="5"/>
        <v>1.012455756</v>
      </c>
      <c r="H184" s="5">
        <f t="shared" si="6"/>
        <v>0</v>
      </c>
      <c r="I184" s="5">
        <f t="shared" si="7"/>
        <v>1.042796582</v>
      </c>
    </row>
    <row r="185">
      <c r="A185" s="12">
        <f>IFERROR(__xludf.DUMMYFUNCTION("""COMPUTED_VALUE"""),42524.66666666667)</f>
        <v>42524.66667</v>
      </c>
      <c r="B185" s="13">
        <f>IFERROR(__xludf.DUMMYFUNCTION("""COMPUTED_VALUE"""),2099.13)</f>
        <v>2099.13</v>
      </c>
      <c r="C185" s="13">
        <f t="shared" si="1"/>
        <v>2069.585</v>
      </c>
      <c r="D185" s="13">
        <f t="shared" si="2"/>
        <v>2100.765</v>
      </c>
      <c r="E185" s="13" t="str">
        <f t="shared" si="3"/>
        <v/>
      </c>
      <c r="F185" s="3">
        <f t="shared" si="4"/>
        <v>-0.002911754368</v>
      </c>
      <c r="G185" s="4">
        <f t="shared" si="5"/>
        <v>1.009507733</v>
      </c>
      <c r="H185" s="5">
        <f t="shared" si="6"/>
        <v>0</v>
      </c>
      <c r="I185" s="5">
        <f t="shared" si="7"/>
        <v>1.042796582</v>
      </c>
    </row>
    <row r="186">
      <c r="A186" s="12">
        <f>IFERROR(__xludf.DUMMYFUNCTION("""COMPUTED_VALUE"""),42527.66666666667)</f>
        <v>42527.66667</v>
      </c>
      <c r="B186" s="13">
        <f>IFERROR(__xludf.DUMMYFUNCTION("""COMPUTED_VALUE"""),2109.41)</f>
        <v>2109.41</v>
      </c>
      <c r="C186" s="13">
        <f t="shared" si="1"/>
        <v>2080.865</v>
      </c>
      <c r="D186" s="13">
        <f t="shared" si="2"/>
        <v>2100.445</v>
      </c>
      <c r="E186" s="13" t="str">
        <f t="shared" si="3"/>
        <v/>
      </c>
      <c r="F186" s="3">
        <f t="shared" si="4"/>
        <v>0.004897266963</v>
      </c>
      <c r="G186" s="4">
        <f t="shared" si="5"/>
        <v>1.014451562</v>
      </c>
      <c r="H186" s="5">
        <f t="shared" si="6"/>
        <v>0</v>
      </c>
      <c r="I186" s="5">
        <f t="shared" si="7"/>
        <v>1.042796582</v>
      </c>
    </row>
    <row r="187">
      <c r="A187" s="12">
        <f>IFERROR(__xludf.DUMMYFUNCTION("""COMPUTED_VALUE"""),42528.66666666667)</f>
        <v>42528.66667</v>
      </c>
      <c r="B187" s="13">
        <f>IFERROR(__xludf.DUMMYFUNCTION("""COMPUTED_VALUE"""),2112.13)</f>
        <v>2112.13</v>
      </c>
      <c r="C187" s="13">
        <f t="shared" si="1"/>
        <v>2080.085</v>
      </c>
      <c r="D187" s="13">
        <f t="shared" si="2"/>
        <v>2101.855</v>
      </c>
      <c r="E187" s="13" t="str">
        <f t="shared" si="3"/>
        <v/>
      </c>
      <c r="F187" s="3">
        <f t="shared" si="4"/>
        <v>0.001289460086</v>
      </c>
      <c r="G187" s="4">
        <f t="shared" si="5"/>
        <v>1.015759657</v>
      </c>
      <c r="H187" s="5">
        <f t="shared" si="6"/>
        <v>0</v>
      </c>
      <c r="I187" s="5">
        <f t="shared" si="7"/>
        <v>1.042796582</v>
      </c>
    </row>
    <row r="188">
      <c r="A188" s="12">
        <f>IFERROR(__xludf.DUMMYFUNCTION("""COMPUTED_VALUE"""),42529.66666666667)</f>
        <v>42529.66667</v>
      </c>
      <c r="B188" s="13">
        <f>IFERROR(__xludf.DUMMYFUNCTION("""COMPUTED_VALUE"""),2119.12)</f>
        <v>2119.12</v>
      </c>
      <c r="C188" s="13">
        <f t="shared" si="1"/>
        <v>2097.59</v>
      </c>
      <c r="D188" s="13">
        <f t="shared" si="2"/>
        <v>2103.455</v>
      </c>
      <c r="E188" s="13" t="str">
        <f t="shared" si="3"/>
        <v/>
      </c>
      <c r="F188" s="3">
        <f t="shared" si="4"/>
        <v>0.003309455384</v>
      </c>
      <c r="G188" s="4">
        <f t="shared" si="5"/>
        <v>1.019121268</v>
      </c>
      <c r="H188" s="5">
        <f t="shared" si="6"/>
        <v>0</v>
      </c>
      <c r="I188" s="5">
        <f t="shared" si="7"/>
        <v>1.042796582</v>
      </c>
    </row>
    <row r="189">
      <c r="A189" s="12">
        <f>IFERROR(__xludf.DUMMYFUNCTION("""COMPUTED_VALUE"""),42530.66666666667)</f>
        <v>42530.66667</v>
      </c>
      <c r="B189" s="13">
        <f>IFERROR(__xludf.DUMMYFUNCTION("""COMPUTED_VALUE"""),2115.48)</f>
        <v>2115.48</v>
      </c>
      <c r="C189" s="13">
        <f t="shared" si="1"/>
        <v>2103.01</v>
      </c>
      <c r="D189" s="13">
        <f t="shared" si="2"/>
        <v>2103.59</v>
      </c>
      <c r="E189" s="13" t="str">
        <f t="shared" si="3"/>
        <v/>
      </c>
      <c r="F189" s="3">
        <f t="shared" si="4"/>
        <v>-0.001717694137</v>
      </c>
      <c r="G189" s="4">
        <f t="shared" si="5"/>
        <v>1.017370729</v>
      </c>
      <c r="H189" s="5">
        <f t="shared" si="6"/>
        <v>0</v>
      </c>
      <c r="I189" s="5">
        <f t="shared" si="7"/>
        <v>1.042796582</v>
      </c>
    </row>
    <row r="190">
      <c r="A190" s="12">
        <f>IFERROR(__xludf.DUMMYFUNCTION("""COMPUTED_VALUE"""),42531.66666666667)</f>
        <v>42531.66667</v>
      </c>
      <c r="B190" s="13">
        <f>IFERROR(__xludf.DUMMYFUNCTION("""COMPUTED_VALUE"""),2096.07)</f>
        <v>2096.07</v>
      </c>
      <c r="C190" s="13">
        <f t="shared" si="1"/>
        <v>2093.085</v>
      </c>
      <c r="D190" s="13">
        <f t="shared" si="2"/>
        <v>2095.61</v>
      </c>
      <c r="E190" s="13" t="str">
        <f t="shared" si="3"/>
        <v/>
      </c>
      <c r="F190" s="3">
        <f t="shared" si="4"/>
        <v>-0.009175222645</v>
      </c>
      <c r="G190" s="4">
        <f t="shared" si="5"/>
        <v>1.008036127</v>
      </c>
      <c r="H190" s="5">
        <f t="shared" si="6"/>
        <v>0</v>
      </c>
      <c r="I190" s="5">
        <f t="shared" si="7"/>
        <v>1.042796582</v>
      </c>
    </row>
    <row r="191">
      <c r="A191" s="12">
        <f>IFERROR(__xludf.DUMMYFUNCTION("""COMPUTED_VALUE"""),42534.66666666667)</f>
        <v>42534.66667</v>
      </c>
      <c r="B191" s="13">
        <f>IFERROR(__xludf.DUMMYFUNCTION("""COMPUTED_VALUE"""),2079.06)</f>
        <v>2079.06</v>
      </c>
      <c r="C191" s="13">
        <f t="shared" si="1"/>
        <v>2089.06</v>
      </c>
      <c r="D191" s="13">
        <f t="shared" si="2"/>
        <v>2077.435</v>
      </c>
      <c r="E191" s="13" t="str">
        <f t="shared" si="3"/>
        <v>LONG</v>
      </c>
      <c r="F191" s="3">
        <f t="shared" si="4"/>
        <v>-0.008115186993</v>
      </c>
      <c r="G191" s="4">
        <f t="shared" si="5"/>
        <v>0.9998557248</v>
      </c>
      <c r="H191" s="3">
        <f t="shared" si="6"/>
        <v>-0.008115186993</v>
      </c>
      <c r="I191" s="5">
        <f t="shared" si="7"/>
        <v>1.034334093</v>
      </c>
    </row>
    <row r="192">
      <c r="A192" s="12">
        <f>IFERROR(__xludf.DUMMYFUNCTION("""COMPUTED_VALUE"""),42535.66666666667)</f>
        <v>42535.66667</v>
      </c>
      <c r="B192" s="13">
        <f>IFERROR(__xludf.DUMMYFUNCTION("""COMPUTED_VALUE"""),2075.32)</f>
        <v>2075.32</v>
      </c>
      <c r="C192" s="13">
        <f t="shared" si="1"/>
        <v>2086.14</v>
      </c>
      <c r="D192" s="13">
        <f t="shared" si="2"/>
        <v>2070.31</v>
      </c>
      <c r="E192" s="13" t="str">
        <f t="shared" si="3"/>
        <v>LONG</v>
      </c>
      <c r="F192" s="3">
        <f t="shared" si="4"/>
        <v>-0.001798889883</v>
      </c>
      <c r="G192" s="4">
        <f t="shared" si="5"/>
        <v>0.9980570945</v>
      </c>
      <c r="H192" s="3">
        <f t="shared" si="6"/>
        <v>-0.001798889883</v>
      </c>
      <c r="I192" s="5">
        <f t="shared" si="7"/>
        <v>1.03247344</v>
      </c>
    </row>
    <row r="193">
      <c r="A193" s="12">
        <f>IFERROR(__xludf.DUMMYFUNCTION("""COMPUTED_VALUE"""),42536.66666666667)</f>
        <v>42536.66667</v>
      </c>
      <c r="B193" s="13">
        <f>IFERROR(__xludf.DUMMYFUNCTION("""COMPUTED_VALUE"""),2071.5)</f>
        <v>2071.5</v>
      </c>
      <c r="C193" s="13">
        <f t="shared" si="1"/>
        <v>2085.415</v>
      </c>
      <c r="D193" s="13">
        <f t="shared" si="2"/>
        <v>2076.465</v>
      </c>
      <c r="E193" s="13" t="str">
        <f t="shared" si="3"/>
        <v>LONG</v>
      </c>
      <c r="F193" s="3">
        <f t="shared" si="4"/>
        <v>-0.001840679992</v>
      </c>
      <c r="G193" s="4">
        <f t="shared" si="5"/>
        <v>0.9962199908</v>
      </c>
      <c r="H193" s="3">
        <f t="shared" si="6"/>
        <v>-0.001840679992</v>
      </c>
      <c r="I193" s="5">
        <f t="shared" si="7"/>
        <v>1.030572987</v>
      </c>
    </row>
    <row r="194">
      <c r="A194" s="12">
        <f>IFERROR(__xludf.DUMMYFUNCTION("""COMPUTED_VALUE"""),42537.66666666667)</f>
        <v>42537.66667</v>
      </c>
      <c r="B194" s="13">
        <f>IFERROR(__xludf.DUMMYFUNCTION("""COMPUTED_VALUE"""),2077.99)</f>
        <v>2077.99</v>
      </c>
      <c r="C194" s="13">
        <f t="shared" si="1"/>
        <v>2091.625</v>
      </c>
      <c r="D194" s="13">
        <f t="shared" si="2"/>
        <v>2070.68</v>
      </c>
      <c r="E194" s="13" t="str">
        <f t="shared" si="3"/>
        <v>LONG</v>
      </c>
      <c r="F194" s="3">
        <f t="shared" si="4"/>
        <v>0.003132995414</v>
      </c>
      <c r="G194" s="4">
        <f t="shared" si="5"/>
        <v>0.9993411434</v>
      </c>
      <c r="H194" s="3">
        <f t="shared" si="6"/>
        <v>0.003132995414</v>
      </c>
      <c r="I194" s="5">
        <f t="shared" si="7"/>
        <v>1.033801767</v>
      </c>
    </row>
    <row r="195">
      <c r="A195" s="12">
        <f>IFERROR(__xludf.DUMMYFUNCTION("""COMPUTED_VALUE"""),42538.66666666667)</f>
        <v>42538.66667</v>
      </c>
      <c r="B195" s="13">
        <f>IFERROR(__xludf.DUMMYFUNCTION("""COMPUTED_VALUE"""),2071.22)</f>
        <v>2071.22</v>
      </c>
      <c r="C195" s="13">
        <f t="shared" si="1"/>
        <v>2085.175</v>
      </c>
      <c r="D195" s="13">
        <f t="shared" si="2"/>
        <v>2061.17</v>
      </c>
      <c r="E195" s="13" t="str">
        <f t="shared" si="3"/>
        <v>LONG</v>
      </c>
      <c r="F195" s="3">
        <f t="shared" si="4"/>
        <v>-0.003257956006</v>
      </c>
      <c r="G195" s="4">
        <f t="shared" si="5"/>
        <v>0.9960853339</v>
      </c>
      <c r="H195" s="3">
        <f t="shared" si="6"/>
        <v>-0.003257956006</v>
      </c>
      <c r="I195" s="5">
        <f t="shared" si="7"/>
        <v>1.030433686</v>
      </c>
    </row>
    <row r="196">
      <c r="A196" s="12">
        <f>IFERROR(__xludf.DUMMYFUNCTION("""COMPUTED_VALUE"""),42541.66666666667)</f>
        <v>42541.66667</v>
      </c>
      <c r="B196" s="13">
        <f>IFERROR(__xludf.DUMMYFUNCTION("""COMPUTED_VALUE"""),2083.25)</f>
        <v>2083.25</v>
      </c>
      <c r="C196" s="13">
        <f t="shared" si="1"/>
        <v>2096.33</v>
      </c>
      <c r="D196" s="13">
        <f t="shared" si="2"/>
        <v>2066.94</v>
      </c>
      <c r="E196" s="13" t="str">
        <f t="shared" si="3"/>
        <v>LONG</v>
      </c>
      <c r="F196" s="3">
        <f t="shared" si="4"/>
        <v>0.00580817103</v>
      </c>
      <c r="G196" s="4">
        <f t="shared" si="5"/>
        <v>1.001870768</v>
      </c>
      <c r="H196" s="3">
        <f t="shared" si="6"/>
        <v>0.00580817103</v>
      </c>
      <c r="I196" s="5">
        <f t="shared" si="7"/>
        <v>1.036418621</v>
      </c>
    </row>
    <row r="197">
      <c r="A197" s="12">
        <f>IFERROR(__xludf.DUMMYFUNCTION("""COMPUTED_VALUE"""),42542.66666666667)</f>
        <v>42542.66667</v>
      </c>
      <c r="B197" s="13">
        <f>IFERROR(__xludf.DUMMYFUNCTION("""COMPUTED_VALUE"""),2088.9)</f>
        <v>2088.9</v>
      </c>
      <c r="C197" s="13">
        <f t="shared" si="1"/>
        <v>2100.515</v>
      </c>
      <c r="D197" s="13">
        <f t="shared" si="2"/>
        <v>2073.02</v>
      </c>
      <c r="E197" s="13" t="str">
        <f t="shared" si="3"/>
        <v>LONG</v>
      </c>
      <c r="F197" s="3">
        <f t="shared" si="4"/>
        <v>0.002712108484</v>
      </c>
      <c r="G197" s="4">
        <f t="shared" si="5"/>
        <v>1.00458795</v>
      </c>
      <c r="H197" s="3">
        <f t="shared" si="6"/>
        <v>0.002712108484</v>
      </c>
      <c r="I197" s="5">
        <f t="shared" si="7"/>
        <v>1.039229501</v>
      </c>
    </row>
    <row r="198">
      <c r="A198" s="12">
        <f>IFERROR(__xludf.DUMMYFUNCTION("""COMPUTED_VALUE"""),42543.66666666667)</f>
        <v>42543.66667</v>
      </c>
      <c r="B198" s="13">
        <f>IFERROR(__xludf.DUMMYFUNCTION("""COMPUTED_VALUE"""),2085.45)</f>
        <v>2085.45</v>
      </c>
      <c r="C198" s="13">
        <f t="shared" si="1"/>
        <v>2102.285</v>
      </c>
      <c r="D198" s="13">
        <f t="shared" si="2"/>
        <v>2072.07</v>
      </c>
      <c r="E198" s="13" t="str">
        <f t="shared" si="3"/>
        <v>LONG</v>
      </c>
      <c r="F198" s="3">
        <f t="shared" si="4"/>
        <v>-0.00165158696</v>
      </c>
      <c r="G198" s="4">
        <f t="shared" si="5"/>
        <v>1.002928786</v>
      </c>
      <c r="H198" s="3">
        <f t="shared" si="6"/>
        <v>-0.00165158696</v>
      </c>
      <c r="I198" s="5">
        <f t="shared" si="7"/>
        <v>1.037513123</v>
      </c>
    </row>
    <row r="199">
      <c r="A199" s="12">
        <f>IFERROR(__xludf.DUMMYFUNCTION("""COMPUTED_VALUE"""),42544.66666666667)</f>
        <v>42544.66667</v>
      </c>
      <c r="B199" s="13">
        <f>IFERROR(__xludf.DUMMYFUNCTION("""COMPUTED_VALUE"""),2113.32)</f>
        <v>2113.32</v>
      </c>
      <c r="C199" s="13">
        <f t="shared" si="1"/>
        <v>2114.4</v>
      </c>
      <c r="D199" s="13">
        <f t="shared" si="2"/>
        <v>2098.855</v>
      </c>
      <c r="E199" s="13" t="str">
        <f t="shared" si="3"/>
        <v>LONG</v>
      </c>
      <c r="F199" s="3">
        <f t="shared" si="4"/>
        <v>0.01336402215</v>
      </c>
      <c r="G199" s="4">
        <f t="shared" si="5"/>
        <v>1.016331948</v>
      </c>
      <c r="H199" s="3">
        <f t="shared" si="6"/>
        <v>0.01336402215</v>
      </c>
      <c r="I199" s="5">
        <f t="shared" si="7"/>
        <v>1.051378472</v>
      </c>
    </row>
    <row r="200">
      <c r="A200" s="12">
        <f>IFERROR(__xludf.DUMMYFUNCTION("""COMPUTED_VALUE"""),42545.66666666667)</f>
        <v>42545.66667</v>
      </c>
      <c r="B200" s="13">
        <f>IFERROR(__xludf.DUMMYFUNCTION("""COMPUTED_VALUE"""),2037.41)</f>
        <v>2037.41</v>
      </c>
      <c r="C200" s="13">
        <f t="shared" si="1"/>
        <v>2066.74</v>
      </c>
      <c r="D200" s="13">
        <f t="shared" si="2"/>
        <v>2050.935</v>
      </c>
      <c r="E200" s="13" t="str">
        <f t="shared" si="3"/>
        <v>LONG</v>
      </c>
      <c r="F200" s="3">
        <f t="shared" si="4"/>
        <v>-0.03591978498</v>
      </c>
      <c r="G200" s="4">
        <f t="shared" si="5"/>
        <v>0.9798255232</v>
      </c>
      <c r="H200" s="3">
        <f t="shared" si="6"/>
        <v>-0.03591978498</v>
      </c>
      <c r="I200" s="5">
        <f t="shared" si="7"/>
        <v>1.013613183</v>
      </c>
    </row>
    <row r="201">
      <c r="A201" s="12">
        <f>IFERROR(__xludf.DUMMYFUNCTION("""COMPUTED_VALUE"""),42548.66666666667)</f>
        <v>42548.66667</v>
      </c>
      <c r="B201" s="13">
        <f>IFERROR(__xludf.DUMMYFUNCTION("""COMPUTED_VALUE"""),2000.54)</f>
        <v>2000.54</v>
      </c>
      <c r="C201" s="13">
        <f t="shared" si="1"/>
        <v>2039.8</v>
      </c>
      <c r="D201" s="13">
        <f t="shared" si="2"/>
        <v>2032.325</v>
      </c>
      <c r="E201" s="13" t="str">
        <f t="shared" si="3"/>
        <v>LONG</v>
      </c>
      <c r="F201" s="3">
        <f t="shared" si="4"/>
        <v>-0.01809650488</v>
      </c>
      <c r="G201" s="4">
        <f t="shared" si="5"/>
        <v>0.9620941059</v>
      </c>
      <c r="H201" s="3">
        <f t="shared" si="6"/>
        <v>-0.01809650488</v>
      </c>
      <c r="I201" s="5">
        <f t="shared" si="7"/>
        <v>0.9952703271</v>
      </c>
    </row>
    <row r="202">
      <c r="A202" s="12">
        <f>IFERROR(__xludf.DUMMYFUNCTION("""COMPUTED_VALUE"""),42549.66666666667)</f>
        <v>42549.66667</v>
      </c>
      <c r="B202" s="13">
        <f>IFERROR(__xludf.DUMMYFUNCTION("""COMPUTED_VALUE"""),2036.09)</f>
        <v>2036.09</v>
      </c>
      <c r="C202" s="13">
        <f t="shared" si="1"/>
        <v>2055.705</v>
      </c>
      <c r="D202" s="13">
        <f t="shared" si="2"/>
        <v>2041.35</v>
      </c>
      <c r="E202" s="13" t="str">
        <f t="shared" si="3"/>
        <v>LONG</v>
      </c>
      <c r="F202" s="3">
        <f t="shared" si="4"/>
        <v>0.01777020205</v>
      </c>
      <c r="G202" s="4">
        <f t="shared" si="5"/>
        <v>0.9791907125</v>
      </c>
      <c r="H202" s="3">
        <f t="shared" si="6"/>
        <v>0.01777020205</v>
      </c>
      <c r="I202" s="5">
        <f t="shared" si="7"/>
        <v>1.012956482</v>
      </c>
    </row>
    <row r="203">
      <c r="A203" s="12">
        <f>IFERROR(__xludf.DUMMYFUNCTION("""COMPUTED_VALUE"""),42550.66666666667)</f>
        <v>42550.66667</v>
      </c>
      <c r="B203" s="13">
        <f>IFERROR(__xludf.DUMMYFUNCTION("""COMPUTED_VALUE"""),2070.77)</f>
        <v>2070.77</v>
      </c>
      <c r="C203" s="13">
        <f t="shared" si="1"/>
        <v>2071.135</v>
      </c>
      <c r="D203" s="13">
        <f t="shared" si="2"/>
        <v>2068.715</v>
      </c>
      <c r="E203" s="13" t="str">
        <f t="shared" si="3"/>
        <v>LONG</v>
      </c>
      <c r="F203" s="3">
        <f t="shared" si="4"/>
        <v>0.0170326459</v>
      </c>
      <c r="G203" s="4">
        <f t="shared" si="5"/>
        <v>0.9958689212</v>
      </c>
      <c r="H203" s="3">
        <f t="shared" si="6"/>
        <v>0.0170326459</v>
      </c>
      <c r="I203" s="5">
        <f t="shared" si="7"/>
        <v>1.030209811</v>
      </c>
    </row>
    <row r="204">
      <c r="A204" s="12">
        <f>IFERROR(__xludf.DUMMYFUNCTION("""COMPUTED_VALUE"""),42551.66666666667)</f>
        <v>42551.66667</v>
      </c>
      <c r="B204" s="13">
        <f>IFERROR(__xludf.DUMMYFUNCTION("""COMPUTED_VALUE"""),2098.86)</f>
        <v>2098.86</v>
      </c>
      <c r="C204" s="13">
        <f t="shared" si="1"/>
        <v>2088.425</v>
      </c>
      <c r="D204" s="13">
        <f t="shared" si="2"/>
        <v>2073.035</v>
      </c>
      <c r="E204" s="13" t="str">
        <f t="shared" si="3"/>
        <v>LONG</v>
      </c>
      <c r="F204" s="3">
        <f t="shared" si="4"/>
        <v>0.01356500239</v>
      </c>
      <c r="G204" s="4">
        <f t="shared" si="5"/>
        <v>1.009377886</v>
      </c>
      <c r="H204" s="3">
        <f t="shared" si="6"/>
        <v>0.01356500239</v>
      </c>
      <c r="I204" s="5">
        <f t="shared" si="7"/>
        <v>1.044184609</v>
      </c>
    </row>
    <row r="205">
      <c r="A205" s="12">
        <f>IFERROR(__xludf.DUMMYFUNCTION("""COMPUTED_VALUE"""),42552.66666666667)</f>
        <v>42552.66667</v>
      </c>
      <c r="B205" s="13">
        <f>IFERROR(__xludf.DUMMYFUNCTION("""COMPUTED_VALUE"""),2102.95)</f>
        <v>2102.95</v>
      </c>
      <c r="C205" s="13">
        <f t="shared" si="1"/>
        <v>2087.085</v>
      </c>
      <c r="D205" s="13">
        <f t="shared" si="2"/>
        <v>2075.29</v>
      </c>
      <c r="E205" s="13" t="str">
        <f t="shared" si="3"/>
        <v>LONG</v>
      </c>
      <c r="F205" s="3">
        <f t="shared" si="4"/>
        <v>0.001948676901</v>
      </c>
      <c r="G205" s="4">
        <f t="shared" si="5"/>
        <v>1.011344837</v>
      </c>
      <c r="H205" s="3">
        <f t="shared" si="6"/>
        <v>0.001948676901</v>
      </c>
      <c r="I205" s="5">
        <f t="shared" si="7"/>
        <v>1.046219388</v>
      </c>
    </row>
    <row r="206">
      <c r="A206" s="12">
        <f>IFERROR(__xludf.DUMMYFUNCTION("""COMPUTED_VALUE"""),42556.66666666667)</f>
        <v>42556.66667</v>
      </c>
      <c r="B206" s="13">
        <f>IFERROR(__xludf.DUMMYFUNCTION("""COMPUTED_VALUE"""),2088.55)</f>
        <v>2088.55</v>
      </c>
      <c r="C206" s="13">
        <f t="shared" si="1"/>
        <v>2085.9</v>
      </c>
      <c r="D206" s="13">
        <f t="shared" si="2"/>
        <v>2064.295</v>
      </c>
      <c r="E206" s="13" t="str">
        <f t="shared" si="3"/>
        <v>LONG</v>
      </c>
      <c r="F206" s="3">
        <f t="shared" si="4"/>
        <v>-0.006847523717</v>
      </c>
      <c r="G206" s="4">
        <f t="shared" si="5"/>
        <v>1.004419629</v>
      </c>
      <c r="H206" s="3">
        <f t="shared" si="6"/>
        <v>-0.006847523717</v>
      </c>
      <c r="I206" s="5">
        <f t="shared" si="7"/>
        <v>1.039055376</v>
      </c>
    </row>
    <row r="207">
      <c r="A207" s="12">
        <f>IFERROR(__xludf.DUMMYFUNCTION("""COMPUTED_VALUE"""),42557.66666666667)</f>
        <v>42557.66667</v>
      </c>
      <c r="B207" s="13">
        <f>IFERROR(__xludf.DUMMYFUNCTION("""COMPUTED_VALUE"""),2099.73)</f>
        <v>2099.73</v>
      </c>
      <c r="C207" s="13">
        <f t="shared" si="1"/>
        <v>2094.315</v>
      </c>
      <c r="D207" s="13">
        <f t="shared" si="2"/>
        <v>2076.025</v>
      </c>
      <c r="E207" s="13" t="str">
        <f t="shared" si="3"/>
        <v>LONG</v>
      </c>
      <c r="F207" s="3">
        <f t="shared" si="4"/>
        <v>0.005352996098</v>
      </c>
      <c r="G207" s="4">
        <f t="shared" si="5"/>
        <v>1.009796283</v>
      </c>
      <c r="H207" s="3">
        <f t="shared" si="6"/>
        <v>0.005352996098</v>
      </c>
      <c r="I207" s="5">
        <f t="shared" si="7"/>
        <v>1.044617435</v>
      </c>
    </row>
    <row r="208">
      <c r="A208" s="12">
        <f>IFERROR(__xludf.DUMMYFUNCTION("""COMPUTED_VALUE"""),42558.66666666667)</f>
        <v>42558.66667</v>
      </c>
      <c r="B208" s="13">
        <f>IFERROR(__xludf.DUMMYFUNCTION("""COMPUTED_VALUE"""),2097.9)</f>
        <v>2097.9</v>
      </c>
      <c r="C208" s="13">
        <f t="shared" si="1"/>
        <v>2091.675</v>
      </c>
      <c r="D208" s="13">
        <f t="shared" si="2"/>
        <v>2072.97</v>
      </c>
      <c r="E208" s="13" t="str">
        <f t="shared" si="3"/>
        <v>LONG</v>
      </c>
      <c r="F208" s="3">
        <f t="shared" si="4"/>
        <v>-0.0008715406267</v>
      </c>
      <c r="G208" s="4">
        <f t="shared" si="5"/>
        <v>1.008916205</v>
      </c>
      <c r="H208" s="3">
        <f t="shared" si="6"/>
        <v>-0.0008715406267</v>
      </c>
      <c r="I208" s="5">
        <f t="shared" si="7"/>
        <v>1.043707009</v>
      </c>
    </row>
    <row r="209">
      <c r="A209" s="12">
        <f>IFERROR(__xludf.DUMMYFUNCTION("""COMPUTED_VALUE"""),42559.66666666667)</f>
        <v>42559.66667</v>
      </c>
      <c r="B209" s="13">
        <f>IFERROR(__xludf.DUMMYFUNCTION("""COMPUTED_VALUE"""),2129.9)</f>
        <v>2129.9</v>
      </c>
      <c r="C209" s="13">
        <f t="shared" si="1"/>
        <v>2121.61</v>
      </c>
      <c r="D209" s="13">
        <f t="shared" si="2"/>
        <v>2102.98</v>
      </c>
      <c r="E209" s="13" t="str">
        <f t="shared" si="3"/>
        <v>LONG</v>
      </c>
      <c r="F209" s="3">
        <f t="shared" si="4"/>
        <v>0.01525334859</v>
      </c>
      <c r="G209" s="4">
        <f t="shared" si="5"/>
        <v>1.024305556</v>
      </c>
      <c r="H209" s="3">
        <f t="shared" si="6"/>
        <v>0.01525334859</v>
      </c>
      <c r="I209" s="5">
        <f t="shared" si="7"/>
        <v>1.059627036</v>
      </c>
    </row>
    <row r="210">
      <c r="A210" s="12">
        <f>IFERROR(__xludf.DUMMYFUNCTION("""COMPUTED_VALUE"""),42562.66666666667)</f>
        <v>42562.66667</v>
      </c>
      <c r="B210" s="13">
        <f>IFERROR(__xludf.DUMMYFUNCTION("""COMPUTED_VALUE"""),2137.16)</f>
        <v>2137.16</v>
      </c>
      <c r="C210" s="13">
        <f t="shared" si="1"/>
        <v>2087.285</v>
      </c>
      <c r="D210" s="13">
        <f t="shared" si="2"/>
        <v>2113.85</v>
      </c>
      <c r="E210" s="13" t="str">
        <f t="shared" si="3"/>
        <v/>
      </c>
      <c r="F210" s="3">
        <f t="shared" si="4"/>
        <v>0.003408610733</v>
      </c>
      <c r="G210" s="4">
        <f t="shared" si="5"/>
        <v>1.027797014</v>
      </c>
      <c r="H210" s="5">
        <f t="shared" si="6"/>
        <v>0</v>
      </c>
      <c r="I210" s="5">
        <f t="shared" si="7"/>
        <v>1.059627036</v>
      </c>
    </row>
    <row r="211">
      <c r="A211" s="12">
        <f>IFERROR(__xludf.DUMMYFUNCTION("""COMPUTED_VALUE"""),42563.66666666667)</f>
        <v>42563.66667</v>
      </c>
      <c r="B211" s="13">
        <f>IFERROR(__xludf.DUMMYFUNCTION("""COMPUTED_VALUE"""),2152.14)</f>
        <v>2152.14</v>
      </c>
      <c r="C211" s="13">
        <f t="shared" si="1"/>
        <v>2076.34</v>
      </c>
      <c r="D211" s="13">
        <f t="shared" si="2"/>
        <v>2121.12</v>
      </c>
      <c r="E211" s="13" t="str">
        <f t="shared" si="3"/>
        <v/>
      </c>
      <c r="F211" s="3">
        <f t="shared" si="4"/>
        <v>0.007009302064</v>
      </c>
      <c r="G211" s="4">
        <f t="shared" si="5"/>
        <v>1.035001154</v>
      </c>
      <c r="H211" s="5">
        <f t="shared" si="6"/>
        <v>0</v>
      </c>
      <c r="I211" s="5">
        <f t="shared" si="7"/>
        <v>1.059627036</v>
      </c>
    </row>
    <row r="212">
      <c r="A212" s="12">
        <f>IFERROR(__xludf.DUMMYFUNCTION("""COMPUTED_VALUE"""),42564.66666666667)</f>
        <v>42564.66667</v>
      </c>
      <c r="B212" s="13">
        <f>IFERROR(__xludf.DUMMYFUNCTION("""COMPUTED_VALUE"""),2152.43)</f>
        <v>2152.43</v>
      </c>
      <c r="C212" s="13">
        <f t="shared" si="1"/>
        <v>2094.26</v>
      </c>
      <c r="D212" s="13">
        <f t="shared" si="2"/>
        <v>2125.745</v>
      </c>
      <c r="E212" s="13" t="str">
        <f t="shared" si="3"/>
        <v/>
      </c>
      <c r="F212" s="3">
        <f t="shared" si="4"/>
        <v>0.0001347495981</v>
      </c>
      <c r="G212" s="4">
        <f t="shared" si="5"/>
        <v>1.03514062</v>
      </c>
      <c r="H212" s="5">
        <f t="shared" si="6"/>
        <v>0</v>
      </c>
      <c r="I212" s="5">
        <f t="shared" si="7"/>
        <v>1.059627036</v>
      </c>
    </row>
    <row r="213">
      <c r="A213" s="12">
        <f>IFERROR(__xludf.DUMMYFUNCTION("""COMPUTED_VALUE"""),42565.66666666667)</f>
        <v>42565.66667</v>
      </c>
      <c r="B213" s="13">
        <f>IFERROR(__xludf.DUMMYFUNCTION("""COMPUTED_VALUE"""),2163.75)</f>
        <v>2163.75</v>
      </c>
      <c r="C213" s="13">
        <f t="shared" si="1"/>
        <v>2117.26</v>
      </c>
      <c r="D213" s="13">
        <f t="shared" si="2"/>
        <v>2130.355</v>
      </c>
      <c r="E213" s="13" t="str">
        <f t="shared" si="3"/>
        <v/>
      </c>
      <c r="F213" s="3">
        <f t="shared" si="4"/>
        <v>0.005259172191</v>
      </c>
      <c r="G213" s="4">
        <f t="shared" si="5"/>
        <v>1.040584603</v>
      </c>
      <c r="H213" s="5">
        <f t="shared" si="6"/>
        <v>0</v>
      </c>
      <c r="I213" s="5">
        <f t="shared" si="7"/>
        <v>1.059627036</v>
      </c>
    </row>
    <row r="214">
      <c r="A214" s="12">
        <f>IFERROR(__xludf.DUMMYFUNCTION("""COMPUTED_VALUE"""),42566.66666666667)</f>
        <v>42566.66667</v>
      </c>
      <c r="B214" s="13">
        <f>IFERROR(__xludf.DUMMYFUNCTION("""COMPUTED_VALUE"""),2161.74)</f>
        <v>2161.74</v>
      </c>
      <c r="C214" s="13">
        <f t="shared" si="1"/>
        <v>2130.3</v>
      </c>
      <c r="D214" s="13">
        <f t="shared" si="2"/>
        <v>2130.535</v>
      </c>
      <c r="E214" s="13" t="str">
        <f t="shared" si="3"/>
        <v/>
      </c>
      <c r="F214" s="3">
        <f t="shared" si="4"/>
        <v>-0.0009289428076</v>
      </c>
      <c r="G214" s="4">
        <f t="shared" si="5"/>
        <v>1.039617959</v>
      </c>
      <c r="H214" s="5">
        <f t="shared" si="6"/>
        <v>0</v>
      </c>
      <c r="I214" s="5">
        <f t="shared" si="7"/>
        <v>1.059627036</v>
      </c>
    </row>
    <row r="215">
      <c r="A215" s="12">
        <f>IFERROR(__xludf.DUMMYFUNCTION("""COMPUTED_VALUE"""),42569.66666666667)</f>
        <v>42569.66667</v>
      </c>
      <c r="B215" s="13">
        <f>IFERROR(__xludf.DUMMYFUNCTION("""COMPUTED_VALUE"""),2166.89)</f>
        <v>2166.89</v>
      </c>
      <c r="C215" s="13">
        <f t="shared" si="1"/>
        <v>2134.92</v>
      </c>
      <c r="D215" s="13">
        <f t="shared" si="2"/>
        <v>2136.075</v>
      </c>
      <c r="E215" s="13" t="str">
        <f t="shared" si="3"/>
        <v/>
      </c>
      <c r="F215" s="3">
        <f t="shared" si="4"/>
        <v>0.002382340152</v>
      </c>
      <c r="G215" s="4">
        <f t="shared" si="5"/>
        <v>1.042094683</v>
      </c>
      <c r="H215" s="5">
        <f t="shared" si="6"/>
        <v>0</v>
      </c>
      <c r="I215" s="5">
        <f t="shared" si="7"/>
        <v>1.059627036</v>
      </c>
    </row>
    <row r="216">
      <c r="A216" s="12">
        <f>IFERROR(__xludf.DUMMYFUNCTION("""COMPUTED_VALUE"""),42570.66666666667)</f>
        <v>42570.66667</v>
      </c>
      <c r="B216" s="13">
        <f>IFERROR(__xludf.DUMMYFUNCTION("""COMPUTED_VALUE"""),2163.78)</f>
        <v>2163.78</v>
      </c>
      <c r="C216" s="13">
        <f t="shared" si="1"/>
        <v>2126.165</v>
      </c>
      <c r="D216" s="13">
        <f t="shared" si="2"/>
        <v>2131.455</v>
      </c>
      <c r="E216" s="13" t="str">
        <f t="shared" si="3"/>
        <v/>
      </c>
      <c r="F216" s="3">
        <f t="shared" si="4"/>
        <v>-0.001435236676</v>
      </c>
      <c r="G216" s="4">
        <f t="shared" si="5"/>
        <v>1.04059903</v>
      </c>
      <c r="H216" s="5">
        <f t="shared" si="6"/>
        <v>0</v>
      </c>
      <c r="I216" s="5">
        <f t="shared" si="7"/>
        <v>1.059627036</v>
      </c>
    </row>
    <row r="217">
      <c r="A217" s="12">
        <f>IFERROR(__xludf.DUMMYFUNCTION("""COMPUTED_VALUE"""),42571.66666666667)</f>
        <v>42571.66667</v>
      </c>
      <c r="B217" s="13">
        <f>IFERROR(__xludf.DUMMYFUNCTION("""COMPUTED_VALUE"""),2173.02)</f>
        <v>2173.02</v>
      </c>
      <c r="C217" s="13">
        <f t="shared" si="1"/>
        <v>2136.375</v>
      </c>
      <c r="D217" s="13">
        <f t="shared" si="2"/>
        <v>2141.215</v>
      </c>
      <c r="E217" s="13" t="str">
        <f t="shared" si="3"/>
        <v/>
      </c>
      <c r="F217" s="3">
        <f t="shared" si="4"/>
        <v>0.004270304744</v>
      </c>
      <c r="G217" s="4">
        <f t="shared" si="5"/>
        <v>1.045042705</v>
      </c>
      <c r="H217" s="5">
        <f t="shared" si="6"/>
        <v>0</v>
      </c>
      <c r="I217" s="5">
        <f t="shared" si="7"/>
        <v>1.059627036</v>
      </c>
    </row>
    <row r="218">
      <c r="A218" s="12">
        <f>IFERROR(__xludf.DUMMYFUNCTION("""COMPUTED_VALUE"""),42572.66666666667)</f>
        <v>42572.66667</v>
      </c>
      <c r="B218" s="13">
        <f>IFERROR(__xludf.DUMMYFUNCTION("""COMPUTED_VALUE"""),2165.17)</f>
        <v>2165.17</v>
      </c>
      <c r="C218" s="13">
        <f t="shared" si="1"/>
        <v>2131.535</v>
      </c>
      <c r="D218" s="13">
        <f t="shared" si="2"/>
        <v>2138.65</v>
      </c>
      <c r="E218" s="13" t="str">
        <f t="shared" si="3"/>
        <v/>
      </c>
      <c r="F218" s="3">
        <f t="shared" si="4"/>
        <v>-0.003612484008</v>
      </c>
      <c r="G218" s="4">
        <f t="shared" si="5"/>
        <v>1.041267505</v>
      </c>
      <c r="H218" s="5">
        <f t="shared" si="6"/>
        <v>0</v>
      </c>
      <c r="I218" s="5">
        <f t="shared" si="7"/>
        <v>1.059627036</v>
      </c>
    </row>
    <row r="219">
      <c r="A219" s="12">
        <f>IFERROR(__xludf.DUMMYFUNCTION("""COMPUTED_VALUE"""),42573.66666666667)</f>
        <v>42573.66667</v>
      </c>
      <c r="B219" s="13">
        <f>IFERROR(__xludf.DUMMYFUNCTION("""COMPUTED_VALUE"""),2175.03)</f>
        <v>2175.03</v>
      </c>
      <c r="C219" s="13">
        <f t="shared" si="1"/>
        <v>2152.465</v>
      </c>
      <c r="D219" s="13">
        <f t="shared" si="2"/>
        <v>2147.075</v>
      </c>
      <c r="E219" s="13" t="str">
        <f t="shared" si="3"/>
        <v>LONG</v>
      </c>
      <c r="F219" s="3">
        <f t="shared" si="4"/>
        <v>0.004553914935</v>
      </c>
      <c r="G219" s="4">
        <f t="shared" si="5"/>
        <v>1.046009349</v>
      </c>
      <c r="H219" s="3">
        <f t="shared" si="6"/>
        <v>0.004553914935</v>
      </c>
      <c r="I219" s="5">
        <f t="shared" si="7"/>
        <v>1.064452487</v>
      </c>
    </row>
    <row r="220">
      <c r="A220" s="12">
        <f>IFERROR(__xludf.DUMMYFUNCTION("""COMPUTED_VALUE"""),42576.66666666667)</f>
        <v>42576.66667</v>
      </c>
      <c r="B220" s="13">
        <f>IFERROR(__xludf.DUMMYFUNCTION("""COMPUTED_VALUE"""),2168.48)</f>
        <v>2168.48</v>
      </c>
      <c r="C220" s="13">
        <f t="shared" si="1"/>
        <v>2152.82</v>
      </c>
      <c r="D220" s="13">
        <f t="shared" si="2"/>
        <v>2141.98</v>
      </c>
      <c r="E220" s="13" t="str">
        <f t="shared" si="3"/>
        <v>LONG</v>
      </c>
      <c r="F220" s="3">
        <f t="shared" si="4"/>
        <v>-0.003011452716</v>
      </c>
      <c r="G220" s="4">
        <f t="shared" si="5"/>
        <v>1.042859341</v>
      </c>
      <c r="H220" s="3">
        <f t="shared" si="6"/>
        <v>-0.003011452716</v>
      </c>
      <c r="I220" s="5">
        <f t="shared" si="7"/>
        <v>1.061246939</v>
      </c>
    </row>
    <row r="221">
      <c r="A221" s="12">
        <f>IFERROR(__xludf.DUMMYFUNCTION("""COMPUTED_VALUE"""),42577.66666666667)</f>
        <v>42577.66667</v>
      </c>
      <c r="B221" s="13">
        <f>IFERROR(__xludf.DUMMYFUNCTION("""COMPUTED_VALUE"""),2169.18)</f>
        <v>2169.18</v>
      </c>
      <c r="C221" s="13">
        <f t="shared" si="1"/>
        <v>2160.66</v>
      </c>
      <c r="D221" s="13">
        <f t="shared" si="2"/>
        <v>2132.625</v>
      </c>
      <c r="E221" s="13" t="str">
        <f t="shared" si="3"/>
        <v>LONG</v>
      </c>
      <c r="F221" s="3">
        <f t="shared" si="4"/>
        <v>0.0003228067587</v>
      </c>
      <c r="G221" s="4">
        <f t="shared" si="5"/>
        <v>1.043195983</v>
      </c>
      <c r="H221" s="3">
        <f t="shared" si="6"/>
        <v>0.0003228067587</v>
      </c>
      <c r="I221" s="5">
        <f t="shared" si="7"/>
        <v>1.061589516</v>
      </c>
    </row>
    <row r="222">
      <c r="A222" s="12">
        <f>IFERROR(__xludf.DUMMYFUNCTION("""COMPUTED_VALUE"""),42578.66666666667)</f>
        <v>42578.66667</v>
      </c>
      <c r="B222" s="13">
        <f>IFERROR(__xludf.DUMMYFUNCTION("""COMPUTED_VALUE"""),2166.58)</f>
        <v>2166.58</v>
      </c>
      <c r="C222" s="13">
        <f t="shared" si="1"/>
        <v>2159.505</v>
      </c>
      <c r="D222" s="13">
        <f t="shared" si="2"/>
        <v>2122.82</v>
      </c>
      <c r="E222" s="13" t="str">
        <f t="shared" si="3"/>
        <v>LONG</v>
      </c>
      <c r="F222" s="3">
        <f t="shared" si="4"/>
        <v>-0.001198609613</v>
      </c>
      <c r="G222" s="4">
        <f t="shared" si="5"/>
        <v>1.041945599</v>
      </c>
      <c r="H222" s="3">
        <f t="shared" si="6"/>
        <v>-0.001198609613</v>
      </c>
      <c r="I222" s="5">
        <f t="shared" si="7"/>
        <v>1.060317085</v>
      </c>
    </row>
    <row r="223">
      <c r="A223" s="12">
        <f>IFERROR(__xludf.DUMMYFUNCTION("""COMPUTED_VALUE"""),42579.66666666667)</f>
        <v>42579.66667</v>
      </c>
      <c r="B223" s="13">
        <f>IFERROR(__xludf.DUMMYFUNCTION("""COMPUTED_VALUE"""),2170.06)</f>
        <v>2170.06</v>
      </c>
      <c r="C223" s="13">
        <f t="shared" si="1"/>
        <v>2166.905</v>
      </c>
      <c r="D223" s="13">
        <f t="shared" si="2"/>
        <v>2122.69</v>
      </c>
      <c r="E223" s="13" t="str">
        <f t="shared" si="3"/>
        <v>LONG</v>
      </c>
      <c r="F223" s="3">
        <f t="shared" si="4"/>
        <v>0.001606218095</v>
      </c>
      <c r="G223" s="4">
        <f t="shared" si="5"/>
        <v>1.043619191</v>
      </c>
      <c r="H223" s="3">
        <f t="shared" si="6"/>
        <v>0.001606218095</v>
      </c>
      <c r="I223" s="5">
        <f t="shared" si="7"/>
        <v>1.062020185</v>
      </c>
    </row>
    <row r="224">
      <c r="A224" s="12">
        <f>IFERROR(__xludf.DUMMYFUNCTION("""COMPUTED_VALUE"""),42580.66666666667)</f>
        <v>42580.66667</v>
      </c>
      <c r="B224" s="13">
        <f>IFERROR(__xludf.DUMMYFUNCTION("""COMPUTED_VALUE"""),2173.6)</f>
        <v>2173.6</v>
      </c>
      <c r="C224" s="13">
        <f t="shared" si="1"/>
        <v>2167.67</v>
      </c>
      <c r="D224" s="13">
        <f t="shared" si="2"/>
        <v>2122.55</v>
      </c>
      <c r="E224" s="13" t="str">
        <f t="shared" si="3"/>
        <v>LONG</v>
      </c>
      <c r="F224" s="3">
        <f t="shared" si="4"/>
        <v>0.001631291301</v>
      </c>
      <c r="G224" s="4">
        <f t="shared" si="5"/>
        <v>1.045321637</v>
      </c>
      <c r="H224" s="3">
        <f t="shared" si="6"/>
        <v>0.001631291301</v>
      </c>
      <c r="I224" s="5">
        <f t="shared" si="7"/>
        <v>1.06375265</v>
      </c>
    </row>
    <row r="225">
      <c r="A225" s="12">
        <f>IFERROR(__xludf.DUMMYFUNCTION("""COMPUTED_VALUE"""),42583.66666666667)</f>
        <v>42583.66667</v>
      </c>
      <c r="B225" s="13">
        <f>IFERROR(__xludf.DUMMYFUNCTION("""COMPUTED_VALUE"""),2170.84)</f>
        <v>2170.84</v>
      </c>
      <c r="C225" s="13">
        <f t="shared" si="1"/>
        <v>2168.865</v>
      </c>
      <c r="D225" s="13">
        <f t="shared" si="2"/>
        <v>2124.415</v>
      </c>
      <c r="E225" s="13" t="str">
        <f t="shared" si="3"/>
        <v>LONG</v>
      </c>
      <c r="F225" s="3">
        <f t="shared" si="4"/>
        <v>-0.001269782849</v>
      </c>
      <c r="G225" s="4">
        <f t="shared" si="5"/>
        <v>1.043994306</v>
      </c>
      <c r="H225" s="3">
        <f t="shared" si="6"/>
        <v>-0.001269782849</v>
      </c>
      <c r="I225" s="5">
        <f t="shared" si="7"/>
        <v>1.062401915</v>
      </c>
    </row>
    <row r="226">
      <c r="A226" s="12">
        <f>IFERROR(__xludf.DUMMYFUNCTION("""COMPUTED_VALUE"""),42584.66666666667)</f>
        <v>42584.66667</v>
      </c>
      <c r="B226" s="13">
        <f>IFERROR(__xludf.DUMMYFUNCTION("""COMPUTED_VALUE"""),2157.03)</f>
        <v>2157.03</v>
      </c>
      <c r="C226" s="13">
        <f t="shared" si="1"/>
        <v>2160.405</v>
      </c>
      <c r="D226" s="13">
        <f t="shared" si="2"/>
        <v>2114.125</v>
      </c>
      <c r="E226" s="13" t="str">
        <f t="shared" si="3"/>
        <v>LONG</v>
      </c>
      <c r="F226" s="3">
        <f t="shared" si="4"/>
        <v>-0.006361592748</v>
      </c>
      <c r="G226" s="4">
        <f t="shared" si="5"/>
        <v>1.037352839</v>
      </c>
      <c r="H226" s="3">
        <f t="shared" si="6"/>
        <v>-0.006361592748</v>
      </c>
      <c r="I226" s="5">
        <f t="shared" si="7"/>
        <v>1.055643346</v>
      </c>
    </row>
    <row r="227">
      <c r="A227" s="12">
        <f>IFERROR(__xludf.DUMMYFUNCTION("""COMPUTED_VALUE"""),42585.66666666667)</f>
        <v>42585.66667</v>
      </c>
      <c r="B227" s="13">
        <f>IFERROR(__xludf.DUMMYFUNCTION("""COMPUTED_VALUE"""),2163.79)</f>
        <v>2163.79</v>
      </c>
      <c r="C227" s="13">
        <f t="shared" si="1"/>
        <v>2168.405</v>
      </c>
      <c r="D227" s="13">
        <f t="shared" si="2"/>
        <v>2123.52</v>
      </c>
      <c r="E227" s="13" t="str">
        <f t="shared" si="3"/>
        <v>LONG</v>
      </c>
      <c r="F227" s="3">
        <f t="shared" si="4"/>
        <v>0.003133938795</v>
      </c>
      <c r="G227" s="4">
        <f t="shared" si="5"/>
        <v>1.04060384</v>
      </c>
      <c r="H227" s="3">
        <f t="shared" si="6"/>
        <v>0.003133938795</v>
      </c>
      <c r="I227" s="5">
        <f t="shared" si="7"/>
        <v>1.058951668</v>
      </c>
    </row>
    <row r="228">
      <c r="A228" s="12">
        <f>IFERROR(__xludf.DUMMYFUNCTION("""COMPUTED_VALUE"""),42586.66666666667)</f>
        <v>42586.66667</v>
      </c>
      <c r="B228" s="13">
        <f>IFERROR(__xludf.DUMMYFUNCTION("""COMPUTED_VALUE"""),2164.25)</f>
        <v>2164.25</v>
      </c>
      <c r="C228" s="13">
        <f t="shared" si="1"/>
        <v>2164.71</v>
      </c>
      <c r="D228" s="13">
        <f t="shared" si="2"/>
        <v>2126.575</v>
      </c>
      <c r="E228" s="13" t="str">
        <f t="shared" si="3"/>
        <v>LONG</v>
      </c>
      <c r="F228" s="3">
        <f t="shared" si="4"/>
        <v>0.0002125899463</v>
      </c>
      <c r="G228" s="4">
        <f t="shared" si="5"/>
        <v>1.040825062</v>
      </c>
      <c r="H228" s="3">
        <f t="shared" si="6"/>
        <v>0.0002125899463</v>
      </c>
      <c r="I228" s="5">
        <f t="shared" si="7"/>
        <v>1.059176791</v>
      </c>
    </row>
    <row r="229">
      <c r="A229" s="12">
        <f>IFERROR(__xludf.DUMMYFUNCTION("""COMPUTED_VALUE"""),42587.66666666667)</f>
        <v>42587.66667</v>
      </c>
      <c r="B229" s="13">
        <f>IFERROR(__xludf.DUMMYFUNCTION("""COMPUTED_VALUE"""),2182.87)</f>
        <v>2182.87</v>
      </c>
      <c r="C229" s="13">
        <f t="shared" si="1"/>
        <v>2178.95</v>
      </c>
      <c r="D229" s="13">
        <f t="shared" si="2"/>
        <v>2134.16</v>
      </c>
      <c r="E229" s="13" t="str">
        <f t="shared" si="3"/>
        <v>LONG</v>
      </c>
      <c r="F229" s="3">
        <f t="shared" si="4"/>
        <v>0.008603442301</v>
      </c>
      <c r="G229" s="4">
        <f t="shared" si="5"/>
        <v>1.04977974</v>
      </c>
      <c r="H229" s="3">
        <f t="shared" si="6"/>
        <v>0.008603442301</v>
      </c>
      <c r="I229" s="5">
        <f t="shared" si="7"/>
        <v>1.068289357</v>
      </c>
    </row>
    <row r="230">
      <c r="A230" s="12">
        <f>IFERROR(__xludf.DUMMYFUNCTION("""COMPUTED_VALUE"""),42590.66666666667)</f>
        <v>42590.66667</v>
      </c>
      <c r="B230" s="13">
        <f>IFERROR(__xludf.DUMMYFUNCTION("""COMPUTED_VALUE"""),2180.89)</f>
        <v>2180.89</v>
      </c>
      <c r="C230" s="13">
        <f t="shared" si="1"/>
        <v>2174.685</v>
      </c>
      <c r="D230" s="13">
        <f t="shared" si="2"/>
        <v>2147.105</v>
      </c>
      <c r="E230" s="13" t="str">
        <f t="shared" si="3"/>
        <v>LONG</v>
      </c>
      <c r="F230" s="3">
        <f t="shared" si="4"/>
        <v>-0.0009070627202</v>
      </c>
      <c r="G230" s="4">
        <f t="shared" si="5"/>
        <v>1.048827524</v>
      </c>
      <c r="H230" s="3">
        <f t="shared" si="6"/>
        <v>-0.0009070627202</v>
      </c>
      <c r="I230" s="5">
        <f t="shared" si="7"/>
        <v>1.067320352</v>
      </c>
    </row>
    <row r="231">
      <c r="A231" s="12">
        <f>IFERROR(__xludf.DUMMYFUNCTION("""COMPUTED_VALUE"""),42591.66666666667)</f>
        <v>42591.66667</v>
      </c>
      <c r="B231" s="13">
        <f>IFERROR(__xludf.DUMMYFUNCTION("""COMPUTED_VALUE"""),2181.74)</f>
        <v>2181.74</v>
      </c>
      <c r="C231" s="13">
        <f t="shared" si="1"/>
        <v>2175.46</v>
      </c>
      <c r="D231" s="13">
        <f t="shared" si="2"/>
        <v>2109.575</v>
      </c>
      <c r="E231" s="13" t="str">
        <f t="shared" si="3"/>
        <v>LONG</v>
      </c>
      <c r="F231" s="3">
        <f t="shared" si="4"/>
        <v>0.0003897491391</v>
      </c>
      <c r="G231" s="4">
        <f t="shared" si="5"/>
        <v>1.049236303</v>
      </c>
      <c r="H231" s="3">
        <f t="shared" si="6"/>
        <v>0.0003897491391</v>
      </c>
      <c r="I231" s="5">
        <f t="shared" si="7"/>
        <v>1.067736339</v>
      </c>
    </row>
    <row r="232">
      <c r="A232" s="12">
        <f>IFERROR(__xludf.DUMMYFUNCTION("""COMPUTED_VALUE"""),42592.66666666667)</f>
        <v>42592.66667</v>
      </c>
      <c r="B232" s="13">
        <f>IFERROR(__xludf.DUMMYFUNCTION("""COMPUTED_VALUE"""),2175.49)</f>
        <v>2175.49</v>
      </c>
      <c r="C232" s="13">
        <f t="shared" si="1"/>
        <v>2171.035</v>
      </c>
      <c r="D232" s="13">
        <f t="shared" si="2"/>
        <v>2088.015</v>
      </c>
      <c r="E232" s="13" t="str">
        <f t="shared" si="3"/>
        <v>LONG</v>
      </c>
      <c r="F232" s="3">
        <f t="shared" si="4"/>
        <v>-0.002864685985</v>
      </c>
      <c r="G232" s="4">
        <f t="shared" si="5"/>
        <v>1.046230571</v>
      </c>
      <c r="H232" s="3">
        <f t="shared" si="6"/>
        <v>-0.002864685985</v>
      </c>
      <c r="I232" s="5">
        <f t="shared" si="7"/>
        <v>1.064677609</v>
      </c>
    </row>
    <row r="233">
      <c r="A233" s="12">
        <f>IFERROR(__xludf.DUMMYFUNCTION("""COMPUTED_VALUE"""),42593.66666666667)</f>
        <v>42593.66667</v>
      </c>
      <c r="B233" s="13">
        <f>IFERROR(__xludf.DUMMYFUNCTION("""COMPUTED_VALUE"""),2185.79)</f>
        <v>2185.79</v>
      </c>
      <c r="C233" s="13">
        <f t="shared" si="1"/>
        <v>2177.925</v>
      </c>
      <c r="D233" s="13">
        <f t="shared" si="2"/>
        <v>2110.94</v>
      </c>
      <c r="E233" s="13" t="str">
        <f t="shared" si="3"/>
        <v>LONG</v>
      </c>
      <c r="F233" s="3">
        <f t="shared" si="4"/>
        <v>0.004734565546</v>
      </c>
      <c r="G233" s="4">
        <f t="shared" si="5"/>
        <v>1.051184018</v>
      </c>
      <c r="H233" s="3">
        <f t="shared" si="6"/>
        <v>0.004734565546</v>
      </c>
      <c r="I233" s="5">
        <f t="shared" si="7"/>
        <v>1.069718395</v>
      </c>
    </row>
    <row r="234">
      <c r="A234" s="12">
        <f>IFERROR(__xludf.DUMMYFUNCTION("""COMPUTED_VALUE"""),42594.66666666667)</f>
        <v>42594.66667</v>
      </c>
      <c r="B234" s="13">
        <f>IFERROR(__xludf.DUMMYFUNCTION("""COMPUTED_VALUE"""),2184.05)</f>
        <v>2184.05</v>
      </c>
      <c r="C234" s="13">
        <f t="shared" si="1"/>
        <v>2178.825</v>
      </c>
      <c r="D234" s="13">
        <f t="shared" si="2"/>
        <v>2127.41</v>
      </c>
      <c r="E234" s="13" t="str">
        <f t="shared" si="3"/>
        <v>LONG</v>
      </c>
      <c r="F234" s="3">
        <f t="shared" si="4"/>
        <v>-0.0007960508558</v>
      </c>
      <c r="G234" s="4">
        <f t="shared" si="5"/>
        <v>1.050347222</v>
      </c>
      <c r="H234" s="3">
        <f t="shared" si="6"/>
        <v>-0.0007960508558</v>
      </c>
      <c r="I234" s="5">
        <f t="shared" si="7"/>
        <v>1.068866845</v>
      </c>
    </row>
    <row r="235">
      <c r="A235" s="12">
        <f>IFERROR(__xludf.DUMMYFUNCTION("""COMPUTED_VALUE"""),42597.66666666667)</f>
        <v>42597.66667</v>
      </c>
      <c r="B235" s="13">
        <f>IFERROR(__xludf.DUMMYFUNCTION("""COMPUTED_VALUE"""),2190.15)</f>
        <v>2190.15</v>
      </c>
      <c r="C235" s="13">
        <f t="shared" si="1"/>
        <v>2180.495</v>
      </c>
      <c r="D235" s="13">
        <f t="shared" si="2"/>
        <v>2144.505</v>
      </c>
      <c r="E235" s="13" t="str">
        <f t="shared" si="3"/>
        <v>LONG</v>
      </c>
      <c r="F235" s="3">
        <f t="shared" si="4"/>
        <v>0.002792976351</v>
      </c>
      <c r="G235" s="4">
        <f t="shared" si="5"/>
        <v>1.053280817</v>
      </c>
      <c r="H235" s="3">
        <f t="shared" si="6"/>
        <v>0.002792976351</v>
      </c>
      <c r="I235" s="5">
        <f t="shared" si="7"/>
        <v>1.071852165</v>
      </c>
    </row>
    <row r="236">
      <c r="A236" s="12">
        <f>IFERROR(__xludf.DUMMYFUNCTION("""COMPUTED_VALUE"""),42598.66666666667)</f>
        <v>42598.66667</v>
      </c>
      <c r="B236" s="13">
        <f>IFERROR(__xludf.DUMMYFUNCTION("""COMPUTED_VALUE"""),2178.15)</f>
        <v>2178.15</v>
      </c>
      <c r="C236" s="13">
        <f t="shared" si="1"/>
        <v>2167.59</v>
      </c>
      <c r="D236" s="13">
        <f t="shared" si="2"/>
        <v>2140.55</v>
      </c>
      <c r="E236" s="13" t="str">
        <f t="shared" si="3"/>
        <v>LONG</v>
      </c>
      <c r="F236" s="3">
        <f t="shared" si="4"/>
        <v>-0.005479076776</v>
      </c>
      <c r="G236" s="4">
        <f t="shared" si="5"/>
        <v>1.047509811</v>
      </c>
      <c r="H236" s="3">
        <f t="shared" si="6"/>
        <v>-0.005479076776</v>
      </c>
      <c r="I236" s="5">
        <f t="shared" si="7"/>
        <v>1.065979405</v>
      </c>
    </row>
    <row r="237">
      <c r="A237" s="12">
        <f>IFERROR(__xludf.DUMMYFUNCTION("""COMPUTED_VALUE"""),42599.66666666667)</f>
        <v>42599.66667</v>
      </c>
      <c r="B237" s="13">
        <f>IFERROR(__xludf.DUMMYFUNCTION("""COMPUTED_VALUE"""),2182.22)</f>
        <v>2182.22</v>
      </c>
      <c r="C237" s="13">
        <f t="shared" si="1"/>
        <v>2173.005</v>
      </c>
      <c r="D237" s="13">
        <f t="shared" si="2"/>
        <v>2135.385</v>
      </c>
      <c r="E237" s="13" t="str">
        <f t="shared" si="3"/>
        <v>LONG</v>
      </c>
      <c r="F237" s="3">
        <f t="shared" si="4"/>
        <v>0.00186855818</v>
      </c>
      <c r="G237" s="4">
        <f t="shared" si="5"/>
        <v>1.049467144</v>
      </c>
      <c r="H237" s="3">
        <f t="shared" si="6"/>
        <v>0.00186855818</v>
      </c>
      <c r="I237" s="5">
        <f t="shared" si="7"/>
        <v>1.067971249</v>
      </c>
    </row>
    <row r="238">
      <c r="A238" s="12">
        <f>IFERROR(__xludf.DUMMYFUNCTION("""COMPUTED_VALUE"""),42600.66666666667)</f>
        <v>42600.66667</v>
      </c>
      <c r="B238" s="13">
        <f>IFERROR(__xludf.DUMMYFUNCTION("""COMPUTED_VALUE"""),2187.02)</f>
        <v>2187.02</v>
      </c>
      <c r="C238" s="13">
        <f t="shared" si="1"/>
        <v>2175.635</v>
      </c>
      <c r="D238" s="13">
        <f t="shared" si="2"/>
        <v>2143.375</v>
      </c>
      <c r="E238" s="13" t="str">
        <f t="shared" si="3"/>
        <v>LONG</v>
      </c>
      <c r="F238" s="3">
        <f t="shared" si="4"/>
        <v>0.002199594908</v>
      </c>
      <c r="G238" s="4">
        <f t="shared" si="5"/>
        <v>1.051775546</v>
      </c>
      <c r="H238" s="3">
        <f t="shared" si="6"/>
        <v>0.002199594908</v>
      </c>
      <c r="I238" s="5">
        <f t="shared" si="7"/>
        <v>1.070320353</v>
      </c>
    </row>
    <row r="239">
      <c r="A239" s="12">
        <f>IFERROR(__xludf.DUMMYFUNCTION("""COMPUTED_VALUE"""),42601.66666666667)</f>
        <v>42601.66667</v>
      </c>
      <c r="B239" s="13">
        <f>IFERROR(__xludf.DUMMYFUNCTION("""COMPUTED_VALUE"""),2183.87)</f>
        <v>2183.87</v>
      </c>
      <c r="C239" s="13">
        <f t="shared" si="1"/>
        <v>2183.37</v>
      </c>
      <c r="D239" s="13">
        <f t="shared" si="2"/>
        <v>2140.885</v>
      </c>
      <c r="E239" s="13" t="str">
        <f t="shared" si="3"/>
        <v>LONG</v>
      </c>
      <c r="F239" s="3">
        <f t="shared" si="4"/>
        <v>-0.001440316046</v>
      </c>
      <c r="G239" s="4">
        <f t="shared" si="5"/>
        <v>1.050260657</v>
      </c>
      <c r="H239" s="3">
        <f t="shared" si="6"/>
        <v>-0.001440316046</v>
      </c>
      <c r="I239" s="5">
        <f t="shared" si="7"/>
        <v>1.068778754</v>
      </c>
    </row>
    <row r="240">
      <c r="A240" s="12">
        <f>IFERROR(__xludf.DUMMYFUNCTION("""COMPUTED_VALUE"""),42604.66666666667)</f>
        <v>42604.66667</v>
      </c>
      <c r="B240" s="13">
        <f>IFERROR(__xludf.DUMMYFUNCTION("""COMPUTED_VALUE"""),2182.64)</f>
        <v>2182.64</v>
      </c>
      <c r="C240" s="13">
        <f t="shared" si="1"/>
        <v>2181.765</v>
      </c>
      <c r="D240" s="13">
        <f t="shared" si="2"/>
        <v>2156.27</v>
      </c>
      <c r="E240" s="13" t="str">
        <f t="shared" si="3"/>
        <v>LONG</v>
      </c>
      <c r="F240" s="3">
        <f t="shared" si="4"/>
        <v>-0.0005632203382</v>
      </c>
      <c r="G240" s="4">
        <f t="shared" si="5"/>
        <v>1.049669129</v>
      </c>
      <c r="H240" s="3">
        <f t="shared" si="6"/>
        <v>-0.0005632203382</v>
      </c>
      <c r="I240" s="5">
        <f t="shared" si="7"/>
        <v>1.068176796</v>
      </c>
    </row>
    <row r="241">
      <c r="A241" s="12">
        <f>IFERROR(__xludf.DUMMYFUNCTION("""COMPUTED_VALUE"""),42605.66666666667)</f>
        <v>42605.66667</v>
      </c>
      <c r="B241" s="13">
        <f>IFERROR(__xludf.DUMMYFUNCTION("""COMPUTED_VALUE"""),2186.9)</f>
        <v>2186.9</v>
      </c>
      <c r="C241" s="13">
        <f t="shared" si="1"/>
        <v>2184.32</v>
      </c>
      <c r="D241" s="13">
        <f t="shared" si="2"/>
        <v>2162.03</v>
      </c>
      <c r="E241" s="13" t="str">
        <f t="shared" si="3"/>
        <v>LONG</v>
      </c>
      <c r="F241" s="3">
        <f t="shared" si="4"/>
        <v>0.001951764835</v>
      </c>
      <c r="G241" s="4">
        <f t="shared" si="5"/>
        <v>1.051717836</v>
      </c>
      <c r="H241" s="3">
        <f t="shared" si="6"/>
        <v>0.001951764835</v>
      </c>
      <c r="I241" s="5">
        <f t="shared" si="7"/>
        <v>1.070261626</v>
      </c>
    </row>
    <row r="242">
      <c r="A242" s="12">
        <f>IFERROR(__xludf.DUMMYFUNCTION("""COMPUTED_VALUE"""),42606.66666666667)</f>
        <v>42606.66667</v>
      </c>
      <c r="B242" s="13">
        <f>IFERROR(__xludf.DUMMYFUNCTION("""COMPUTED_VALUE"""),2175.44)</f>
        <v>2175.44</v>
      </c>
      <c r="C242" s="13">
        <f t="shared" si="1"/>
        <v>2175.465</v>
      </c>
      <c r="D242" s="13">
        <f t="shared" si="2"/>
        <v>2163.79</v>
      </c>
      <c r="E242" s="13" t="str">
        <f t="shared" si="3"/>
        <v>LONG</v>
      </c>
      <c r="F242" s="3">
        <f t="shared" si="4"/>
        <v>-0.005240294481</v>
      </c>
      <c r="G242" s="4">
        <f t="shared" si="5"/>
        <v>1.046206525</v>
      </c>
      <c r="H242" s="3">
        <f t="shared" si="6"/>
        <v>-0.005240294481</v>
      </c>
      <c r="I242" s="5">
        <f t="shared" si="7"/>
        <v>1.06465314</v>
      </c>
    </row>
    <row r="243">
      <c r="A243" s="12">
        <f>IFERROR(__xludf.DUMMYFUNCTION("""COMPUTED_VALUE"""),42607.66666666667)</f>
        <v>42607.66667</v>
      </c>
      <c r="B243" s="13">
        <f>IFERROR(__xludf.DUMMYFUNCTION("""COMPUTED_VALUE"""),2172.47)</f>
        <v>2172.47</v>
      </c>
      <c r="C243" s="13">
        <f t="shared" si="1"/>
        <v>2179.13</v>
      </c>
      <c r="D243" s="13">
        <f t="shared" si="2"/>
        <v>2162.45</v>
      </c>
      <c r="E243" s="13" t="str">
        <f t="shared" si="3"/>
        <v>LONG</v>
      </c>
      <c r="F243" s="3">
        <f t="shared" si="4"/>
        <v>-0.001365241055</v>
      </c>
      <c r="G243" s="4">
        <f t="shared" si="5"/>
        <v>1.044778201</v>
      </c>
      <c r="H243" s="3">
        <f t="shared" si="6"/>
        <v>-0.001365241055</v>
      </c>
      <c r="I243" s="5">
        <f t="shared" si="7"/>
        <v>1.063199631</v>
      </c>
    </row>
    <row r="244">
      <c r="A244" s="12">
        <f>IFERROR(__xludf.DUMMYFUNCTION("""COMPUTED_VALUE"""),42608.66666666667)</f>
        <v>42608.66667</v>
      </c>
      <c r="B244" s="13">
        <f>IFERROR(__xludf.DUMMYFUNCTION("""COMPUTED_VALUE"""),2169.04)</f>
        <v>2169.04</v>
      </c>
      <c r="C244" s="13">
        <f t="shared" si="1"/>
        <v>2176.545</v>
      </c>
      <c r="D244" s="13">
        <f t="shared" si="2"/>
        <v>2166.395</v>
      </c>
      <c r="E244" s="13" t="str">
        <f t="shared" si="3"/>
        <v>LONG</v>
      </c>
      <c r="F244" s="3">
        <f t="shared" si="4"/>
        <v>-0.001578848039</v>
      </c>
      <c r="G244" s="4">
        <f t="shared" si="5"/>
        <v>1.043128655</v>
      </c>
      <c r="H244" s="3">
        <f t="shared" si="6"/>
        <v>-0.001578848039</v>
      </c>
      <c r="I244" s="5">
        <f t="shared" si="7"/>
        <v>1.061521001</v>
      </c>
    </row>
    <row r="245">
      <c r="A245" s="12">
        <f>IFERROR(__xludf.DUMMYFUNCTION("""COMPUTED_VALUE"""),42611.66666666667)</f>
        <v>42611.66667</v>
      </c>
      <c r="B245" s="13">
        <f>IFERROR(__xludf.DUMMYFUNCTION("""COMPUTED_VALUE"""),2180.38)</f>
        <v>2180.38</v>
      </c>
      <c r="C245" s="13">
        <f t="shared" si="1"/>
        <v>2185.265</v>
      </c>
      <c r="D245" s="13">
        <f t="shared" si="2"/>
        <v>2171.06</v>
      </c>
      <c r="E245" s="13" t="str">
        <f t="shared" si="3"/>
        <v>LONG</v>
      </c>
      <c r="F245" s="3">
        <f t="shared" si="4"/>
        <v>0.005228119352</v>
      </c>
      <c r="G245" s="4">
        <f t="shared" si="5"/>
        <v>1.048582256</v>
      </c>
      <c r="H245" s="3">
        <f t="shared" si="6"/>
        <v>0.005228119352</v>
      </c>
      <c r="I245" s="5">
        <f t="shared" si="7"/>
        <v>1.067070759</v>
      </c>
    </row>
    <row r="246">
      <c r="A246" s="12">
        <f>IFERROR(__xludf.DUMMYFUNCTION("""COMPUTED_VALUE"""),42612.66666666667)</f>
        <v>42612.66667</v>
      </c>
      <c r="B246" s="13">
        <f>IFERROR(__xludf.DUMMYFUNCTION("""COMPUTED_VALUE"""),2176.12)</f>
        <v>2176.12</v>
      </c>
      <c r="C246" s="13">
        <f t="shared" si="1"/>
        <v>2177.135</v>
      </c>
      <c r="D246" s="13">
        <f t="shared" si="2"/>
        <v>2171.505</v>
      </c>
      <c r="E246" s="13" t="str">
        <f t="shared" si="3"/>
        <v>LONG</v>
      </c>
      <c r="F246" s="3">
        <f t="shared" si="4"/>
        <v>-0.001953787872</v>
      </c>
      <c r="G246" s="4">
        <f t="shared" si="5"/>
        <v>1.046533549</v>
      </c>
      <c r="H246" s="3">
        <f t="shared" si="6"/>
        <v>-0.001953787872</v>
      </c>
      <c r="I246" s="5">
        <f t="shared" si="7"/>
        <v>1.064985929</v>
      </c>
    </row>
    <row r="247">
      <c r="A247" s="12">
        <f>IFERROR(__xludf.DUMMYFUNCTION("""COMPUTED_VALUE"""),42613.66666666667)</f>
        <v>42613.66667</v>
      </c>
      <c r="B247" s="13">
        <f>IFERROR(__xludf.DUMMYFUNCTION("""COMPUTED_VALUE"""),2170.95)</f>
        <v>2170.95</v>
      </c>
      <c r="C247" s="13">
        <f t="shared" si="1"/>
        <v>2176.585</v>
      </c>
      <c r="D247" s="13">
        <f t="shared" si="2"/>
        <v>2167.365</v>
      </c>
      <c r="E247" s="13" t="str">
        <f t="shared" si="3"/>
        <v>LONG</v>
      </c>
      <c r="F247" s="3">
        <f t="shared" si="4"/>
        <v>-0.0023757881</v>
      </c>
      <c r="G247" s="4">
        <f t="shared" si="5"/>
        <v>1.044047207</v>
      </c>
      <c r="H247" s="3">
        <f t="shared" si="6"/>
        <v>-0.0023757881</v>
      </c>
      <c r="I247" s="5">
        <f t="shared" si="7"/>
        <v>1.062455748</v>
      </c>
    </row>
    <row r="248">
      <c r="A248" s="12">
        <f>IFERROR(__xludf.DUMMYFUNCTION("""COMPUTED_VALUE"""),42614.66666666667)</f>
        <v>42614.66667</v>
      </c>
      <c r="B248" s="13">
        <f>IFERROR(__xludf.DUMMYFUNCTION("""COMPUTED_VALUE"""),2170.86)</f>
        <v>2170.86</v>
      </c>
      <c r="C248" s="13">
        <f t="shared" si="1"/>
        <v>2178.94</v>
      </c>
      <c r="D248" s="13">
        <f t="shared" si="2"/>
        <v>2171.94</v>
      </c>
      <c r="E248" s="13" t="str">
        <f t="shared" si="3"/>
        <v>LONG</v>
      </c>
      <c r="F248" s="3">
        <f t="shared" si="4"/>
        <v>-0.00004145650522</v>
      </c>
      <c r="G248" s="4">
        <f t="shared" si="5"/>
        <v>1.044003924</v>
      </c>
      <c r="H248" s="3">
        <f t="shared" si="6"/>
        <v>-0.00004145650522</v>
      </c>
      <c r="I248" s="5">
        <f t="shared" si="7"/>
        <v>1.062411703</v>
      </c>
    </row>
    <row r="249">
      <c r="A249" s="12">
        <f>IFERROR(__xludf.DUMMYFUNCTION("""COMPUTED_VALUE"""),42615.66666666667)</f>
        <v>42615.66667</v>
      </c>
      <c r="B249" s="13">
        <f>IFERROR(__xludf.DUMMYFUNCTION("""COMPUTED_VALUE"""),2179.98)</f>
        <v>2179.98</v>
      </c>
      <c r="C249" s="13">
        <f t="shared" si="1"/>
        <v>2181.925</v>
      </c>
      <c r="D249" s="13">
        <f t="shared" si="2"/>
        <v>2172.575</v>
      </c>
      <c r="E249" s="13" t="str">
        <f t="shared" si="3"/>
        <v>LONG</v>
      </c>
      <c r="F249" s="3">
        <f t="shared" si="4"/>
        <v>0.004201100025</v>
      </c>
      <c r="G249" s="4">
        <f t="shared" si="5"/>
        <v>1.048389889</v>
      </c>
      <c r="H249" s="3">
        <f t="shared" si="6"/>
        <v>0.004201100025</v>
      </c>
      <c r="I249" s="5">
        <f t="shared" si="7"/>
        <v>1.066875001</v>
      </c>
    </row>
    <row r="250">
      <c r="A250" s="12">
        <f>IFERROR(__xludf.DUMMYFUNCTION("""COMPUTED_VALUE"""),42619.66666666667)</f>
        <v>42619.66667</v>
      </c>
      <c r="B250" s="13">
        <f>IFERROR(__xludf.DUMMYFUNCTION("""COMPUTED_VALUE"""),2186.48)</f>
        <v>2186.48</v>
      </c>
      <c r="C250" s="13">
        <f t="shared" si="1"/>
        <v>2184.56</v>
      </c>
      <c r="D250" s="13">
        <f t="shared" si="2"/>
        <v>2180.755</v>
      </c>
      <c r="E250" s="13" t="str">
        <f t="shared" si="3"/>
        <v>LONG</v>
      </c>
      <c r="F250" s="3">
        <f t="shared" si="4"/>
        <v>0.002981678731</v>
      </c>
      <c r="G250" s="4">
        <f t="shared" si="5"/>
        <v>1.051515851</v>
      </c>
      <c r="H250" s="3">
        <f t="shared" si="6"/>
        <v>0.002981678731</v>
      </c>
      <c r="I250" s="5">
        <f t="shared" si="7"/>
        <v>1.070056079</v>
      </c>
    </row>
    <row r="251">
      <c r="A251" s="12">
        <f>IFERROR(__xludf.DUMMYFUNCTION("""COMPUTED_VALUE"""),42620.66666666667)</f>
        <v>42620.66667</v>
      </c>
      <c r="B251" s="13">
        <f>IFERROR(__xludf.DUMMYFUNCTION("""COMPUTED_VALUE"""),2186.16)</f>
        <v>2186.16</v>
      </c>
      <c r="C251" s="13">
        <f t="shared" si="1"/>
        <v>2186.53</v>
      </c>
      <c r="D251" s="13">
        <f t="shared" si="2"/>
        <v>2177.32</v>
      </c>
      <c r="E251" s="13" t="str">
        <f t="shared" si="3"/>
        <v>LONG</v>
      </c>
      <c r="F251" s="3">
        <f t="shared" si="4"/>
        <v>-0.000146353957</v>
      </c>
      <c r="G251" s="4">
        <f t="shared" si="5"/>
        <v>1.051361958</v>
      </c>
      <c r="H251" s="3">
        <f t="shared" si="6"/>
        <v>-0.000146353957</v>
      </c>
      <c r="I251" s="5">
        <f t="shared" si="7"/>
        <v>1.069899472</v>
      </c>
    </row>
    <row r="252">
      <c r="A252" s="12">
        <f>IFERROR(__xludf.DUMMYFUNCTION("""COMPUTED_VALUE"""),42621.66666666667)</f>
        <v>42621.66667</v>
      </c>
      <c r="B252" s="13">
        <f>IFERROR(__xludf.DUMMYFUNCTION("""COMPUTED_VALUE"""),2181.3)</f>
        <v>2181.3</v>
      </c>
      <c r="C252" s="13">
        <f t="shared" si="1"/>
        <v>2178.37</v>
      </c>
      <c r="D252" s="13">
        <f t="shared" si="2"/>
        <v>2175.24</v>
      </c>
      <c r="E252" s="13" t="str">
        <f t="shared" si="3"/>
        <v>LONG</v>
      </c>
      <c r="F252" s="3">
        <f t="shared" si="4"/>
        <v>-0.002223076079</v>
      </c>
      <c r="G252" s="4">
        <f t="shared" si="5"/>
        <v>1.0490247</v>
      </c>
      <c r="H252" s="3">
        <f t="shared" si="6"/>
        <v>-0.002223076079</v>
      </c>
      <c r="I252" s="5">
        <f t="shared" si="7"/>
        <v>1.067521004</v>
      </c>
    </row>
    <row r="253">
      <c r="A253" s="12">
        <f>IFERROR(__xludf.DUMMYFUNCTION("""COMPUTED_VALUE"""),42622.66666666667)</f>
        <v>42622.66667</v>
      </c>
      <c r="B253" s="13">
        <f>IFERROR(__xludf.DUMMYFUNCTION("""COMPUTED_VALUE"""),2127.81)</f>
        <v>2127.81</v>
      </c>
      <c r="C253" s="13">
        <f t="shared" si="1"/>
        <v>2150.14</v>
      </c>
      <c r="D253" s="13">
        <f t="shared" si="2"/>
        <v>2147.195</v>
      </c>
      <c r="E253" s="13" t="str">
        <f t="shared" si="3"/>
        <v>LONG</v>
      </c>
      <c r="F253" s="3">
        <f t="shared" si="4"/>
        <v>-0.02452207399</v>
      </c>
      <c r="G253" s="4">
        <f t="shared" si="5"/>
        <v>1.023300439</v>
      </c>
      <c r="H253" s="3">
        <f t="shared" si="6"/>
        <v>-0.02452207399</v>
      </c>
      <c r="I253" s="5">
        <f t="shared" si="7"/>
        <v>1.041343175</v>
      </c>
    </row>
    <row r="254">
      <c r="A254" s="12">
        <f>IFERROR(__xludf.DUMMYFUNCTION("""COMPUTED_VALUE"""),42625.66666666667)</f>
        <v>42625.66667</v>
      </c>
      <c r="B254" s="13">
        <f>IFERROR(__xludf.DUMMYFUNCTION("""COMPUTED_VALUE"""),2159.04)</f>
        <v>2159.04</v>
      </c>
      <c r="C254" s="13">
        <f t="shared" si="1"/>
        <v>2164.04</v>
      </c>
      <c r="D254" s="13">
        <f t="shared" si="2"/>
        <v>2164.55</v>
      </c>
      <c r="E254" s="13" t="str">
        <f t="shared" si="3"/>
        <v/>
      </c>
      <c r="F254" s="3">
        <f t="shared" si="4"/>
        <v>0.01467706233</v>
      </c>
      <c r="G254" s="4">
        <f t="shared" si="5"/>
        <v>1.038319483</v>
      </c>
      <c r="H254" s="5">
        <f t="shared" si="6"/>
        <v>0</v>
      </c>
      <c r="I254" s="5">
        <f t="shared" si="7"/>
        <v>1.041343175</v>
      </c>
    </row>
    <row r="255">
      <c r="A255" s="12">
        <f>IFERROR(__xludf.DUMMYFUNCTION("""COMPUTED_VALUE"""),42626.66666666667)</f>
        <v>42626.66667</v>
      </c>
      <c r="B255" s="13">
        <f>IFERROR(__xludf.DUMMYFUNCTION("""COMPUTED_VALUE"""),2127.02)</f>
        <v>2127.02</v>
      </c>
      <c r="C255" s="13">
        <f t="shared" si="1"/>
        <v>2153.7</v>
      </c>
      <c r="D255" s="13">
        <f t="shared" si="2"/>
        <v>2150.31</v>
      </c>
      <c r="E255" s="13" t="str">
        <f t="shared" si="3"/>
        <v>LONG</v>
      </c>
      <c r="F255" s="3">
        <f t="shared" si="4"/>
        <v>-0.01483066548</v>
      </c>
      <c r="G255" s="4">
        <f t="shared" si="5"/>
        <v>1.022920514</v>
      </c>
      <c r="H255" s="3">
        <f t="shared" si="6"/>
        <v>-0.01483066548</v>
      </c>
      <c r="I255" s="5">
        <f t="shared" si="7"/>
        <v>1.025899363</v>
      </c>
    </row>
    <row r="256">
      <c r="A256" s="12">
        <f>IFERROR(__xludf.DUMMYFUNCTION("""COMPUTED_VALUE"""),42627.66666666667)</f>
        <v>42627.66667</v>
      </c>
      <c r="B256" s="13">
        <f>IFERROR(__xludf.DUMMYFUNCTION("""COMPUTED_VALUE"""),2125.77)</f>
        <v>2125.77</v>
      </c>
      <c r="C256" s="13">
        <f t="shared" si="1"/>
        <v>2150.945</v>
      </c>
      <c r="D256" s="13">
        <f t="shared" si="2"/>
        <v>2148.305</v>
      </c>
      <c r="E256" s="13" t="str">
        <f t="shared" si="3"/>
        <v>LONG</v>
      </c>
      <c r="F256" s="3">
        <f t="shared" si="4"/>
        <v>-0.0005876766556</v>
      </c>
      <c r="G256" s="4">
        <f t="shared" si="5"/>
        <v>1.022319367</v>
      </c>
      <c r="H256" s="3">
        <f t="shared" si="6"/>
        <v>-0.0005876766556</v>
      </c>
      <c r="I256" s="5">
        <f t="shared" si="7"/>
        <v>1.025296466</v>
      </c>
    </row>
    <row r="257">
      <c r="A257" s="12">
        <f>IFERROR(__xludf.DUMMYFUNCTION("""COMPUTED_VALUE"""),42628.66666666667)</f>
        <v>42628.66667</v>
      </c>
      <c r="B257" s="13">
        <f>IFERROR(__xludf.DUMMYFUNCTION("""COMPUTED_VALUE"""),2147.26)</f>
        <v>2147.26</v>
      </c>
      <c r="C257" s="13">
        <f t="shared" si="1"/>
        <v>2159.105</v>
      </c>
      <c r="D257" s="13">
        <f t="shared" si="2"/>
        <v>2152.145</v>
      </c>
      <c r="E257" s="13" t="str">
        <f t="shared" si="3"/>
        <v>LONG</v>
      </c>
      <c r="F257" s="3">
        <f t="shared" si="4"/>
        <v>0.01010927805</v>
      </c>
      <c r="G257" s="4">
        <f t="shared" si="5"/>
        <v>1.032654278</v>
      </c>
      <c r="H257" s="3">
        <f t="shared" si="6"/>
        <v>0.01010927805</v>
      </c>
      <c r="I257" s="5">
        <f t="shared" si="7"/>
        <v>1.035661473</v>
      </c>
    </row>
    <row r="258">
      <c r="A258" s="12">
        <f>IFERROR(__xludf.DUMMYFUNCTION("""COMPUTED_VALUE"""),42629.66666666667)</f>
        <v>42629.66667</v>
      </c>
      <c r="B258" s="13">
        <f>IFERROR(__xludf.DUMMYFUNCTION("""COMPUTED_VALUE"""),2139.16)</f>
        <v>2139.16</v>
      </c>
      <c r="C258" s="13">
        <f t="shared" si="1"/>
        <v>2155.01</v>
      </c>
      <c r="D258" s="13">
        <f t="shared" si="2"/>
        <v>2151.475</v>
      </c>
      <c r="E258" s="13" t="str">
        <f t="shared" si="3"/>
        <v>LONG</v>
      </c>
      <c r="F258" s="3">
        <f t="shared" si="4"/>
        <v>-0.003772249285</v>
      </c>
      <c r="G258" s="4">
        <f t="shared" si="5"/>
        <v>1.028758849</v>
      </c>
      <c r="H258" s="3">
        <f t="shared" si="6"/>
        <v>-0.003772249285</v>
      </c>
      <c r="I258" s="5">
        <f t="shared" si="7"/>
        <v>1.0317547</v>
      </c>
    </row>
    <row r="259">
      <c r="A259" s="12">
        <f>IFERROR(__xludf.DUMMYFUNCTION("""COMPUTED_VALUE"""),42632.66666666667)</f>
        <v>42632.66667</v>
      </c>
      <c r="B259" s="13">
        <f>IFERROR(__xludf.DUMMYFUNCTION("""COMPUTED_VALUE"""),2139.12)</f>
        <v>2139.12</v>
      </c>
      <c r="C259" s="13">
        <f t="shared" si="1"/>
        <v>2159.55</v>
      </c>
      <c r="D259" s="13">
        <f t="shared" si="2"/>
        <v>2151.685</v>
      </c>
      <c r="E259" s="13" t="str">
        <f t="shared" si="3"/>
        <v>LONG</v>
      </c>
      <c r="F259" s="3">
        <f t="shared" si="4"/>
        <v>-0.00001869892855</v>
      </c>
      <c r="G259" s="4">
        <f t="shared" si="5"/>
        <v>1.028739612</v>
      </c>
      <c r="H259" s="3">
        <f t="shared" si="6"/>
        <v>-0.00001869892855</v>
      </c>
      <c r="I259" s="5">
        <f t="shared" si="7"/>
        <v>1.031735407</v>
      </c>
    </row>
    <row r="260">
      <c r="A260" s="12">
        <f>IFERROR(__xludf.DUMMYFUNCTION("""COMPUTED_VALUE"""),42633.66666666667)</f>
        <v>42633.66667</v>
      </c>
      <c r="B260" s="13">
        <f>IFERROR(__xludf.DUMMYFUNCTION("""COMPUTED_VALUE"""),2139.76)</f>
        <v>2139.76</v>
      </c>
      <c r="C260" s="13">
        <f t="shared" si="1"/>
        <v>2163.12</v>
      </c>
      <c r="D260" s="13">
        <f t="shared" si="2"/>
        <v>2161.315</v>
      </c>
      <c r="E260" s="13" t="str">
        <f t="shared" si="3"/>
        <v>LONG</v>
      </c>
      <c r="F260" s="3">
        <f t="shared" si="4"/>
        <v>0.0002991884513</v>
      </c>
      <c r="G260" s="4">
        <f t="shared" si="5"/>
        <v>1.029047399</v>
      </c>
      <c r="H260" s="3">
        <f t="shared" si="6"/>
        <v>0.0002991884513</v>
      </c>
      <c r="I260" s="5">
        <f t="shared" si="7"/>
        <v>1.03204409</v>
      </c>
    </row>
    <row r="261">
      <c r="A261" s="12">
        <f>IFERROR(__xludf.DUMMYFUNCTION("""COMPUTED_VALUE"""),42634.66666666667)</f>
        <v>42634.66667</v>
      </c>
      <c r="B261" s="13">
        <f>IFERROR(__xludf.DUMMYFUNCTION("""COMPUTED_VALUE"""),2163.12)</f>
        <v>2163.12</v>
      </c>
      <c r="C261" s="13">
        <f t="shared" si="1"/>
        <v>2174.64</v>
      </c>
      <c r="D261" s="13">
        <f t="shared" si="2"/>
        <v>2172.005</v>
      </c>
      <c r="E261" s="13" t="str">
        <f t="shared" si="3"/>
        <v>LONG</v>
      </c>
      <c r="F261" s="3">
        <f t="shared" si="4"/>
        <v>0.0109171122</v>
      </c>
      <c r="G261" s="4">
        <f t="shared" si="5"/>
        <v>1.040281625</v>
      </c>
      <c r="H261" s="3">
        <f t="shared" si="6"/>
        <v>0.0109171122</v>
      </c>
      <c r="I261" s="5">
        <f t="shared" si="7"/>
        <v>1.043311031</v>
      </c>
    </row>
    <row r="262">
      <c r="A262" s="12">
        <f>IFERROR(__xludf.DUMMYFUNCTION("""COMPUTED_VALUE"""),42635.66666666667)</f>
        <v>42635.66667</v>
      </c>
      <c r="B262" s="13">
        <f>IFERROR(__xludf.DUMMYFUNCTION("""COMPUTED_VALUE"""),2177.18)</f>
        <v>2177.18</v>
      </c>
      <c r="C262" s="13">
        <f t="shared" si="1"/>
        <v>2179.24</v>
      </c>
      <c r="D262" s="13">
        <f t="shared" si="2"/>
        <v>2179.46</v>
      </c>
      <c r="E262" s="13" t="str">
        <f t="shared" si="3"/>
        <v/>
      </c>
      <c r="F262" s="3">
        <f t="shared" si="4"/>
        <v>0.006499870557</v>
      </c>
      <c r="G262" s="4">
        <f t="shared" si="5"/>
        <v>1.047043321</v>
      </c>
      <c r="H262" s="5">
        <f t="shared" si="6"/>
        <v>0</v>
      </c>
      <c r="I262" s="5">
        <f t="shared" si="7"/>
        <v>1.043311031</v>
      </c>
    </row>
    <row r="263">
      <c r="A263" s="12">
        <f>IFERROR(__xludf.DUMMYFUNCTION("""COMPUTED_VALUE"""),42636.66666666667)</f>
        <v>42636.66667</v>
      </c>
      <c r="B263" s="13">
        <f>IFERROR(__xludf.DUMMYFUNCTION("""COMPUTED_VALUE"""),2164.69)</f>
        <v>2164.69</v>
      </c>
      <c r="C263" s="13">
        <f t="shared" si="1"/>
        <v>2146.25</v>
      </c>
      <c r="D263" s="13">
        <f t="shared" si="2"/>
        <v>2170.09</v>
      </c>
      <c r="E263" s="13" t="str">
        <f t="shared" si="3"/>
        <v/>
      </c>
      <c r="F263" s="3">
        <f t="shared" si="4"/>
        <v>-0.005736778769</v>
      </c>
      <c r="G263" s="4">
        <f t="shared" si="5"/>
        <v>1.041036665</v>
      </c>
      <c r="H263" s="5">
        <f t="shared" si="6"/>
        <v>0</v>
      </c>
      <c r="I263" s="5">
        <f t="shared" si="7"/>
        <v>1.043311031</v>
      </c>
    </row>
    <row r="264">
      <c r="A264" s="12">
        <f>IFERROR(__xludf.DUMMYFUNCTION("""COMPUTED_VALUE"""),42639.66666666667)</f>
        <v>42639.66667</v>
      </c>
      <c r="B264" s="13">
        <f>IFERROR(__xludf.DUMMYFUNCTION("""COMPUTED_VALUE"""),2146.1)</f>
        <v>2146.1</v>
      </c>
      <c r="C264" s="13">
        <f t="shared" si="1"/>
        <v>2152.57</v>
      </c>
      <c r="D264" s="13">
        <f t="shared" si="2"/>
        <v>2165.945</v>
      </c>
      <c r="E264" s="13" t="str">
        <f t="shared" si="3"/>
        <v/>
      </c>
      <c r="F264" s="3">
        <f t="shared" si="4"/>
        <v>-0.008587834748</v>
      </c>
      <c r="G264" s="4">
        <f t="shared" si="5"/>
        <v>1.032096414</v>
      </c>
      <c r="H264" s="5">
        <f t="shared" si="6"/>
        <v>0</v>
      </c>
      <c r="I264" s="5">
        <f t="shared" si="7"/>
        <v>1.043311031</v>
      </c>
    </row>
    <row r="265">
      <c r="A265" s="12">
        <f>IFERROR(__xludf.DUMMYFUNCTION("""COMPUTED_VALUE"""),42640.66666666667)</f>
        <v>42640.66667</v>
      </c>
      <c r="B265" s="13">
        <f>IFERROR(__xludf.DUMMYFUNCTION("""COMPUTED_VALUE"""),2159.93)</f>
        <v>2159.93</v>
      </c>
      <c r="C265" s="13">
        <f t="shared" si="1"/>
        <v>2143.475</v>
      </c>
      <c r="D265" s="13">
        <f t="shared" si="2"/>
        <v>2171.99</v>
      </c>
      <c r="E265" s="13" t="str">
        <f t="shared" si="3"/>
        <v/>
      </c>
      <c r="F265" s="3">
        <f t="shared" si="4"/>
        <v>0.006444247705</v>
      </c>
      <c r="G265" s="4">
        <f t="shared" si="5"/>
        <v>1.038747499</v>
      </c>
      <c r="H265" s="5">
        <f t="shared" si="6"/>
        <v>0</v>
      </c>
      <c r="I265" s="5">
        <f t="shared" si="7"/>
        <v>1.043311031</v>
      </c>
    </row>
    <row r="266">
      <c r="A266" s="12">
        <f>IFERROR(__xludf.DUMMYFUNCTION("""COMPUTED_VALUE"""),42641.66666666667)</f>
        <v>42641.66667</v>
      </c>
      <c r="B266" s="13">
        <f>IFERROR(__xludf.DUMMYFUNCTION("""COMPUTED_VALUE"""),2171.37)</f>
        <v>2171.37</v>
      </c>
      <c r="C266" s="13">
        <f t="shared" si="1"/>
        <v>2148.57</v>
      </c>
      <c r="D266" s="13">
        <f t="shared" si="2"/>
        <v>2180.76</v>
      </c>
      <c r="E266" s="13" t="str">
        <f t="shared" si="3"/>
        <v/>
      </c>
      <c r="F266" s="3">
        <f t="shared" si="4"/>
        <v>0.005296467941</v>
      </c>
      <c r="G266" s="4">
        <f t="shared" si="5"/>
        <v>1.044249192</v>
      </c>
      <c r="H266" s="5">
        <f t="shared" si="6"/>
        <v>0</v>
      </c>
      <c r="I266" s="5">
        <f t="shared" si="7"/>
        <v>1.043311031</v>
      </c>
    </row>
    <row r="267">
      <c r="A267" s="12">
        <f>IFERROR(__xludf.DUMMYFUNCTION("""COMPUTED_VALUE"""),42642.66666666667)</f>
        <v>42642.66667</v>
      </c>
      <c r="B267" s="13">
        <f>IFERROR(__xludf.DUMMYFUNCTION("""COMPUTED_VALUE"""),2151.13)</f>
        <v>2151.13</v>
      </c>
      <c r="C267" s="13">
        <f t="shared" si="1"/>
        <v>2149.195</v>
      </c>
      <c r="D267" s="13">
        <f t="shared" si="2"/>
        <v>2164.64</v>
      </c>
      <c r="E267" s="13" t="str">
        <f t="shared" si="3"/>
        <v/>
      </c>
      <c r="F267" s="3">
        <f t="shared" si="4"/>
        <v>-0.009321304061</v>
      </c>
      <c r="G267" s="4">
        <f t="shared" si="5"/>
        <v>1.034515428</v>
      </c>
      <c r="H267" s="5">
        <f t="shared" si="6"/>
        <v>0</v>
      </c>
      <c r="I267" s="5">
        <f t="shared" si="7"/>
        <v>1.043311031</v>
      </c>
    </row>
    <row r="268">
      <c r="A268" s="12">
        <f>IFERROR(__xludf.DUMMYFUNCTION("""COMPUTED_VALUE"""),42643.66666666667)</f>
        <v>42643.66667</v>
      </c>
      <c r="B268" s="13">
        <f>IFERROR(__xludf.DUMMYFUNCTION("""COMPUTED_VALUE"""),2168.27)</f>
        <v>2168.27</v>
      </c>
      <c r="C268" s="13">
        <f t="shared" si="1"/>
        <v>2153.715</v>
      </c>
      <c r="D268" s="13">
        <f t="shared" si="2"/>
        <v>2175.245</v>
      </c>
      <c r="E268" s="13" t="str">
        <f t="shared" si="3"/>
        <v/>
      </c>
      <c r="F268" s="3">
        <f t="shared" si="4"/>
        <v>0.007967905241</v>
      </c>
      <c r="G268" s="4">
        <f t="shared" si="5"/>
        <v>1.042758349</v>
      </c>
      <c r="H268" s="5">
        <f t="shared" si="6"/>
        <v>0</v>
      </c>
      <c r="I268" s="5">
        <f t="shared" si="7"/>
        <v>1.043311031</v>
      </c>
    </row>
    <row r="269">
      <c r="A269" s="12">
        <f>IFERROR(__xludf.DUMMYFUNCTION("""COMPUTED_VALUE"""),42646.66666666667)</f>
        <v>42646.66667</v>
      </c>
      <c r="B269" s="13">
        <f>IFERROR(__xludf.DUMMYFUNCTION("""COMPUTED_VALUE"""),2161.2)</f>
        <v>2161.2</v>
      </c>
      <c r="C269" s="13">
        <f t="shared" si="1"/>
        <v>2150.16</v>
      </c>
      <c r="D269" s="13">
        <f t="shared" si="2"/>
        <v>2174.11</v>
      </c>
      <c r="E269" s="13" t="str">
        <f t="shared" si="3"/>
        <v/>
      </c>
      <c r="F269" s="3">
        <f t="shared" si="4"/>
        <v>-0.003260664032</v>
      </c>
      <c r="G269" s="4">
        <f t="shared" si="5"/>
        <v>1.039358264</v>
      </c>
      <c r="H269" s="5">
        <f t="shared" si="6"/>
        <v>0</v>
      </c>
      <c r="I269" s="5">
        <f t="shared" si="7"/>
        <v>1.043311031</v>
      </c>
    </row>
    <row r="270">
      <c r="A270" s="12">
        <f>IFERROR(__xludf.DUMMYFUNCTION("""COMPUTED_VALUE"""),42647.66666666667)</f>
        <v>42647.66667</v>
      </c>
      <c r="B270" s="13">
        <f>IFERROR(__xludf.DUMMYFUNCTION("""COMPUTED_VALUE"""),2150.49)</f>
        <v>2150.49</v>
      </c>
      <c r="C270" s="13">
        <f t="shared" si="1"/>
        <v>2145.125</v>
      </c>
      <c r="D270" s="13">
        <f t="shared" si="2"/>
        <v>2167.18</v>
      </c>
      <c r="E270" s="13" t="str">
        <f t="shared" si="3"/>
        <v/>
      </c>
      <c r="F270" s="3">
        <f t="shared" si="4"/>
        <v>-0.004955580233</v>
      </c>
      <c r="G270" s="4">
        <f t="shared" si="5"/>
        <v>1.034207641</v>
      </c>
      <c r="H270" s="5">
        <f t="shared" si="6"/>
        <v>0</v>
      </c>
      <c r="I270" s="5">
        <f t="shared" si="7"/>
        <v>1.043311031</v>
      </c>
    </row>
    <row r="271">
      <c r="A271" s="12">
        <f>IFERROR(__xludf.DUMMYFUNCTION("""COMPUTED_VALUE"""),42648.66666666667)</f>
        <v>42648.66667</v>
      </c>
      <c r="B271" s="13">
        <f>IFERROR(__xludf.DUMMYFUNCTION("""COMPUTED_VALUE"""),2159.73)</f>
        <v>2159.73</v>
      </c>
      <c r="C271" s="13">
        <f t="shared" si="1"/>
        <v>2161.425</v>
      </c>
      <c r="D271" s="13">
        <f t="shared" si="2"/>
        <v>2171.185</v>
      </c>
      <c r="E271" s="13" t="str">
        <f t="shared" si="3"/>
        <v/>
      </c>
      <c r="F271" s="3">
        <f t="shared" si="4"/>
        <v>0.004296695172</v>
      </c>
      <c r="G271" s="4">
        <f t="shared" si="5"/>
        <v>1.038651316</v>
      </c>
      <c r="H271" s="5">
        <f t="shared" si="6"/>
        <v>0</v>
      </c>
      <c r="I271" s="5">
        <f t="shared" si="7"/>
        <v>1.043311031</v>
      </c>
    </row>
    <row r="272">
      <c r="A272" s="12">
        <f>IFERROR(__xludf.DUMMYFUNCTION("""COMPUTED_VALUE"""),42649.66666666667)</f>
        <v>42649.66667</v>
      </c>
      <c r="B272" s="13">
        <f>IFERROR(__xludf.DUMMYFUNCTION("""COMPUTED_VALUE"""),2160.77)</f>
        <v>2160.77</v>
      </c>
      <c r="C272" s="13">
        <f t="shared" si="1"/>
        <v>2168.975</v>
      </c>
      <c r="D272" s="13">
        <f t="shared" si="2"/>
        <v>2173.835</v>
      </c>
      <c r="E272" s="13" t="str">
        <f t="shared" si="3"/>
        <v/>
      </c>
      <c r="F272" s="3">
        <f t="shared" si="4"/>
        <v>0.0004815416742</v>
      </c>
      <c r="G272" s="4">
        <f t="shared" si="5"/>
        <v>1.03915147</v>
      </c>
      <c r="H272" s="5">
        <f t="shared" si="6"/>
        <v>0</v>
      </c>
      <c r="I272" s="5">
        <f t="shared" si="7"/>
        <v>1.043311031</v>
      </c>
    </row>
    <row r="273">
      <c r="A273" s="12">
        <f>IFERROR(__xludf.DUMMYFUNCTION("""COMPUTED_VALUE"""),42650.66666666667)</f>
        <v>42650.66667</v>
      </c>
      <c r="B273" s="13">
        <f>IFERROR(__xludf.DUMMYFUNCTION("""COMPUTED_VALUE"""),2153.74)</f>
        <v>2153.74</v>
      </c>
      <c r="C273" s="13">
        <f t="shared" si="1"/>
        <v>2159.215</v>
      </c>
      <c r="D273" s="13">
        <f t="shared" si="2"/>
        <v>2164.59</v>
      </c>
      <c r="E273" s="13" t="str">
        <f t="shared" si="3"/>
        <v/>
      </c>
      <c r="F273" s="3">
        <f t="shared" si="4"/>
        <v>-0.003253469828</v>
      </c>
      <c r="G273" s="4">
        <f t="shared" si="5"/>
        <v>1.035770622</v>
      </c>
      <c r="H273" s="5">
        <f t="shared" si="6"/>
        <v>0</v>
      </c>
      <c r="I273" s="5">
        <f t="shared" si="7"/>
        <v>1.043311031</v>
      </c>
    </row>
    <row r="274">
      <c r="A274" s="12">
        <f>IFERROR(__xludf.DUMMYFUNCTION("""COMPUTED_VALUE"""),42653.66666666667)</f>
        <v>42653.66667</v>
      </c>
      <c r="B274" s="13">
        <f>IFERROR(__xludf.DUMMYFUNCTION("""COMPUTED_VALUE"""),2163.66)</f>
        <v>2163.66</v>
      </c>
      <c r="C274" s="13">
        <f t="shared" si="1"/>
        <v>2154.88</v>
      </c>
      <c r="D274" s="13">
        <f t="shared" si="2"/>
        <v>2168.065</v>
      </c>
      <c r="E274" s="13" t="str">
        <f t="shared" si="3"/>
        <v/>
      </c>
      <c r="F274" s="3">
        <f t="shared" si="4"/>
        <v>0.004605941293</v>
      </c>
      <c r="G274" s="4">
        <f t="shared" si="5"/>
        <v>1.04054132</v>
      </c>
      <c r="H274" s="5">
        <f t="shared" si="6"/>
        <v>0</v>
      </c>
      <c r="I274" s="5">
        <f t="shared" si="7"/>
        <v>1.043311031</v>
      </c>
    </row>
    <row r="275">
      <c r="A275" s="12">
        <f>IFERROR(__xludf.DUMMYFUNCTION("""COMPUTED_VALUE"""),42654.66666666667)</f>
        <v>42654.66667</v>
      </c>
      <c r="B275" s="13">
        <f>IFERROR(__xludf.DUMMYFUNCTION("""COMPUTED_VALUE"""),2136.73)</f>
        <v>2136.73</v>
      </c>
      <c r="C275" s="13">
        <f t="shared" si="1"/>
        <v>2148.33</v>
      </c>
      <c r="D275" s="13">
        <f t="shared" si="2"/>
        <v>2152.885</v>
      </c>
      <c r="E275" s="13" t="str">
        <f t="shared" si="3"/>
        <v/>
      </c>
      <c r="F275" s="3">
        <f t="shared" si="4"/>
        <v>-0.01244650269</v>
      </c>
      <c r="G275" s="4">
        <f t="shared" si="5"/>
        <v>1.02759022</v>
      </c>
      <c r="H275" s="5">
        <f t="shared" si="6"/>
        <v>0</v>
      </c>
      <c r="I275" s="5">
        <f t="shared" si="7"/>
        <v>1.043311031</v>
      </c>
    </row>
    <row r="276">
      <c r="A276" s="12">
        <f>IFERROR(__xludf.DUMMYFUNCTION("""COMPUTED_VALUE"""),42655.66666666667)</f>
        <v>42655.66667</v>
      </c>
      <c r="B276" s="13">
        <f>IFERROR(__xludf.DUMMYFUNCTION("""COMPUTED_VALUE"""),2139.18)</f>
        <v>2139.18</v>
      </c>
      <c r="C276" s="13">
        <f t="shared" si="1"/>
        <v>2155.275</v>
      </c>
      <c r="D276" s="13">
        <f t="shared" si="2"/>
        <v>2159.78</v>
      </c>
      <c r="E276" s="13" t="str">
        <f t="shared" si="3"/>
        <v/>
      </c>
      <c r="F276" s="3">
        <f t="shared" si="4"/>
        <v>0.001146611879</v>
      </c>
      <c r="G276" s="4">
        <f t="shared" si="5"/>
        <v>1.028768467</v>
      </c>
      <c r="H276" s="5">
        <f t="shared" si="6"/>
        <v>0</v>
      </c>
      <c r="I276" s="5">
        <f t="shared" si="7"/>
        <v>1.043311031</v>
      </c>
    </row>
    <row r="277">
      <c r="A277" s="12">
        <f>IFERROR(__xludf.DUMMYFUNCTION("""COMPUTED_VALUE"""),42656.66666666667)</f>
        <v>42656.66667</v>
      </c>
      <c r="B277" s="13">
        <f>IFERROR(__xludf.DUMMYFUNCTION("""COMPUTED_VALUE"""),2132.55)</f>
        <v>2132.55</v>
      </c>
      <c r="C277" s="13">
        <f t="shared" si="1"/>
        <v>2141.84</v>
      </c>
      <c r="D277" s="13">
        <f t="shared" si="2"/>
        <v>2154.335</v>
      </c>
      <c r="E277" s="13" t="str">
        <f t="shared" si="3"/>
        <v/>
      </c>
      <c r="F277" s="3">
        <f t="shared" si="4"/>
        <v>-0.00309931843</v>
      </c>
      <c r="G277" s="4">
        <f t="shared" si="5"/>
        <v>1.025579986</v>
      </c>
      <c r="H277" s="5">
        <f t="shared" si="6"/>
        <v>0</v>
      </c>
      <c r="I277" s="5">
        <f t="shared" si="7"/>
        <v>1.043311031</v>
      </c>
    </row>
    <row r="278">
      <c r="A278" s="12">
        <f>IFERROR(__xludf.DUMMYFUNCTION("""COMPUTED_VALUE"""),42657.66666666667)</f>
        <v>42657.66667</v>
      </c>
      <c r="B278" s="13">
        <f>IFERROR(__xludf.DUMMYFUNCTION("""COMPUTED_VALUE"""),2132.98)</f>
        <v>2132.98</v>
      </c>
      <c r="C278" s="13">
        <f t="shared" si="1"/>
        <v>2150.625</v>
      </c>
      <c r="D278" s="13">
        <f t="shared" si="2"/>
        <v>2151.965</v>
      </c>
      <c r="E278" s="13" t="str">
        <f t="shared" si="3"/>
        <v/>
      </c>
      <c r="F278" s="3">
        <f t="shared" si="4"/>
        <v>0.0002016365384</v>
      </c>
      <c r="G278" s="4">
        <f t="shared" si="5"/>
        <v>1.025786781</v>
      </c>
      <c r="H278" s="5">
        <f t="shared" si="6"/>
        <v>0</v>
      </c>
      <c r="I278" s="5">
        <f t="shared" si="7"/>
        <v>1.043311031</v>
      </c>
    </row>
    <row r="279">
      <c r="A279" s="12">
        <f>IFERROR(__xludf.DUMMYFUNCTION("""COMPUTED_VALUE"""),42660.66666666667)</f>
        <v>42660.66667</v>
      </c>
      <c r="B279" s="13">
        <f>IFERROR(__xludf.DUMMYFUNCTION("""COMPUTED_VALUE"""),2126.5)</f>
        <v>2126.5</v>
      </c>
      <c r="C279" s="13">
        <f t="shared" si="1"/>
        <v>2143.85</v>
      </c>
      <c r="D279" s="13">
        <f t="shared" si="2"/>
        <v>2148.68</v>
      </c>
      <c r="E279" s="13" t="str">
        <f t="shared" si="3"/>
        <v/>
      </c>
      <c r="F279" s="3">
        <f t="shared" si="4"/>
        <v>-0.003038003169</v>
      </c>
      <c r="G279" s="4">
        <f t="shared" si="5"/>
        <v>1.022670437</v>
      </c>
      <c r="H279" s="5">
        <f t="shared" si="6"/>
        <v>0</v>
      </c>
      <c r="I279" s="5">
        <f t="shared" si="7"/>
        <v>1.043311031</v>
      </c>
    </row>
    <row r="280">
      <c r="A280" s="12">
        <f>IFERROR(__xludf.DUMMYFUNCTION("""COMPUTED_VALUE"""),42661.66666666667)</f>
        <v>42661.66667</v>
      </c>
      <c r="B280" s="13">
        <f>IFERROR(__xludf.DUMMYFUNCTION("""COMPUTED_VALUE"""),2139.6)</f>
        <v>2139.6</v>
      </c>
      <c r="C280" s="13">
        <f t="shared" si="1"/>
        <v>2145.045</v>
      </c>
      <c r="D280" s="13">
        <f t="shared" si="2"/>
        <v>2159.79</v>
      </c>
      <c r="E280" s="13" t="str">
        <f t="shared" si="3"/>
        <v/>
      </c>
      <c r="F280" s="3">
        <f t="shared" si="4"/>
        <v>0.006160357395</v>
      </c>
      <c r="G280" s="4">
        <f t="shared" si="5"/>
        <v>1.028970452</v>
      </c>
      <c r="H280" s="5">
        <f t="shared" si="6"/>
        <v>0</v>
      </c>
      <c r="I280" s="5">
        <f t="shared" si="7"/>
        <v>1.043311031</v>
      </c>
    </row>
    <row r="281">
      <c r="A281" s="12">
        <f>IFERROR(__xludf.DUMMYFUNCTION("""COMPUTED_VALUE"""),42662.66666666667)</f>
        <v>42662.66667</v>
      </c>
      <c r="B281" s="13">
        <f>IFERROR(__xludf.DUMMYFUNCTION("""COMPUTED_VALUE"""),2144.29)</f>
        <v>2144.29</v>
      </c>
      <c r="C281" s="13">
        <f t="shared" si="1"/>
        <v>2152.01</v>
      </c>
      <c r="D281" s="13">
        <f t="shared" si="2"/>
        <v>2165.385</v>
      </c>
      <c r="E281" s="13" t="str">
        <f t="shared" si="3"/>
        <v/>
      </c>
      <c r="F281" s="3">
        <f t="shared" si="4"/>
        <v>0.002191998504</v>
      </c>
      <c r="G281" s="4">
        <f t="shared" si="5"/>
        <v>1.031225954</v>
      </c>
      <c r="H281" s="5">
        <f t="shared" si="6"/>
        <v>0</v>
      </c>
      <c r="I281" s="5">
        <f t="shared" si="7"/>
        <v>1.043311031</v>
      </c>
    </row>
    <row r="282">
      <c r="A282" s="12">
        <f>IFERROR(__xludf.DUMMYFUNCTION("""COMPUTED_VALUE"""),42663.66666666667)</f>
        <v>42663.66667</v>
      </c>
      <c r="B282" s="13">
        <f>IFERROR(__xludf.DUMMYFUNCTION("""COMPUTED_VALUE"""),2141.34)</f>
        <v>2141.34</v>
      </c>
      <c r="C282" s="13">
        <f t="shared" si="1"/>
        <v>2151.055</v>
      </c>
      <c r="D282" s="13">
        <f t="shared" si="2"/>
        <v>2163.75</v>
      </c>
      <c r="E282" s="13" t="str">
        <f t="shared" si="3"/>
        <v/>
      </c>
      <c r="F282" s="3">
        <f t="shared" si="4"/>
        <v>-0.001375746751</v>
      </c>
      <c r="G282" s="4">
        <f t="shared" si="5"/>
        <v>1.029807248</v>
      </c>
      <c r="H282" s="5">
        <f t="shared" si="6"/>
        <v>0</v>
      </c>
      <c r="I282" s="5">
        <f t="shared" si="7"/>
        <v>1.043311031</v>
      </c>
    </row>
    <row r="283">
      <c r="A283" s="12">
        <f>IFERROR(__xludf.DUMMYFUNCTION("""COMPUTED_VALUE"""),42664.66666666667)</f>
        <v>42664.66667</v>
      </c>
      <c r="B283" s="13">
        <f>IFERROR(__xludf.DUMMYFUNCTION("""COMPUTED_VALUE"""),2141.16)</f>
        <v>2141.16</v>
      </c>
      <c r="C283" s="13">
        <f t="shared" si="1"/>
        <v>2147.45</v>
      </c>
      <c r="D283" s="13">
        <f t="shared" si="2"/>
        <v>2161.23</v>
      </c>
      <c r="E283" s="13" t="str">
        <f t="shared" si="3"/>
        <v/>
      </c>
      <c r="F283" s="3">
        <f t="shared" si="4"/>
        <v>-0.00008405951414</v>
      </c>
      <c r="G283" s="4">
        <f t="shared" si="5"/>
        <v>1.029720683</v>
      </c>
      <c r="H283" s="5">
        <f t="shared" si="6"/>
        <v>0</v>
      </c>
      <c r="I283" s="5">
        <f t="shared" si="7"/>
        <v>1.043311031</v>
      </c>
    </row>
    <row r="284">
      <c r="A284" s="12">
        <f>IFERROR(__xludf.DUMMYFUNCTION("""COMPUTED_VALUE"""),42667.66666666667)</f>
        <v>42667.66667</v>
      </c>
      <c r="B284" s="13">
        <f>IFERROR(__xludf.DUMMYFUNCTION("""COMPUTED_VALUE"""),2151.33)</f>
        <v>2151.33</v>
      </c>
      <c r="C284" s="13">
        <f t="shared" si="1"/>
        <v>2157.495</v>
      </c>
      <c r="D284" s="13">
        <f t="shared" si="2"/>
        <v>2139.57</v>
      </c>
      <c r="E284" s="13" t="str">
        <f t="shared" si="3"/>
        <v>LONG</v>
      </c>
      <c r="F284" s="3">
        <f t="shared" si="4"/>
        <v>0.004749761811</v>
      </c>
      <c r="G284" s="4">
        <f t="shared" si="5"/>
        <v>1.034611611</v>
      </c>
      <c r="H284" s="3">
        <f t="shared" si="6"/>
        <v>0.004749761811</v>
      </c>
      <c r="I284" s="5">
        <f t="shared" si="7"/>
        <v>1.04826651</v>
      </c>
    </row>
    <row r="285">
      <c r="A285" s="12">
        <f>IFERROR(__xludf.DUMMYFUNCTION("""COMPUTED_VALUE"""),42668.66666666667)</f>
        <v>42668.66667</v>
      </c>
      <c r="B285" s="13">
        <f>IFERROR(__xludf.DUMMYFUNCTION("""COMPUTED_VALUE"""),2143.16)</f>
        <v>2143.16</v>
      </c>
      <c r="C285" s="13">
        <f t="shared" si="1"/>
        <v>2139.945</v>
      </c>
      <c r="D285" s="13">
        <f t="shared" si="2"/>
        <v>2151.1</v>
      </c>
      <c r="E285" s="13" t="str">
        <f t="shared" si="3"/>
        <v/>
      </c>
      <c r="F285" s="3">
        <f t="shared" si="4"/>
        <v>-0.003797650756</v>
      </c>
      <c r="G285" s="4">
        <f t="shared" si="5"/>
        <v>1.030682518</v>
      </c>
      <c r="H285" s="5">
        <f t="shared" si="6"/>
        <v>0</v>
      </c>
      <c r="I285" s="5">
        <f t="shared" si="7"/>
        <v>1.04826651</v>
      </c>
    </row>
    <row r="286">
      <c r="A286" s="12">
        <f>IFERROR(__xludf.DUMMYFUNCTION("""COMPUTED_VALUE"""),42669.66666666667)</f>
        <v>42669.66667</v>
      </c>
      <c r="B286" s="13">
        <f>IFERROR(__xludf.DUMMYFUNCTION("""COMPUTED_VALUE"""),2139.43)</f>
        <v>2139.43</v>
      </c>
      <c r="C286" s="13">
        <f t="shared" si="1"/>
        <v>2139.305</v>
      </c>
      <c r="D286" s="13">
        <f t="shared" si="2"/>
        <v>2133.225</v>
      </c>
      <c r="E286" s="13" t="str">
        <f t="shared" si="3"/>
        <v>LONG</v>
      </c>
      <c r="F286" s="3">
        <f t="shared" si="4"/>
        <v>-0.001740420687</v>
      </c>
      <c r="G286" s="4">
        <f t="shared" si="5"/>
        <v>1.028888697</v>
      </c>
      <c r="H286" s="3">
        <f t="shared" si="6"/>
        <v>-0.001740420687</v>
      </c>
      <c r="I286" s="5">
        <f t="shared" si="7"/>
        <v>1.046442085</v>
      </c>
    </row>
    <row r="287">
      <c r="A287" s="12">
        <f>IFERROR(__xludf.DUMMYFUNCTION("""COMPUTED_VALUE"""),42670.66666666667)</f>
        <v>42670.66667</v>
      </c>
      <c r="B287" s="13">
        <f>IFERROR(__xludf.DUMMYFUNCTION("""COMPUTED_VALUE"""),2133.04)</f>
        <v>2133.04</v>
      </c>
      <c r="C287" s="13">
        <f t="shared" si="1"/>
        <v>2132.795</v>
      </c>
      <c r="D287" s="13">
        <f t="shared" si="2"/>
        <v>2129.405</v>
      </c>
      <c r="E287" s="13" t="str">
        <f t="shared" si="3"/>
        <v>LONG</v>
      </c>
      <c r="F287" s="3">
        <f t="shared" si="4"/>
        <v>-0.002986776852</v>
      </c>
      <c r="G287" s="4">
        <f t="shared" si="5"/>
        <v>1.025815636</v>
      </c>
      <c r="H287" s="3">
        <f t="shared" si="6"/>
        <v>-0.002986776852</v>
      </c>
      <c r="I287" s="5">
        <f t="shared" si="7"/>
        <v>1.043316596</v>
      </c>
    </row>
    <row r="288">
      <c r="A288" s="12">
        <f>IFERROR(__xludf.DUMMYFUNCTION("""COMPUTED_VALUE"""),42671.66666666667)</f>
        <v>42671.66667</v>
      </c>
      <c r="B288" s="13">
        <f>IFERROR(__xludf.DUMMYFUNCTION("""COMPUTED_VALUE"""),2126.41)</f>
        <v>2126.41</v>
      </c>
      <c r="C288" s="13">
        <f t="shared" si="1"/>
        <v>2129.695</v>
      </c>
      <c r="D288" s="13">
        <f t="shared" si="2"/>
        <v>2136.835</v>
      </c>
      <c r="E288" s="13" t="str">
        <f t="shared" si="3"/>
        <v/>
      </c>
      <c r="F288" s="3">
        <f t="shared" si="4"/>
        <v>-0.003108239883</v>
      </c>
      <c r="G288" s="4">
        <f t="shared" si="5"/>
        <v>1.022627155</v>
      </c>
      <c r="H288" s="5">
        <f t="shared" si="6"/>
        <v>0</v>
      </c>
      <c r="I288" s="5">
        <f t="shared" si="7"/>
        <v>1.043316596</v>
      </c>
    </row>
    <row r="289">
      <c r="A289" s="12">
        <f>IFERROR(__xludf.DUMMYFUNCTION("""COMPUTED_VALUE"""),42674.66666666667)</f>
        <v>42674.66667</v>
      </c>
      <c r="B289" s="13">
        <f>IFERROR(__xludf.DUMMYFUNCTION("""COMPUTED_VALUE"""),2126.15)</f>
        <v>2126.15</v>
      </c>
      <c r="C289" s="13">
        <f t="shared" si="1"/>
        <v>2126.325</v>
      </c>
      <c r="D289" s="13">
        <f t="shared" si="2"/>
        <v>2132.655</v>
      </c>
      <c r="E289" s="13" t="str">
        <f t="shared" si="3"/>
        <v/>
      </c>
      <c r="F289" s="3">
        <f t="shared" si="4"/>
        <v>-0.0001222718102</v>
      </c>
      <c r="G289" s="4">
        <f t="shared" si="5"/>
        <v>1.022502116</v>
      </c>
      <c r="H289" s="5">
        <f t="shared" si="6"/>
        <v>0</v>
      </c>
      <c r="I289" s="5">
        <f t="shared" si="7"/>
        <v>1.043316596</v>
      </c>
    </row>
    <row r="290">
      <c r="A290" s="12">
        <f>IFERROR(__xludf.DUMMYFUNCTION("""COMPUTED_VALUE"""),42675.66666666667)</f>
        <v>42675.66667</v>
      </c>
      <c r="B290" s="13">
        <f>IFERROR(__xludf.DUMMYFUNCTION("""COMPUTED_VALUE"""),2111.72)</f>
        <v>2111.72</v>
      </c>
      <c r="C290" s="13">
        <f t="shared" si="1"/>
        <v>2125.66</v>
      </c>
      <c r="D290" s="13">
        <f t="shared" si="2"/>
        <v>2125.42</v>
      </c>
      <c r="E290" s="13" t="str">
        <f t="shared" si="3"/>
        <v>LONG</v>
      </c>
      <c r="F290" s="3">
        <f t="shared" si="4"/>
        <v>-0.006786915316</v>
      </c>
      <c r="G290" s="4">
        <f t="shared" si="5"/>
        <v>1.015562481</v>
      </c>
      <c r="H290" s="3">
        <f t="shared" si="6"/>
        <v>-0.006786915316</v>
      </c>
      <c r="I290" s="5">
        <f t="shared" si="7"/>
        <v>1.036235695</v>
      </c>
    </row>
    <row r="291">
      <c r="A291" s="12">
        <f>IFERROR(__xludf.DUMMYFUNCTION("""COMPUTED_VALUE"""),42676.66666666667)</f>
        <v>42676.66667</v>
      </c>
      <c r="B291" s="13">
        <f>IFERROR(__xludf.DUMMYFUNCTION("""COMPUTED_VALUE"""),2097.94)</f>
        <v>2097.94</v>
      </c>
      <c r="C291" s="13">
        <f t="shared" si="1"/>
        <v>2121.115</v>
      </c>
      <c r="D291" s="13">
        <f t="shared" si="2"/>
        <v>2118.85</v>
      </c>
      <c r="E291" s="13" t="str">
        <f t="shared" si="3"/>
        <v>LONG</v>
      </c>
      <c r="F291" s="3">
        <f t="shared" si="4"/>
        <v>-0.006525486333</v>
      </c>
      <c r="G291" s="4">
        <f t="shared" si="5"/>
        <v>1.008935442</v>
      </c>
      <c r="H291" s="3">
        <f t="shared" si="6"/>
        <v>-0.006525486333</v>
      </c>
      <c r="I291" s="5">
        <f t="shared" si="7"/>
        <v>1.029473753</v>
      </c>
    </row>
    <row r="292">
      <c r="A292" s="12">
        <f>IFERROR(__xludf.DUMMYFUNCTION("""COMPUTED_VALUE"""),42677.66666666667)</f>
        <v>42677.66667</v>
      </c>
      <c r="B292" s="13">
        <f>IFERROR(__xludf.DUMMYFUNCTION("""COMPUTED_VALUE"""),2088.66)</f>
        <v>2088.66</v>
      </c>
      <c r="C292" s="13">
        <f t="shared" si="1"/>
        <v>2115</v>
      </c>
      <c r="D292" s="13">
        <f t="shared" si="2"/>
        <v>2125.89</v>
      </c>
      <c r="E292" s="13" t="str">
        <f t="shared" si="3"/>
        <v/>
      </c>
      <c r="F292" s="3">
        <f t="shared" si="4"/>
        <v>-0.004423386751</v>
      </c>
      <c r="G292" s="4">
        <f t="shared" si="5"/>
        <v>1.00447253</v>
      </c>
      <c r="H292" s="5">
        <f t="shared" si="6"/>
        <v>0</v>
      </c>
      <c r="I292" s="5">
        <f t="shared" si="7"/>
        <v>1.029473753</v>
      </c>
    </row>
    <row r="293">
      <c r="A293" s="12">
        <f>IFERROR(__xludf.DUMMYFUNCTION("""COMPUTED_VALUE"""),42678.66666666667)</f>
        <v>42678.66667</v>
      </c>
      <c r="B293" s="13">
        <f>IFERROR(__xludf.DUMMYFUNCTION("""COMPUTED_VALUE"""),2085.18)</f>
        <v>2085.18</v>
      </c>
      <c r="C293" s="13">
        <f t="shared" si="1"/>
        <v>2113.17</v>
      </c>
      <c r="D293" s="13">
        <f t="shared" si="2"/>
        <v>2131.18</v>
      </c>
      <c r="E293" s="13" t="str">
        <f t="shared" si="3"/>
        <v/>
      </c>
      <c r="F293" s="3">
        <f t="shared" si="4"/>
        <v>-0.001666140013</v>
      </c>
      <c r="G293" s="4">
        <f t="shared" si="5"/>
        <v>1.002798938</v>
      </c>
      <c r="H293" s="5">
        <f t="shared" si="6"/>
        <v>0</v>
      </c>
      <c r="I293" s="5">
        <f t="shared" si="7"/>
        <v>1.029473753</v>
      </c>
    </row>
    <row r="294">
      <c r="A294" s="12">
        <f>IFERROR(__xludf.DUMMYFUNCTION("""COMPUTED_VALUE"""),42681.66666666667)</f>
        <v>42681.66667</v>
      </c>
      <c r="B294" s="13">
        <f>IFERROR(__xludf.DUMMYFUNCTION("""COMPUTED_VALUE"""),2131.52)</f>
        <v>2131.52</v>
      </c>
      <c r="C294" s="13">
        <f t="shared" si="1"/>
        <v>2141.425</v>
      </c>
      <c r="D294" s="13">
        <f t="shared" si="2"/>
        <v>2148.105</v>
      </c>
      <c r="E294" s="13" t="str">
        <f t="shared" si="3"/>
        <v/>
      </c>
      <c r="F294" s="3">
        <f t="shared" si="4"/>
        <v>0.02222350109</v>
      </c>
      <c r="G294" s="4">
        <f t="shared" si="5"/>
        <v>1.025084641</v>
      </c>
      <c r="H294" s="5">
        <f t="shared" si="6"/>
        <v>0</v>
      </c>
      <c r="I294" s="5">
        <f t="shared" si="7"/>
        <v>1.029473753</v>
      </c>
    </row>
    <row r="295">
      <c r="A295" s="12">
        <f>IFERROR(__xludf.DUMMYFUNCTION("""COMPUTED_VALUE"""),42682.66666666667)</f>
        <v>42682.66667</v>
      </c>
      <c r="B295" s="13">
        <f>IFERROR(__xludf.DUMMYFUNCTION("""COMPUTED_VALUE"""),2139.56)</f>
        <v>2139.56</v>
      </c>
      <c r="C295" s="13">
        <f t="shared" si="1"/>
        <v>2141.36</v>
      </c>
      <c r="D295" s="13">
        <f t="shared" si="2"/>
        <v>2142.83</v>
      </c>
      <c r="E295" s="13" t="str">
        <f t="shared" si="3"/>
        <v/>
      </c>
      <c r="F295" s="3">
        <f t="shared" si="4"/>
        <v>0.003771956163</v>
      </c>
      <c r="G295" s="4">
        <f t="shared" si="5"/>
        <v>1.028951216</v>
      </c>
      <c r="H295" s="5">
        <f t="shared" si="6"/>
        <v>0</v>
      </c>
      <c r="I295" s="5">
        <f t="shared" si="7"/>
        <v>1.029473753</v>
      </c>
    </row>
    <row r="296">
      <c r="A296" s="12">
        <f>IFERROR(__xludf.DUMMYFUNCTION("""COMPUTED_VALUE"""),42683.66666666667)</f>
        <v>42683.66667</v>
      </c>
      <c r="B296" s="13">
        <f>IFERROR(__xludf.DUMMYFUNCTION("""COMPUTED_VALUE"""),2163.26)</f>
        <v>2163.26</v>
      </c>
      <c r="C296" s="13">
        <f t="shared" si="1"/>
        <v>2151.345</v>
      </c>
      <c r="D296" s="13">
        <f t="shared" si="2"/>
        <v>2161.595</v>
      </c>
      <c r="E296" s="13" t="str">
        <f t="shared" si="3"/>
        <v/>
      </c>
      <c r="F296" s="3">
        <f t="shared" si="4"/>
        <v>0.01107704388</v>
      </c>
      <c r="G296" s="4">
        <f t="shared" si="5"/>
        <v>1.040348954</v>
      </c>
      <c r="H296" s="5">
        <f t="shared" si="6"/>
        <v>0</v>
      </c>
      <c r="I296" s="5">
        <f t="shared" si="7"/>
        <v>1.029473753</v>
      </c>
    </row>
    <row r="297">
      <c r="A297" s="12">
        <f>IFERROR(__xludf.DUMMYFUNCTION("""COMPUTED_VALUE"""),42684.66666666667)</f>
        <v>42684.66667</v>
      </c>
      <c r="B297" s="13">
        <f>IFERROR(__xludf.DUMMYFUNCTION("""COMPUTED_VALUE"""),2167.48)</f>
        <v>2167.48</v>
      </c>
      <c r="C297" s="13">
        <f t="shared" si="1"/>
        <v>2150.26</v>
      </c>
      <c r="D297" s="13">
        <f t="shared" si="2"/>
        <v>2169.425</v>
      </c>
      <c r="E297" s="13" t="str">
        <f t="shared" si="3"/>
        <v/>
      </c>
      <c r="F297" s="3">
        <f t="shared" si="4"/>
        <v>0.001950759502</v>
      </c>
      <c r="G297" s="4">
        <f t="shared" si="5"/>
        <v>1.042378424</v>
      </c>
      <c r="H297" s="5">
        <f t="shared" si="6"/>
        <v>0</v>
      </c>
      <c r="I297" s="5">
        <f t="shared" si="7"/>
        <v>1.029473753</v>
      </c>
    </row>
    <row r="298">
      <c r="A298" s="12">
        <f>IFERROR(__xludf.DUMMYFUNCTION("""COMPUTED_VALUE"""),42685.66666666667)</f>
        <v>42685.66667</v>
      </c>
      <c r="B298" s="13">
        <f>IFERROR(__xludf.DUMMYFUNCTION("""COMPUTED_VALUE"""),2164.45)</f>
        <v>2164.45</v>
      </c>
      <c r="C298" s="13">
        <f t="shared" si="1"/>
        <v>2145.43</v>
      </c>
      <c r="D298" s="13">
        <f t="shared" si="2"/>
        <v>2157.79</v>
      </c>
      <c r="E298" s="13" t="str">
        <f t="shared" si="3"/>
        <v/>
      </c>
      <c r="F298" s="3">
        <f t="shared" si="4"/>
        <v>-0.001397936775</v>
      </c>
      <c r="G298" s="4">
        <f t="shared" si="5"/>
        <v>1.040921245</v>
      </c>
      <c r="H298" s="5">
        <f t="shared" si="6"/>
        <v>0</v>
      </c>
      <c r="I298" s="5">
        <f t="shared" si="7"/>
        <v>1.029473753</v>
      </c>
    </row>
    <row r="299">
      <c r="A299" s="12">
        <f>IFERROR(__xludf.DUMMYFUNCTION("""COMPUTED_VALUE"""),42688.66666666667)</f>
        <v>42688.66667</v>
      </c>
      <c r="B299" s="13">
        <f>IFERROR(__xludf.DUMMYFUNCTION("""COMPUTED_VALUE"""),2164.2)</f>
        <v>2164.2</v>
      </c>
      <c r="C299" s="13">
        <f t="shared" si="1"/>
        <v>2145.175</v>
      </c>
      <c r="D299" s="13">
        <f t="shared" si="2"/>
        <v>2166.235</v>
      </c>
      <c r="E299" s="13" t="str">
        <f t="shared" si="3"/>
        <v/>
      </c>
      <c r="F299" s="3">
        <f t="shared" si="4"/>
        <v>-0.0001155027836</v>
      </c>
      <c r="G299" s="4">
        <f t="shared" si="5"/>
        <v>1.040801016</v>
      </c>
      <c r="H299" s="5">
        <f t="shared" si="6"/>
        <v>0</v>
      </c>
      <c r="I299" s="5">
        <f t="shared" si="7"/>
        <v>1.029473753</v>
      </c>
    </row>
    <row r="300">
      <c r="A300" s="12">
        <f>IFERROR(__xludf.DUMMYFUNCTION("""COMPUTED_VALUE"""),42689.66666666667)</f>
        <v>42689.66667</v>
      </c>
      <c r="B300" s="13">
        <f>IFERROR(__xludf.DUMMYFUNCTION("""COMPUTED_VALUE"""),2180.39)</f>
        <v>2180.39</v>
      </c>
      <c r="C300" s="13">
        <f t="shared" si="1"/>
        <v>2146.055</v>
      </c>
      <c r="D300" s="13">
        <f t="shared" si="2"/>
        <v>2170.795</v>
      </c>
      <c r="E300" s="13" t="str">
        <f t="shared" si="3"/>
        <v/>
      </c>
      <c r="F300" s="3">
        <f t="shared" si="4"/>
        <v>0.007480824323</v>
      </c>
      <c r="G300" s="4">
        <f t="shared" si="5"/>
        <v>1.048587065</v>
      </c>
      <c r="H300" s="5">
        <f t="shared" si="6"/>
        <v>0</v>
      </c>
      <c r="I300" s="5">
        <f t="shared" si="7"/>
        <v>1.029473753</v>
      </c>
    </row>
    <row r="301">
      <c r="A301" s="12">
        <f>IFERROR(__xludf.DUMMYFUNCTION("""COMPUTED_VALUE"""),42690.66666666667)</f>
        <v>42690.66667</v>
      </c>
      <c r="B301" s="13">
        <f>IFERROR(__xludf.DUMMYFUNCTION("""COMPUTED_VALUE"""),2176.94)</f>
        <v>2176.94</v>
      </c>
      <c r="C301" s="13">
        <f t="shared" si="1"/>
        <v>2137.44</v>
      </c>
      <c r="D301" s="13">
        <f t="shared" si="2"/>
        <v>2163.715</v>
      </c>
      <c r="E301" s="13" t="str">
        <f t="shared" si="3"/>
        <v/>
      </c>
      <c r="F301" s="3">
        <f t="shared" si="4"/>
        <v>-0.001582285738</v>
      </c>
      <c r="G301" s="4">
        <f t="shared" si="5"/>
        <v>1.046927901</v>
      </c>
      <c r="H301" s="5">
        <f t="shared" si="6"/>
        <v>0</v>
      </c>
      <c r="I301" s="5">
        <f t="shared" si="7"/>
        <v>1.029473753</v>
      </c>
    </row>
    <row r="302">
      <c r="A302" s="12">
        <f>IFERROR(__xludf.DUMMYFUNCTION("""COMPUTED_VALUE"""),42691.66666666667)</f>
        <v>42691.66667</v>
      </c>
      <c r="B302" s="13">
        <f>IFERROR(__xludf.DUMMYFUNCTION("""COMPUTED_VALUE"""),2187.12)</f>
        <v>2187.12</v>
      </c>
      <c r="C302" s="13">
        <f t="shared" si="1"/>
        <v>2137.89</v>
      </c>
      <c r="D302" s="13">
        <f t="shared" si="2"/>
        <v>2173.425</v>
      </c>
      <c r="E302" s="13" t="str">
        <f t="shared" si="3"/>
        <v/>
      </c>
      <c r="F302" s="3">
        <f t="shared" si="4"/>
        <v>0.004676288736</v>
      </c>
      <c r="G302" s="4">
        <f t="shared" si="5"/>
        <v>1.051823638</v>
      </c>
      <c r="H302" s="5">
        <f t="shared" si="6"/>
        <v>0</v>
      </c>
      <c r="I302" s="5">
        <f t="shared" si="7"/>
        <v>1.029473753</v>
      </c>
    </row>
    <row r="303">
      <c r="A303" s="12">
        <f>IFERROR(__xludf.DUMMYFUNCTION("""COMPUTED_VALUE"""),42692.66666666667)</f>
        <v>42692.66667</v>
      </c>
      <c r="B303" s="13">
        <f>IFERROR(__xludf.DUMMYFUNCTION("""COMPUTED_VALUE"""),2181.9)</f>
        <v>2181.9</v>
      </c>
      <c r="C303" s="13">
        <f t="shared" si="1"/>
        <v>2133.54</v>
      </c>
      <c r="D303" s="13">
        <f t="shared" si="2"/>
        <v>2171.335</v>
      </c>
      <c r="E303" s="13" t="str">
        <f t="shared" si="3"/>
        <v/>
      </c>
      <c r="F303" s="3">
        <f t="shared" si="4"/>
        <v>-0.002386700318</v>
      </c>
      <c r="G303" s="4">
        <f t="shared" si="5"/>
        <v>1.04931325</v>
      </c>
      <c r="H303" s="5">
        <f t="shared" si="6"/>
        <v>0</v>
      </c>
      <c r="I303" s="5">
        <f t="shared" si="7"/>
        <v>1.029473753</v>
      </c>
    </row>
    <row r="304">
      <c r="A304" s="12">
        <f>IFERROR(__xludf.DUMMYFUNCTION("""COMPUTED_VALUE"""),42695.66666666667)</f>
        <v>42695.66667</v>
      </c>
      <c r="B304" s="13">
        <f>IFERROR(__xludf.DUMMYFUNCTION("""COMPUTED_VALUE"""),2198.18)</f>
        <v>2198.18</v>
      </c>
      <c r="C304" s="13">
        <f t="shared" si="1"/>
        <v>2164.85</v>
      </c>
      <c r="D304" s="13">
        <f t="shared" si="2"/>
        <v>2175.96</v>
      </c>
      <c r="E304" s="13" t="str">
        <f t="shared" si="3"/>
        <v/>
      </c>
      <c r="F304" s="3">
        <f t="shared" si="4"/>
        <v>0.007461386865</v>
      </c>
      <c r="G304" s="4">
        <f t="shared" si="5"/>
        <v>1.057142582</v>
      </c>
      <c r="H304" s="5">
        <f t="shared" si="6"/>
        <v>0</v>
      </c>
      <c r="I304" s="5">
        <f t="shared" si="7"/>
        <v>1.029473753</v>
      </c>
    </row>
    <row r="305">
      <c r="A305" s="12">
        <f>IFERROR(__xludf.DUMMYFUNCTION("""COMPUTED_VALUE"""),42696.66666666667)</f>
        <v>42696.66667</v>
      </c>
      <c r="B305" s="13">
        <f>IFERROR(__xludf.DUMMYFUNCTION("""COMPUTED_VALUE"""),2202.94)</f>
        <v>2202.94</v>
      </c>
      <c r="C305" s="13">
        <f t="shared" si="1"/>
        <v>2171.25</v>
      </c>
      <c r="D305" s="13">
        <f t="shared" si="2"/>
        <v>2183.3</v>
      </c>
      <c r="E305" s="13" t="str">
        <f t="shared" si="3"/>
        <v/>
      </c>
      <c r="F305" s="3">
        <f t="shared" si="4"/>
        <v>0.002165427763</v>
      </c>
      <c r="G305" s="4">
        <f t="shared" si="5"/>
        <v>1.059431748</v>
      </c>
      <c r="H305" s="5">
        <f t="shared" si="6"/>
        <v>0</v>
      </c>
      <c r="I305" s="5">
        <f t="shared" si="7"/>
        <v>1.029473753</v>
      </c>
    </row>
    <row r="306">
      <c r="A306" s="12">
        <f>IFERROR(__xludf.DUMMYFUNCTION("""COMPUTED_VALUE"""),42697.66666666667)</f>
        <v>42697.66667</v>
      </c>
      <c r="B306" s="13">
        <f>IFERROR(__xludf.DUMMYFUNCTION("""COMPUTED_VALUE"""),2204.72)</f>
        <v>2204.72</v>
      </c>
      <c r="C306" s="13">
        <f t="shared" si="1"/>
        <v>2183.99</v>
      </c>
      <c r="D306" s="13">
        <f t="shared" si="2"/>
        <v>2170.725</v>
      </c>
      <c r="E306" s="13" t="str">
        <f t="shared" si="3"/>
        <v>LONG</v>
      </c>
      <c r="F306" s="3">
        <f t="shared" si="4"/>
        <v>0.0008080111124</v>
      </c>
      <c r="G306" s="4">
        <f t="shared" si="5"/>
        <v>1.060287781</v>
      </c>
      <c r="H306" s="3">
        <f t="shared" si="6"/>
        <v>0.0008080111124</v>
      </c>
      <c r="I306" s="5">
        <f t="shared" si="7"/>
        <v>1.030305579</v>
      </c>
    </row>
    <row r="307">
      <c r="A307" s="12">
        <f>IFERROR(__xludf.DUMMYFUNCTION("""COMPUTED_VALUE"""),42699.66666666667)</f>
        <v>42699.66667</v>
      </c>
      <c r="B307" s="13">
        <f>IFERROR(__xludf.DUMMYFUNCTION("""COMPUTED_VALUE"""),2213.35)</f>
        <v>2213.35</v>
      </c>
      <c r="C307" s="13">
        <f t="shared" si="1"/>
        <v>2190.415</v>
      </c>
      <c r="D307" s="13">
        <f t="shared" si="2"/>
        <v>2176.265</v>
      </c>
      <c r="E307" s="13" t="str">
        <f t="shared" si="3"/>
        <v>LONG</v>
      </c>
      <c r="F307" s="3">
        <f t="shared" si="4"/>
        <v>0.003914329257</v>
      </c>
      <c r="G307" s="4">
        <f t="shared" si="5"/>
        <v>1.064438096</v>
      </c>
      <c r="H307" s="3">
        <f t="shared" si="6"/>
        <v>0.003914329257</v>
      </c>
      <c r="I307" s="5">
        <f t="shared" si="7"/>
        <v>1.034338535</v>
      </c>
    </row>
    <row r="308">
      <c r="A308" s="12">
        <f>IFERROR(__xludf.DUMMYFUNCTION("""COMPUTED_VALUE"""),42702.66666666667)</f>
        <v>42702.66667</v>
      </c>
      <c r="B308" s="13">
        <f>IFERROR(__xludf.DUMMYFUNCTION("""COMPUTED_VALUE"""),2201.72)</f>
        <v>2201.72</v>
      </c>
      <c r="C308" s="13">
        <f t="shared" si="1"/>
        <v>2183.085</v>
      </c>
      <c r="D308" s="13">
        <f t="shared" si="2"/>
        <v>2167.135</v>
      </c>
      <c r="E308" s="13" t="str">
        <f t="shared" si="3"/>
        <v>LONG</v>
      </c>
      <c r="F308" s="3">
        <f t="shared" si="4"/>
        <v>-0.005254478505</v>
      </c>
      <c r="G308" s="4">
        <f t="shared" si="5"/>
        <v>1.058845029</v>
      </c>
      <c r="H308" s="3">
        <f t="shared" si="6"/>
        <v>-0.005254478505</v>
      </c>
      <c r="I308" s="5">
        <f t="shared" si="7"/>
        <v>1.028903625</v>
      </c>
    </row>
    <row r="309">
      <c r="A309" s="12">
        <f>IFERROR(__xludf.DUMMYFUNCTION("""COMPUTED_VALUE"""),42703.66666666667)</f>
        <v>42703.66667</v>
      </c>
      <c r="B309" s="13">
        <f>IFERROR(__xludf.DUMMYFUNCTION("""COMPUTED_VALUE"""),2204.66)</f>
        <v>2204.66</v>
      </c>
      <c r="C309" s="13">
        <f t="shared" si="1"/>
        <v>2184.43</v>
      </c>
      <c r="D309" s="13">
        <f t="shared" si="2"/>
        <v>2168.82</v>
      </c>
      <c r="E309" s="13" t="str">
        <f t="shared" si="3"/>
        <v>LONG</v>
      </c>
      <c r="F309" s="3">
        <f t="shared" si="4"/>
        <v>0.001335319659</v>
      </c>
      <c r="G309" s="4">
        <f t="shared" si="5"/>
        <v>1.060258926</v>
      </c>
      <c r="H309" s="3">
        <f t="shared" si="6"/>
        <v>0.001335319659</v>
      </c>
      <c r="I309" s="5">
        <f t="shared" si="7"/>
        <v>1.03027754</v>
      </c>
    </row>
    <row r="310">
      <c r="A310" s="12">
        <f>IFERROR(__xludf.DUMMYFUNCTION("""COMPUTED_VALUE"""),42704.66666666667)</f>
        <v>42704.66667</v>
      </c>
      <c r="B310" s="13">
        <f>IFERROR(__xludf.DUMMYFUNCTION("""COMPUTED_VALUE"""),2198.81)</f>
        <v>2198.81</v>
      </c>
      <c r="C310" s="13">
        <f t="shared" si="1"/>
        <v>2189.6</v>
      </c>
      <c r="D310" s="13">
        <f t="shared" si="2"/>
        <v>2162.655</v>
      </c>
      <c r="E310" s="13" t="str">
        <f t="shared" si="3"/>
        <v>LONG</v>
      </c>
      <c r="F310" s="3">
        <f t="shared" si="4"/>
        <v>-0.002653470376</v>
      </c>
      <c r="G310" s="4">
        <f t="shared" si="5"/>
        <v>1.05744556</v>
      </c>
      <c r="H310" s="3">
        <f t="shared" si="6"/>
        <v>-0.002653470376</v>
      </c>
      <c r="I310" s="5">
        <f t="shared" si="7"/>
        <v>1.027543729</v>
      </c>
    </row>
    <row r="311">
      <c r="A311" s="12">
        <f>IFERROR(__xludf.DUMMYFUNCTION("""COMPUTED_VALUE"""),42705.66666666667)</f>
        <v>42705.66667</v>
      </c>
      <c r="B311" s="13">
        <f>IFERROR(__xludf.DUMMYFUNCTION("""COMPUTED_VALUE"""),2191.08)</f>
        <v>2191.08</v>
      </c>
      <c r="C311" s="13">
        <f t="shared" si="1"/>
        <v>2184.01</v>
      </c>
      <c r="D311" s="13">
        <f t="shared" si="2"/>
        <v>2165.34</v>
      </c>
      <c r="E311" s="13" t="str">
        <f t="shared" si="3"/>
        <v>LONG</v>
      </c>
      <c r="F311" s="3">
        <f t="shared" si="4"/>
        <v>-0.00351553795</v>
      </c>
      <c r="G311" s="4">
        <f t="shared" si="5"/>
        <v>1.05372807</v>
      </c>
      <c r="H311" s="3">
        <f t="shared" si="6"/>
        <v>-0.00351553795</v>
      </c>
      <c r="I311" s="5">
        <f t="shared" si="7"/>
        <v>1.02393136</v>
      </c>
    </row>
    <row r="312">
      <c r="A312" s="12">
        <f>IFERROR(__xludf.DUMMYFUNCTION("""COMPUTED_VALUE"""),42706.66666666667)</f>
        <v>42706.66667</v>
      </c>
      <c r="B312" s="13">
        <f>IFERROR(__xludf.DUMMYFUNCTION("""COMPUTED_VALUE"""),2191.95)</f>
        <v>2191.95</v>
      </c>
      <c r="C312" s="13">
        <f t="shared" si="1"/>
        <v>2189.535</v>
      </c>
      <c r="D312" s="13">
        <f t="shared" si="2"/>
        <v>2168.12</v>
      </c>
      <c r="E312" s="13" t="str">
        <f t="shared" si="3"/>
        <v>LONG</v>
      </c>
      <c r="F312" s="3">
        <f t="shared" si="4"/>
        <v>0.0003970644614</v>
      </c>
      <c r="G312" s="4">
        <f t="shared" si="5"/>
        <v>1.054146468</v>
      </c>
      <c r="H312" s="3">
        <f t="shared" si="6"/>
        <v>0.0003970644614</v>
      </c>
      <c r="I312" s="5">
        <f t="shared" si="7"/>
        <v>1.024337927</v>
      </c>
    </row>
    <row r="313">
      <c r="A313" s="12">
        <f>IFERROR(__xludf.DUMMYFUNCTION("""COMPUTED_VALUE"""),42709.66666666667)</f>
        <v>42709.66667</v>
      </c>
      <c r="B313" s="13">
        <f>IFERROR(__xludf.DUMMYFUNCTION("""COMPUTED_VALUE"""),2204.71)</f>
        <v>2204.71</v>
      </c>
      <c r="C313" s="13">
        <f t="shared" si="1"/>
        <v>2193.305</v>
      </c>
      <c r="D313" s="13">
        <f t="shared" si="2"/>
        <v>2173.025</v>
      </c>
      <c r="E313" s="13" t="str">
        <f t="shared" si="3"/>
        <v>LONG</v>
      </c>
      <c r="F313" s="3">
        <f t="shared" si="4"/>
        <v>0.005821300668</v>
      </c>
      <c r="G313" s="4">
        <f t="shared" si="5"/>
        <v>1.060282972</v>
      </c>
      <c r="H313" s="3">
        <f t="shared" si="6"/>
        <v>0.005821300668</v>
      </c>
      <c r="I313" s="5">
        <f t="shared" si="7"/>
        <v>1.030300906</v>
      </c>
    </row>
    <row r="314">
      <c r="A314" s="12">
        <f>IFERROR(__xludf.DUMMYFUNCTION("""COMPUTED_VALUE"""),42710.66666666667)</f>
        <v>42710.66667</v>
      </c>
      <c r="B314" s="13">
        <f>IFERROR(__xludf.DUMMYFUNCTION("""COMPUTED_VALUE"""),2212.23)</f>
        <v>2212.23</v>
      </c>
      <c r="C314" s="13">
        <f t="shared" si="1"/>
        <v>2205.205</v>
      </c>
      <c r="D314" s="13">
        <f t="shared" si="2"/>
        <v>2176.695</v>
      </c>
      <c r="E314" s="13" t="str">
        <f t="shared" si="3"/>
        <v>LONG</v>
      </c>
      <c r="F314" s="3">
        <f t="shared" si="4"/>
        <v>0.003410879435</v>
      </c>
      <c r="G314" s="4">
        <f t="shared" si="5"/>
        <v>1.063899469</v>
      </c>
      <c r="H314" s="3">
        <f t="shared" si="6"/>
        <v>0.003410879435</v>
      </c>
      <c r="I314" s="5">
        <f t="shared" si="7"/>
        <v>1.033815138</v>
      </c>
    </row>
    <row r="315">
      <c r="A315" s="12">
        <f>IFERROR(__xludf.DUMMYFUNCTION("""COMPUTED_VALUE"""),42711.66666666667)</f>
        <v>42711.66667</v>
      </c>
      <c r="B315" s="13">
        <f>IFERROR(__xludf.DUMMYFUNCTION("""COMPUTED_VALUE"""),2241.35)</f>
        <v>2241.35</v>
      </c>
      <c r="C315" s="13">
        <f t="shared" si="1"/>
        <v>2222.145</v>
      </c>
      <c r="D315" s="13">
        <f t="shared" si="2"/>
        <v>2196.34</v>
      </c>
      <c r="E315" s="13" t="str">
        <f t="shared" si="3"/>
        <v>LONG</v>
      </c>
      <c r="F315" s="3">
        <f t="shared" si="4"/>
        <v>0.01316318828</v>
      </c>
      <c r="G315" s="4">
        <f t="shared" si="5"/>
        <v>1.077903778</v>
      </c>
      <c r="H315" s="3">
        <f t="shared" si="6"/>
        <v>0.01316318828</v>
      </c>
      <c r="I315" s="5">
        <f t="shared" si="7"/>
        <v>1.047423442</v>
      </c>
    </row>
    <row r="316">
      <c r="A316" s="12">
        <f>IFERROR(__xludf.DUMMYFUNCTION("""COMPUTED_VALUE"""),42712.66666666667)</f>
        <v>42712.66667</v>
      </c>
      <c r="B316" s="13">
        <f>IFERROR(__xludf.DUMMYFUNCTION("""COMPUTED_VALUE"""),2246.19)</f>
        <v>2246.19</v>
      </c>
      <c r="C316" s="13">
        <f t="shared" si="1"/>
        <v>2225.455</v>
      </c>
      <c r="D316" s="13">
        <f t="shared" si="2"/>
        <v>2194.675</v>
      </c>
      <c r="E316" s="13" t="str">
        <f t="shared" si="3"/>
        <v>LONG</v>
      </c>
      <c r="F316" s="3">
        <f t="shared" si="4"/>
        <v>0.002159412854</v>
      </c>
      <c r="G316" s="4">
        <f t="shared" si="5"/>
        <v>1.080231417</v>
      </c>
      <c r="H316" s="3">
        <f t="shared" si="6"/>
        <v>0.002159412854</v>
      </c>
      <c r="I316" s="5">
        <f t="shared" si="7"/>
        <v>1.049685261</v>
      </c>
    </row>
    <row r="317">
      <c r="A317" s="12">
        <f>IFERROR(__xludf.DUMMYFUNCTION("""COMPUTED_VALUE"""),42713.66666666667)</f>
        <v>42713.66667</v>
      </c>
      <c r="B317" s="13">
        <f>IFERROR(__xludf.DUMMYFUNCTION("""COMPUTED_VALUE"""),2259.53)</f>
        <v>2259.53</v>
      </c>
      <c r="C317" s="13">
        <f t="shared" si="1"/>
        <v>2236.44</v>
      </c>
      <c r="D317" s="13">
        <f t="shared" si="2"/>
        <v>2199.48</v>
      </c>
      <c r="E317" s="13" t="str">
        <f t="shared" si="3"/>
        <v>LONG</v>
      </c>
      <c r="F317" s="3">
        <f t="shared" si="4"/>
        <v>0.005938945503</v>
      </c>
      <c r="G317" s="4">
        <f t="shared" si="5"/>
        <v>1.086646853</v>
      </c>
      <c r="H317" s="3">
        <f t="shared" si="6"/>
        <v>0.005938945503</v>
      </c>
      <c r="I317" s="5">
        <f t="shared" si="7"/>
        <v>1.055919285</v>
      </c>
    </row>
    <row r="318">
      <c r="A318" s="12">
        <f>IFERROR(__xludf.DUMMYFUNCTION("""COMPUTED_VALUE"""),42716.66666666667)</f>
        <v>42716.66667</v>
      </c>
      <c r="B318" s="13">
        <f>IFERROR(__xludf.DUMMYFUNCTION("""COMPUTED_VALUE"""),2256.96)</f>
        <v>2256.96</v>
      </c>
      <c r="C318" s="13">
        <f t="shared" si="1"/>
        <v>2229.34</v>
      </c>
      <c r="D318" s="13">
        <f t="shared" si="2"/>
        <v>2195</v>
      </c>
      <c r="E318" s="13" t="str">
        <f t="shared" si="3"/>
        <v>LONG</v>
      </c>
      <c r="F318" s="3">
        <f t="shared" si="4"/>
        <v>-0.001137404682</v>
      </c>
      <c r="G318" s="4">
        <f t="shared" si="5"/>
        <v>1.085410896</v>
      </c>
      <c r="H318" s="3">
        <f t="shared" si="6"/>
        <v>-0.001137404682</v>
      </c>
      <c r="I318" s="5">
        <f t="shared" si="7"/>
        <v>1.054718277</v>
      </c>
    </row>
    <row r="319">
      <c r="A319" s="12">
        <f>IFERROR(__xludf.DUMMYFUNCTION("""COMPUTED_VALUE"""),42717.66666666667)</f>
        <v>42717.66667</v>
      </c>
      <c r="B319" s="13">
        <f>IFERROR(__xludf.DUMMYFUNCTION("""COMPUTED_VALUE"""),2271.72)</f>
        <v>2271.72</v>
      </c>
      <c r="C319" s="13">
        <f t="shared" si="1"/>
        <v>2238.19</v>
      </c>
      <c r="D319" s="13">
        <f t="shared" si="2"/>
        <v>2199.065</v>
      </c>
      <c r="E319" s="13" t="str">
        <f t="shared" si="3"/>
        <v>LONG</v>
      </c>
      <c r="F319" s="3">
        <f t="shared" si="4"/>
        <v>0.006539770311</v>
      </c>
      <c r="G319" s="4">
        <f t="shared" si="5"/>
        <v>1.092509234</v>
      </c>
      <c r="H319" s="3">
        <f t="shared" si="6"/>
        <v>0.006539770311</v>
      </c>
      <c r="I319" s="5">
        <f t="shared" si="7"/>
        <v>1.061615893</v>
      </c>
    </row>
    <row r="320">
      <c r="A320" s="12">
        <f>IFERROR(__xludf.DUMMYFUNCTION("""COMPUTED_VALUE"""),42718.66666666667)</f>
        <v>42718.66667</v>
      </c>
      <c r="B320" s="13">
        <f>IFERROR(__xludf.DUMMYFUNCTION("""COMPUTED_VALUE"""),2253.28)</f>
        <v>2253.28</v>
      </c>
      <c r="C320" s="13">
        <f t="shared" si="1"/>
        <v>2226.045</v>
      </c>
      <c r="D320" s="13">
        <f t="shared" si="2"/>
        <v>2189.715</v>
      </c>
      <c r="E320" s="13" t="str">
        <f t="shared" si="3"/>
        <v>LONG</v>
      </c>
      <c r="F320" s="3">
        <f t="shared" si="4"/>
        <v>-0.008117197542</v>
      </c>
      <c r="G320" s="4">
        <f t="shared" si="5"/>
        <v>1.08364112</v>
      </c>
      <c r="H320" s="3">
        <f t="shared" si="6"/>
        <v>-0.008117197542</v>
      </c>
      <c r="I320" s="5">
        <f t="shared" si="7"/>
        <v>1.052998547</v>
      </c>
    </row>
    <row r="321">
      <c r="A321" s="12">
        <f>IFERROR(__xludf.DUMMYFUNCTION("""COMPUTED_VALUE"""),42719.66666666667)</f>
        <v>42719.66667</v>
      </c>
      <c r="B321" s="13">
        <f>IFERROR(__xludf.DUMMYFUNCTION("""COMPUTED_VALUE"""),2262.03)</f>
        <v>2262.03</v>
      </c>
      <c r="C321" s="13">
        <f t="shared" si="1"/>
        <v>2226.555</v>
      </c>
      <c r="D321" s="13">
        <f t="shared" si="2"/>
        <v>2186.875</v>
      </c>
      <c r="E321" s="13" t="str">
        <f t="shared" si="3"/>
        <v>LONG</v>
      </c>
      <c r="F321" s="3">
        <f t="shared" si="4"/>
        <v>0.003883228005</v>
      </c>
      <c r="G321" s="4">
        <f t="shared" si="5"/>
        <v>1.087849146</v>
      </c>
      <c r="H321" s="3">
        <f t="shared" si="6"/>
        <v>0.003883228005</v>
      </c>
      <c r="I321" s="5">
        <f t="shared" si="7"/>
        <v>1.05708758</v>
      </c>
    </row>
    <row r="322">
      <c r="A322" s="12">
        <f>IFERROR(__xludf.DUMMYFUNCTION("""COMPUTED_VALUE"""),42720.66666666667)</f>
        <v>42720.66667</v>
      </c>
      <c r="B322" s="13">
        <f>IFERROR(__xludf.DUMMYFUNCTION("""COMPUTED_VALUE"""),2258.07)</f>
        <v>2258.07</v>
      </c>
      <c r="C322" s="13">
        <f t="shared" si="1"/>
        <v>2225.01</v>
      </c>
      <c r="D322" s="13">
        <f t="shared" si="2"/>
        <v>2178.005</v>
      </c>
      <c r="E322" s="13" t="str">
        <f t="shared" si="3"/>
        <v>LONG</v>
      </c>
      <c r="F322" s="3">
        <f t="shared" si="4"/>
        <v>-0.001750639912</v>
      </c>
      <c r="G322" s="4">
        <f t="shared" si="5"/>
        <v>1.085944714</v>
      </c>
      <c r="H322" s="3">
        <f t="shared" si="6"/>
        <v>-0.001750639912</v>
      </c>
      <c r="I322" s="5">
        <f t="shared" si="7"/>
        <v>1.055237</v>
      </c>
    </row>
    <row r="323">
      <c r="A323" s="12">
        <f>IFERROR(__xludf.DUMMYFUNCTION("""COMPUTED_VALUE"""),42723.66666666667)</f>
        <v>42723.66667</v>
      </c>
      <c r="B323" s="13">
        <f>IFERROR(__xludf.DUMMYFUNCTION("""COMPUTED_VALUE"""),2262.53)</f>
        <v>2262.53</v>
      </c>
      <c r="C323" s="13">
        <f t="shared" si="1"/>
        <v>2233.62</v>
      </c>
      <c r="D323" s="13">
        <f t="shared" si="2"/>
        <v>2175.595</v>
      </c>
      <c r="E323" s="13" t="str">
        <f t="shared" si="3"/>
        <v>LONG</v>
      </c>
      <c r="F323" s="3">
        <f t="shared" si="4"/>
        <v>0.00197513806</v>
      </c>
      <c r="G323" s="4">
        <f t="shared" si="5"/>
        <v>1.088089604</v>
      </c>
      <c r="H323" s="3">
        <f t="shared" si="6"/>
        <v>0.00197513806</v>
      </c>
      <c r="I323" s="5">
        <f t="shared" si="7"/>
        <v>1.057321239</v>
      </c>
    </row>
    <row r="324">
      <c r="A324" s="12">
        <f>IFERROR(__xludf.DUMMYFUNCTION("""COMPUTED_VALUE"""),42724.66666666667)</f>
        <v>42724.66667</v>
      </c>
      <c r="B324" s="13">
        <f>IFERROR(__xludf.DUMMYFUNCTION("""COMPUTED_VALUE"""),2270.76)</f>
        <v>2270.76</v>
      </c>
      <c r="C324" s="13">
        <f t="shared" si="1"/>
        <v>2241.495</v>
      </c>
      <c r="D324" s="13">
        <f t="shared" si="2"/>
        <v>2177.97</v>
      </c>
      <c r="E324" s="13" t="str">
        <f t="shared" si="3"/>
        <v>LONG</v>
      </c>
      <c r="F324" s="3">
        <f t="shared" si="4"/>
        <v>0.003637520828</v>
      </c>
      <c r="G324" s="4">
        <f t="shared" si="5"/>
        <v>1.092047553</v>
      </c>
      <c r="H324" s="3">
        <f t="shared" si="6"/>
        <v>0.003637520828</v>
      </c>
      <c r="I324" s="5">
        <f t="shared" si="7"/>
        <v>1.061167267</v>
      </c>
    </row>
    <row r="325">
      <c r="A325" s="12">
        <f>IFERROR(__xludf.DUMMYFUNCTION("""COMPUTED_VALUE"""),42725.66666666667)</f>
        <v>42725.66667</v>
      </c>
      <c r="B325" s="13">
        <f>IFERROR(__xludf.DUMMYFUNCTION("""COMPUTED_VALUE"""),2265.18)</f>
        <v>2265.18</v>
      </c>
      <c r="C325" s="13">
        <f t="shared" si="1"/>
        <v>2253.265</v>
      </c>
      <c r="D325" s="13">
        <f t="shared" si="2"/>
        <v>2198.35</v>
      </c>
      <c r="E325" s="13" t="str">
        <f t="shared" si="3"/>
        <v>LONG</v>
      </c>
      <c r="F325" s="3">
        <f t="shared" si="4"/>
        <v>-0.002457327062</v>
      </c>
      <c r="G325" s="4">
        <f t="shared" si="5"/>
        <v>1.089364035</v>
      </c>
      <c r="H325" s="3">
        <f t="shared" si="6"/>
        <v>-0.002457327062</v>
      </c>
      <c r="I325" s="5">
        <f t="shared" si="7"/>
        <v>1.058559632</v>
      </c>
    </row>
    <row r="326">
      <c r="A326" s="12">
        <f>IFERROR(__xludf.DUMMYFUNCTION("""COMPUTED_VALUE"""),42726.66666666667)</f>
        <v>42726.66667</v>
      </c>
      <c r="B326" s="13">
        <f>IFERROR(__xludf.DUMMYFUNCTION("""COMPUTED_VALUE"""),2260.96)</f>
        <v>2260.96</v>
      </c>
      <c r="C326" s="13">
        <f t="shared" si="1"/>
        <v>2253.575</v>
      </c>
      <c r="D326" s="13">
        <f t="shared" si="2"/>
        <v>2200.26</v>
      </c>
      <c r="E326" s="13" t="str">
        <f t="shared" si="3"/>
        <v>LONG</v>
      </c>
      <c r="F326" s="3">
        <f t="shared" si="4"/>
        <v>-0.001862986606</v>
      </c>
      <c r="G326" s="4">
        <f t="shared" si="5"/>
        <v>1.087334564</v>
      </c>
      <c r="H326" s="3">
        <f t="shared" si="6"/>
        <v>-0.001862986606</v>
      </c>
      <c r="I326" s="5">
        <f t="shared" si="7"/>
        <v>1.05658755</v>
      </c>
    </row>
    <row r="327">
      <c r="A327" s="12">
        <f>IFERROR(__xludf.DUMMYFUNCTION("""COMPUTED_VALUE"""),42727.66666666667)</f>
        <v>42727.66667</v>
      </c>
      <c r="B327" s="13">
        <f>IFERROR(__xludf.DUMMYFUNCTION("""COMPUTED_VALUE"""),2263.79)</f>
        <v>2263.79</v>
      </c>
      <c r="C327" s="13">
        <f t="shared" si="1"/>
        <v>2261.66</v>
      </c>
      <c r="D327" s="13">
        <f t="shared" si="2"/>
        <v>2213.525</v>
      </c>
      <c r="E327" s="13" t="str">
        <f t="shared" si="3"/>
        <v>LONG</v>
      </c>
      <c r="F327" s="3">
        <f t="shared" si="4"/>
        <v>0.001251680702</v>
      </c>
      <c r="G327" s="4">
        <f t="shared" si="5"/>
        <v>1.08869556</v>
      </c>
      <c r="H327" s="3">
        <f t="shared" si="6"/>
        <v>0.001251680702</v>
      </c>
      <c r="I327" s="5">
        <f t="shared" si="7"/>
        <v>1.05791006</v>
      </c>
    </row>
    <row r="328">
      <c r="A328" s="12">
        <f>IFERROR(__xludf.DUMMYFUNCTION("""COMPUTED_VALUE"""),42731.66666666667)</f>
        <v>42731.66667</v>
      </c>
      <c r="B328" s="13">
        <f>IFERROR(__xludf.DUMMYFUNCTION("""COMPUTED_VALUE"""),2268.88)</f>
        <v>2268.88</v>
      </c>
      <c r="C328" s="13">
        <f t="shared" si="1"/>
        <v>2262.92</v>
      </c>
      <c r="D328" s="13">
        <f t="shared" si="2"/>
        <v>2218.18</v>
      </c>
      <c r="E328" s="13" t="str">
        <f t="shared" si="3"/>
        <v>LONG</v>
      </c>
      <c r="F328" s="3">
        <f t="shared" si="4"/>
        <v>0.002248441772</v>
      </c>
      <c r="G328" s="4">
        <f t="shared" si="5"/>
        <v>1.091143429</v>
      </c>
      <c r="H328" s="3">
        <f t="shared" si="6"/>
        <v>0.002248441772</v>
      </c>
      <c r="I328" s="5">
        <f t="shared" si="7"/>
        <v>1.060288709</v>
      </c>
    </row>
    <row r="329">
      <c r="A329" s="12">
        <f>IFERROR(__xludf.DUMMYFUNCTION("""COMPUTED_VALUE"""),42732.66666666667)</f>
        <v>42732.66667</v>
      </c>
      <c r="B329" s="13">
        <f>IFERROR(__xludf.DUMMYFUNCTION("""COMPUTED_VALUE"""),2249.92)</f>
        <v>2249.92</v>
      </c>
      <c r="C329" s="13">
        <f t="shared" si="1"/>
        <v>2260.82</v>
      </c>
      <c r="D329" s="13">
        <f t="shared" si="2"/>
        <v>2207.185</v>
      </c>
      <c r="E329" s="13" t="str">
        <f t="shared" si="3"/>
        <v>LONG</v>
      </c>
      <c r="F329" s="3">
        <f t="shared" si="4"/>
        <v>-0.008356545961</v>
      </c>
      <c r="G329" s="4">
        <f t="shared" si="5"/>
        <v>1.082025239</v>
      </c>
      <c r="H329" s="3">
        <f t="shared" si="6"/>
        <v>-0.008356545961</v>
      </c>
      <c r="I329" s="5">
        <f t="shared" si="7"/>
        <v>1.051428358</v>
      </c>
    </row>
    <row r="330">
      <c r="A330" s="12">
        <f>IFERROR(__xludf.DUMMYFUNCTION("""COMPUTED_VALUE"""),42733.66666666667)</f>
        <v>42733.66667</v>
      </c>
      <c r="B330" s="13">
        <f>IFERROR(__xludf.DUMMYFUNCTION("""COMPUTED_VALUE"""),2249.26)</f>
        <v>2249.26</v>
      </c>
      <c r="C330" s="13">
        <f t="shared" si="1"/>
        <v>2251.27</v>
      </c>
      <c r="D330" s="13">
        <f t="shared" si="2"/>
        <v>2206.73</v>
      </c>
      <c r="E330" s="13" t="str">
        <f t="shared" si="3"/>
        <v>LONG</v>
      </c>
      <c r="F330" s="3">
        <f t="shared" si="4"/>
        <v>-0.0002933437633</v>
      </c>
      <c r="G330" s="4">
        <f t="shared" si="5"/>
        <v>1.081707833</v>
      </c>
      <c r="H330" s="3">
        <f t="shared" si="6"/>
        <v>-0.0002933437633</v>
      </c>
      <c r="I330" s="5">
        <f t="shared" si="7"/>
        <v>1.051119928</v>
      </c>
    </row>
    <row r="331">
      <c r="A331" s="12">
        <f>IFERROR(__xludf.DUMMYFUNCTION("""COMPUTED_VALUE"""),42734.66666666667)</f>
        <v>42734.66667</v>
      </c>
      <c r="B331" s="13">
        <f>IFERROR(__xludf.DUMMYFUNCTION("""COMPUTED_VALUE"""),2238.83)</f>
        <v>2238.83</v>
      </c>
      <c r="C331" s="13">
        <f t="shared" si="1"/>
        <v>2250.43</v>
      </c>
      <c r="D331" s="13">
        <f t="shared" si="2"/>
        <v>2209.61</v>
      </c>
      <c r="E331" s="13" t="str">
        <f t="shared" si="3"/>
        <v>LONG</v>
      </c>
      <c r="F331" s="3">
        <f t="shared" si="4"/>
        <v>-0.00463708064</v>
      </c>
      <c r="G331" s="4">
        <f t="shared" si="5"/>
        <v>1.076691867</v>
      </c>
      <c r="H331" s="3">
        <f t="shared" si="6"/>
        <v>-0.00463708064</v>
      </c>
      <c r="I331" s="5">
        <f t="shared" si="7"/>
        <v>1.0462458</v>
      </c>
    </row>
    <row r="332">
      <c r="A332" s="12">
        <f>IFERROR(__xludf.DUMMYFUNCTION("""COMPUTED_VALUE"""),42738.66666666667)</f>
        <v>42738.66667</v>
      </c>
      <c r="B332" s="13">
        <f>IFERROR(__xludf.DUMMYFUNCTION("""COMPUTED_VALUE"""),2257.83)</f>
        <v>2257.83</v>
      </c>
      <c r="C332" s="13">
        <f t="shared" si="1"/>
        <v>2257.95</v>
      </c>
      <c r="D332" s="13">
        <f t="shared" si="2"/>
        <v>2217.385</v>
      </c>
      <c r="E332" s="13" t="str">
        <f t="shared" si="3"/>
        <v>LONG</v>
      </c>
      <c r="F332" s="3">
        <f t="shared" si="4"/>
        <v>0.008486575577</v>
      </c>
      <c r="G332" s="4">
        <f t="shared" si="5"/>
        <v>1.085829294</v>
      </c>
      <c r="H332" s="3">
        <f t="shared" si="6"/>
        <v>0.008486575577</v>
      </c>
      <c r="I332" s="5">
        <f t="shared" si="7"/>
        <v>1.055124844</v>
      </c>
    </row>
    <row r="333">
      <c r="A333" s="12">
        <f>IFERROR(__xludf.DUMMYFUNCTION("""COMPUTED_VALUE"""),42739.66666666667)</f>
        <v>42739.66667</v>
      </c>
      <c r="B333" s="13">
        <f>IFERROR(__xludf.DUMMYFUNCTION("""COMPUTED_VALUE"""),2270.75)</f>
        <v>2270.75</v>
      </c>
      <c r="C333" s="13">
        <f t="shared" si="1"/>
        <v>2266.64</v>
      </c>
      <c r="D333" s="13">
        <f t="shared" si="2"/>
        <v>2228.935</v>
      </c>
      <c r="E333" s="13" t="str">
        <f t="shared" si="3"/>
        <v>LONG</v>
      </c>
      <c r="F333" s="3">
        <f t="shared" si="4"/>
        <v>0.005722308588</v>
      </c>
      <c r="G333" s="4">
        <f t="shared" si="5"/>
        <v>1.092042744</v>
      </c>
      <c r="H333" s="3">
        <f t="shared" si="6"/>
        <v>0.005722308588</v>
      </c>
      <c r="I333" s="5">
        <f t="shared" si="7"/>
        <v>1.061162594</v>
      </c>
    </row>
    <row r="334">
      <c r="A334" s="12">
        <f>IFERROR(__xludf.DUMMYFUNCTION("""COMPUTED_VALUE"""),42740.66666666667)</f>
        <v>42740.66667</v>
      </c>
      <c r="B334" s="13">
        <f>IFERROR(__xludf.DUMMYFUNCTION("""COMPUTED_VALUE"""),2269.0)</f>
        <v>2269</v>
      </c>
      <c r="C334" s="13">
        <f t="shared" si="1"/>
        <v>2269.88</v>
      </c>
      <c r="D334" s="13">
        <f t="shared" si="2"/>
        <v>2225.45</v>
      </c>
      <c r="E334" s="13" t="str">
        <f t="shared" si="3"/>
        <v>LONG</v>
      </c>
      <c r="F334" s="3">
        <f t="shared" si="4"/>
        <v>-0.0007706704833</v>
      </c>
      <c r="G334" s="4">
        <f t="shared" si="5"/>
        <v>1.091201139</v>
      </c>
      <c r="H334" s="3">
        <f t="shared" si="6"/>
        <v>-0.0007706704833</v>
      </c>
      <c r="I334" s="5">
        <f t="shared" si="7"/>
        <v>1.060344787</v>
      </c>
    </row>
    <row r="335">
      <c r="A335" s="12">
        <f>IFERROR(__xludf.DUMMYFUNCTION("""COMPUTED_VALUE"""),42741.66666666667)</f>
        <v>42741.66667</v>
      </c>
      <c r="B335" s="13">
        <f>IFERROR(__xludf.DUMMYFUNCTION("""COMPUTED_VALUE"""),2276.98)</f>
        <v>2276.98</v>
      </c>
      <c r="C335" s="13">
        <f t="shared" si="1"/>
        <v>2271.08</v>
      </c>
      <c r="D335" s="13">
        <f t="shared" si="2"/>
        <v>2237.58</v>
      </c>
      <c r="E335" s="13" t="str">
        <f t="shared" si="3"/>
        <v>LONG</v>
      </c>
      <c r="F335" s="3">
        <f t="shared" si="4"/>
        <v>0.003516967827</v>
      </c>
      <c r="G335" s="4">
        <f t="shared" si="5"/>
        <v>1.095038858</v>
      </c>
      <c r="H335" s="3">
        <f t="shared" si="6"/>
        <v>0.003516967827</v>
      </c>
      <c r="I335" s="5">
        <f t="shared" si="7"/>
        <v>1.064073986</v>
      </c>
    </row>
    <row r="336">
      <c r="A336" s="12">
        <f>IFERROR(__xludf.DUMMYFUNCTION("""COMPUTED_VALUE"""),42744.66666666667)</f>
        <v>42744.66667</v>
      </c>
      <c r="B336" s="13">
        <f>IFERROR(__xludf.DUMMYFUNCTION("""COMPUTED_VALUE"""),2268.9)</f>
        <v>2268.9</v>
      </c>
      <c r="C336" s="13">
        <f t="shared" si="1"/>
        <v>2264.93</v>
      </c>
      <c r="D336" s="13">
        <f t="shared" si="2"/>
        <v>2235.92</v>
      </c>
      <c r="E336" s="13" t="str">
        <f t="shared" si="3"/>
        <v>LONG</v>
      </c>
      <c r="F336" s="3">
        <f t="shared" si="4"/>
        <v>-0.003548559935</v>
      </c>
      <c r="G336" s="4">
        <f t="shared" si="5"/>
        <v>1.091153047</v>
      </c>
      <c r="H336" s="3">
        <f t="shared" si="6"/>
        <v>-0.003548559935</v>
      </c>
      <c r="I336" s="5">
        <f t="shared" si="7"/>
        <v>1.060298056</v>
      </c>
    </row>
    <row r="337">
      <c r="A337" s="12">
        <f>IFERROR(__xludf.DUMMYFUNCTION("""COMPUTED_VALUE"""),42745.66666666667)</f>
        <v>42745.66667</v>
      </c>
      <c r="B337" s="13">
        <f>IFERROR(__xludf.DUMMYFUNCTION("""COMPUTED_VALUE"""),2268.9)</f>
        <v>2268.9</v>
      </c>
      <c r="C337" s="13">
        <f t="shared" si="1"/>
        <v>2266.345</v>
      </c>
      <c r="D337" s="13">
        <f t="shared" si="2"/>
        <v>2236.81</v>
      </c>
      <c r="E337" s="13" t="str">
        <f t="shared" si="3"/>
        <v>LONG</v>
      </c>
      <c r="F337" s="3">
        <f t="shared" si="4"/>
        <v>0</v>
      </c>
      <c r="G337" s="4">
        <f t="shared" si="5"/>
        <v>1.091153047</v>
      </c>
      <c r="H337" s="3">
        <f t="shared" si="6"/>
        <v>0</v>
      </c>
      <c r="I337" s="5">
        <f t="shared" si="7"/>
        <v>1.060298056</v>
      </c>
    </row>
    <row r="338">
      <c r="A338" s="12">
        <f>IFERROR(__xludf.DUMMYFUNCTION("""COMPUTED_VALUE"""),42746.66666666667)</f>
        <v>42746.66667</v>
      </c>
      <c r="B338" s="13">
        <f>IFERROR(__xludf.DUMMYFUNCTION("""COMPUTED_VALUE"""),2275.32)</f>
        <v>2275.32</v>
      </c>
      <c r="C338" s="13">
        <f t="shared" si="1"/>
        <v>2272.1</v>
      </c>
      <c r="D338" s="13">
        <f t="shared" si="2"/>
        <v>2244.335</v>
      </c>
      <c r="E338" s="13" t="str">
        <f t="shared" si="3"/>
        <v>LONG</v>
      </c>
      <c r="F338" s="3">
        <f t="shared" si="4"/>
        <v>0.002829564987</v>
      </c>
      <c r="G338" s="4">
        <f t="shared" si="5"/>
        <v>1.094240536</v>
      </c>
      <c r="H338" s="3">
        <f t="shared" si="6"/>
        <v>0.002829564987</v>
      </c>
      <c r="I338" s="5">
        <f t="shared" si="7"/>
        <v>1.063298238</v>
      </c>
    </row>
    <row r="339">
      <c r="A339" s="12">
        <f>IFERROR(__xludf.DUMMYFUNCTION("""COMPUTED_VALUE"""),42747.66666666667)</f>
        <v>42747.66667</v>
      </c>
      <c r="B339" s="13">
        <f>IFERROR(__xludf.DUMMYFUNCTION("""COMPUTED_VALUE"""),2270.44)</f>
        <v>2270.44</v>
      </c>
      <c r="C339" s="13">
        <f t="shared" si="1"/>
        <v>2260.18</v>
      </c>
      <c r="D339" s="13">
        <f t="shared" si="2"/>
        <v>2236.08</v>
      </c>
      <c r="E339" s="13" t="str">
        <f t="shared" si="3"/>
        <v>LONG</v>
      </c>
      <c r="F339" s="3">
        <f t="shared" si="4"/>
        <v>-0.002144753265</v>
      </c>
      <c r="G339" s="4">
        <f t="shared" si="5"/>
        <v>1.09189366</v>
      </c>
      <c r="H339" s="3">
        <f t="shared" si="6"/>
        <v>-0.002144753265</v>
      </c>
      <c r="I339" s="5">
        <f t="shared" si="7"/>
        <v>1.061017725</v>
      </c>
    </row>
    <row r="340">
      <c r="A340" s="12">
        <f>IFERROR(__xludf.DUMMYFUNCTION("""COMPUTED_VALUE"""),42748.66666666667)</f>
        <v>42748.66667</v>
      </c>
      <c r="B340" s="13">
        <f>IFERROR(__xludf.DUMMYFUNCTION("""COMPUTED_VALUE"""),2274.64)</f>
        <v>2274.64</v>
      </c>
      <c r="C340" s="13">
        <f t="shared" si="1"/>
        <v>2261.95</v>
      </c>
      <c r="D340" s="13">
        <f t="shared" si="2"/>
        <v>2239.65</v>
      </c>
      <c r="E340" s="13" t="str">
        <f t="shared" si="3"/>
        <v>LONG</v>
      </c>
      <c r="F340" s="3">
        <f t="shared" si="4"/>
        <v>0.001849861701</v>
      </c>
      <c r="G340" s="4">
        <f t="shared" si="5"/>
        <v>1.093913512</v>
      </c>
      <c r="H340" s="3">
        <f t="shared" si="6"/>
        <v>0.001849861701</v>
      </c>
      <c r="I340" s="5">
        <f t="shared" si="7"/>
        <v>1.062980462</v>
      </c>
    </row>
    <row r="341">
      <c r="A341" s="12">
        <f>IFERROR(__xludf.DUMMYFUNCTION("""COMPUTED_VALUE"""),42752.66666666667)</f>
        <v>42752.66667</v>
      </c>
      <c r="B341" s="13">
        <f>IFERROR(__xludf.DUMMYFUNCTION("""COMPUTED_VALUE"""),2267.89)</f>
        <v>2267.89</v>
      </c>
      <c r="C341" s="13">
        <f t="shared" si="1"/>
        <v>2253.36</v>
      </c>
      <c r="D341" s="13">
        <f t="shared" si="2"/>
        <v>2233.35</v>
      </c>
      <c r="E341" s="13" t="str">
        <f t="shared" si="3"/>
        <v>LONG</v>
      </c>
      <c r="F341" s="3">
        <f t="shared" si="4"/>
        <v>-0.00296750255</v>
      </c>
      <c r="G341" s="4">
        <f t="shared" si="5"/>
        <v>1.090667321</v>
      </c>
      <c r="H341" s="3">
        <f t="shared" si="6"/>
        <v>-0.00296750255</v>
      </c>
      <c r="I341" s="5">
        <f t="shared" si="7"/>
        <v>1.059826064</v>
      </c>
    </row>
    <row r="342">
      <c r="A342" s="12">
        <f>IFERROR(__xludf.DUMMYFUNCTION("""COMPUTED_VALUE"""),42753.66666666667)</f>
        <v>42753.66667</v>
      </c>
      <c r="B342" s="13">
        <f>IFERROR(__xludf.DUMMYFUNCTION("""COMPUTED_VALUE"""),2271.89)</f>
        <v>2271.89</v>
      </c>
      <c r="C342" s="13">
        <f t="shared" si="1"/>
        <v>2264.86</v>
      </c>
      <c r="D342" s="13">
        <f t="shared" si="2"/>
        <v>2231.485</v>
      </c>
      <c r="E342" s="13" t="str">
        <f t="shared" si="3"/>
        <v>LONG</v>
      </c>
      <c r="F342" s="3">
        <f t="shared" si="4"/>
        <v>0.001763753974</v>
      </c>
      <c r="G342" s="4">
        <f t="shared" si="5"/>
        <v>1.09259099</v>
      </c>
      <c r="H342" s="3">
        <f t="shared" si="6"/>
        <v>0.001763753974</v>
      </c>
      <c r="I342" s="5">
        <f t="shared" si="7"/>
        <v>1.061695337</v>
      </c>
    </row>
    <row r="343">
      <c r="A343" s="12">
        <f>IFERROR(__xludf.DUMMYFUNCTION("""COMPUTED_VALUE"""),42754.66666666667)</f>
        <v>42754.66667</v>
      </c>
      <c r="B343" s="13">
        <f>IFERROR(__xludf.DUMMYFUNCTION("""COMPUTED_VALUE"""),2263.69)</f>
        <v>2263.69</v>
      </c>
      <c r="C343" s="13">
        <f t="shared" si="1"/>
        <v>2267.22</v>
      </c>
      <c r="D343" s="13">
        <f t="shared" si="2"/>
        <v>2227.82</v>
      </c>
      <c r="E343" s="13" t="str">
        <f t="shared" si="3"/>
        <v>LONG</v>
      </c>
      <c r="F343" s="3">
        <f t="shared" si="4"/>
        <v>-0.003609329677</v>
      </c>
      <c r="G343" s="4">
        <f t="shared" si="5"/>
        <v>1.088647468</v>
      </c>
      <c r="H343" s="3">
        <f t="shared" si="6"/>
        <v>-0.003609329677</v>
      </c>
      <c r="I343" s="5">
        <f t="shared" si="7"/>
        <v>1.057863328</v>
      </c>
    </row>
    <row r="344">
      <c r="A344" s="12">
        <f>IFERROR(__xludf.DUMMYFUNCTION("""COMPUTED_VALUE"""),42755.66666666667)</f>
        <v>42755.66667</v>
      </c>
      <c r="B344" s="13">
        <f>IFERROR(__xludf.DUMMYFUNCTION("""COMPUTED_VALUE"""),2271.31)</f>
        <v>2271.31</v>
      </c>
      <c r="C344" s="13">
        <f t="shared" si="1"/>
        <v>2270.155</v>
      </c>
      <c r="D344" s="13">
        <f t="shared" si="2"/>
        <v>2238.01</v>
      </c>
      <c r="E344" s="13" t="str">
        <f t="shared" si="3"/>
        <v>LONG</v>
      </c>
      <c r="F344" s="3">
        <f t="shared" si="4"/>
        <v>0.003366185299</v>
      </c>
      <c r="G344" s="4">
        <f t="shared" si="5"/>
        <v>1.092312058</v>
      </c>
      <c r="H344" s="3">
        <f t="shared" si="6"/>
        <v>0.003366185299</v>
      </c>
      <c r="I344" s="5">
        <f t="shared" si="7"/>
        <v>1.061424292</v>
      </c>
    </row>
    <row r="345">
      <c r="A345" s="12">
        <f>IFERROR(__xludf.DUMMYFUNCTION("""COMPUTED_VALUE"""),42758.66666666667)</f>
        <v>42758.66667</v>
      </c>
      <c r="B345" s="13">
        <f>IFERROR(__xludf.DUMMYFUNCTION("""COMPUTED_VALUE"""),2265.2)</f>
        <v>2265.2</v>
      </c>
      <c r="C345" s="13">
        <f t="shared" si="1"/>
        <v>2271.09</v>
      </c>
      <c r="D345" s="13">
        <f t="shared" si="2"/>
        <v>2238.715</v>
      </c>
      <c r="E345" s="13" t="str">
        <f t="shared" si="3"/>
        <v>LONG</v>
      </c>
      <c r="F345" s="3">
        <f t="shared" si="4"/>
        <v>-0.002690077532</v>
      </c>
      <c r="G345" s="4">
        <f t="shared" si="5"/>
        <v>1.089373653</v>
      </c>
      <c r="H345" s="3">
        <f t="shared" si="6"/>
        <v>-0.002690077532</v>
      </c>
      <c r="I345" s="5">
        <f t="shared" si="7"/>
        <v>1.058568979</v>
      </c>
    </row>
    <row r="346">
      <c r="A346" s="12">
        <f>IFERROR(__xludf.DUMMYFUNCTION("""COMPUTED_VALUE"""),42759.66666666667)</f>
        <v>42759.66667</v>
      </c>
      <c r="B346" s="13">
        <f>IFERROR(__xludf.DUMMYFUNCTION("""COMPUTED_VALUE"""),2280.07)</f>
        <v>2280.07</v>
      </c>
      <c r="C346" s="13">
        <f t="shared" si="1"/>
        <v>2274.485</v>
      </c>
      <c r="D346" s="13">
        <f t="shared" si="2"/>
        <v>2260.71</v>
      </c>
      <c r="E346" s="13" t="str">
        <f t="shared" si="3"/>
        <v>LONG</v>
      </c>
      <c r="F346" s="3">
        <f t="shared" si="4"/>
        <v>0.006564541762</v>
      </c>
      <c r="G346" s="4">
        <f t="shared" si="5"/>
        <v>1.096524892</v>
      </c>
      <c r="H346" s="3">
        <f t="shared" si="6"/>
        <v>0.006564541762</v>
      </c>
      <c r="I346" s="5">
        <f t="shared" si="7"/>
        <v>1.065517999</v>
      </c>
    </row>
    <row r="347">
      <c r="A347" s="12">
        <f>IFERROR(__xludf.DUMMYFUNCTION("""COMPUTED_VALUE"""),42760.66666666667)</f>
        <v>42760.66667</v>
      </c>
      <c r="B347" s="13">
        <f>IFERROR(__xludf.DUMMYFUNCTION("""COMPUTED_VALUE"""),2298.37)</f>
        <v>2298.37</v>
      </c>
      <c r="C347" s="13">
        <f t="shared" si="1"/>
        <v>2283.635</v>
      </c>
      <c r="D347" s="13">
        <f t="shared" si="2"/>
        <v>2272.28</v>
      </c>
      <c r="E347" s="13" t="str">
        <f t="shared" si="3"/>
        <v>LONG</v>
      </c>
      <c r="F347" s="3">
        <f t="shared" si="4"/>
        <v>0.008026069375</v>
      </c>
      <c r="G347" s="4">
        <f t="shared" si="5"/>
        <v>1.105325677</v>
      </c>
      <c r="H347" s="3">
        <f t="shared" si="6"/>
        <v>0.008026069375</v>
      </c>
      <c r="I347" s="5">
        <f t="shared" si="7"/>
        <v>1.07406992</v>
      </c>
    </row>
    <row r="348">
      <c r="A348" s="12">
        <f>IFERROR(__xludf.DUMMYFUNCTION("""COMPUTED_VALUE"""),42761.66666666667)</f>
        <v>42761.66667</v>
      </c>
      <c r="B348" s="13">
        <f>IFERROR(__xludf.DUMMYFUNCTION("""COMPUTED_VALUE"""),2296.68)</f>
        <v>2296.68</v>
      </c>
      <c r="C348" s="13">
        <f t="shared" si="1"/>
        <v>2286</v>
      </c>
      <c r="D348" s="13">
        <f t="shared" si="2"/>
        <v>2278.105</v>
      </c>
      <c r="E348" s="13" t="str">
        <f t="shared" si="3"/>
        <v>LONG</v>
      </c>
      <c r="F348" s="3">
        <f t="shared" si="4"/>
        <v>-0.0007353037152</v>
      </c>
      <c r="G348" s="4">
        <f t="shared" si="5"/>
        <v>1.104512927</v>
      </c>
      <c r="H348" s="3">
        <f t="shared" si="6"/>
        <v>-0.0007353037152</v>
      </c>
      <c r="I348" s="5">
        <f t="shared" si="7"/>
        <v>1.073280153</v>
      </c>
    </row>
    <row r="349">
      <c r="A349" s="12">
        <f>IFERROR(__xludf.DUMMYFUNCTION("""COMPUTED_VALUE"""),42762.66666666667)</f>
        <v>42762.66667</v>
      </c>
      <c r="B349" s="13">
        <f>IFERROR(__xludf.DUMMYFUNCTION("""COMPUTED_VALUE"""),2294.69)</f>
        <v>2294.69</v>
      </c>
      <c r="C349" s="13">
        <f t="shared" si="1"/>
        <v>2282.565</v>
      </c>
      <c r="D349" s="13">
        <f t="shared" si="2"/>
        <v>2275.825</v>
      </c>
      <c r="E349" s="13" t="str">
        <f t="shared" si="3"/>
        <v>LONG</v>
      </c>
      <c r="F349" s="3">
        <f t="shared" si="4"/>
        <v>-0.0008664681192</v>
      </c>
      <c r="G349" s="4">
        <f t="shared" si="5"/>
        <v>1.103555902</v>
      </c>
      <c r="H349" s="3">
        <f t="shared" si="6"/>
        <v>-0.0008664681192</v>
      </c>
      <c r="I349" s="5">
        <f t="shared" si="7"/>
        <v>1.07235019</v>
      </c>
    </row>
    <row r="350">
      <c r="A350" s="12">
        <f>IFERROR(__xludf.DUMMYFUNCTION("""COMPUTED_VALUE"""),42765.66666666667)</f>
        <v>42765.66667</v>
      </c>
      <c r="B350" s="13">
        <f>IFERROR(__xludf.DUMMYFUNCTION("""COMPUTED_VALUE"""),2280.9)</f>
        <v>2280.9</v>
      </c>
      <c r="C350" s="13">
        <f t="shared" si="1"/>
        <v>2277.77</v>
      </c>
      <c r="D350" s="13">
        <f t="shared" si="2"/>
        <v>2276.31</v>
      </c>
      <c r="E350" s="13" t="str">
        <f t="shared" si="3"/>
        <v>LONG</v>
      </c>
      <c r="F350" s="3">
        <f t="shared" si="4"/>
        <v>-0.006009526341</v>
      </c>
      <c r="G350" s="4">
        <f t="shared" si="5"/>
        <v>1.096924054</v>
      </c>
      <c r="H350" s="3">
        <f t="shared" si="6"/>
        <v>-0.006009526341</v>
      </c>
      <c r="I350" s="5">
        <f t="shared" si="7"/>
        <v>1.065905873</v>
      </c>
    </row>
    <row r="351">
      <c r="A351" s="12">
        <f>IFERROR(__xludf.DUMMYFUNCTION("""COMPUTED_VALUE"""),42766.66666666667)</f>
        <v>42766.66667</v>
      </c>
      <c r="B351" s="13">
        <f>IFERROR(__xludf.DUMMYFUNCTION("""COMPUTED_VALUE"""),2278.87)</f>
        <v>2278.87</v>
      </c>
      <c r="C351" s="13">
        <f t="shared" si="1"/>
        <v>2273.38</v>
      </c>
      <c r="D351" s="13">
        <f t="shared" si="2"/>
        <v>2266.075</v>
      </c>
      <c r="E351" s="13" t="str">
        <f t="shared" si="3"/>
        <v>LONG</v>
      </c>
      <c r="F351" s="3">
        <f t="shared" si="4"/>
        <v>-0.0008899995616</v>
      </c>
      <c r="G351" s="4">
        <f t="shared" si="5"/>
        <v>1.095947792</v>
      </c>
      <c r="H351" s="3">
        <f t="shared" si="6"/>
        <v>-0.0008899995616</v>
      </c>
      <c r="I351" s="5">
        <f t="shared" si="7"/>
        <v>1.064957217</v>
      </c>
    </row>
    <row r="352">
      <c r="A352" s="12">
        <f>IFERROR(__xludf.DUMMYFUNCTION("""COMPUTED_VALUE"""),42767.66666666667)</f>
        <v>42767.66667</v>
      </c>
      <c r="B352" s="13">
        <f>IFERROR(__xludf.DUMMYFUNCTION("""COMPUTED_VALUE"""),2279.55)</f>
        <v>2279.55</v>
      </c>
      <c r="C352" s="13">
        <f t="shared" si="1"/>
        <v>2275.72</v>
      </c>
      <c r="D352" s="13">
        <f t="shared" si="2"/>
        <v>2270.79</v>
      </c>
      <c r="E352" s="13" t="str">
        <f t="shared" si="3"/>
        <v>LONG</v>
      </c>
      <c r="F352" s="3">
        <f t="shared" si="4"/>
        <v>0.000298393502</v>
      </c>
      <c r="G352" s="4">
        <f t="shared" si="5"/>
        <v>1.096274815</v>
      </c>
      <c r="H352" s="3">
        <f t="shared" si="6"/>
        <v>0.000298393502</v>
      </c>
      <c r="I352" s="5">
        <f t="shared" si="7"/>
        <v>1.065274993</v>
      </c>
    </row>
    <row r="353">
      <c r="A353" s="12">
        <f>IFERROR(__xludf.DUMMYFUNCTION("""COMPUTED_VALUE"""),42768.66666666667)</f>
        <v>42768.66667</v>
      </c>
      <c r="B353" s="13">
        <f>IFERROR(__xludf.DUMMYFUNCTION("""COMPUTED_VALUE"""),2280.85)</f>
        <v>2280.85</v>
      </c>
      <c r="C353" s="13">
        <f t="shared" si="1"/>
        <v>2272.27</v>
      </c>
      <c r="D353" s="13">
        <f t="shared" si="2"/>
        <v>2269.46</v>
      </c>
      <c r="E353" s="13" t="str">
        <f t="shared" si="3"/>
        <v>LONG</v>
      </c>
      <c r="F353" s="3">
        <f t="shared" si="4"/>
        <v>0.0005702879954</v>
      </c>
      <c r="G353" s="4">
        <f t="shared" si="5"/>
        <v>1.096900008</v>
      </c>
      <c r="H353" s="3">
        <f t="shared" si="6"/>
        <v>0.0005702879954</v>
      </c>
      <c r="I353" s="5">
        <f t="shared" si="7"/>
        <v>1.065882507</v>
      </c>
    </row>
    <row r="354">
      <c r="A354" s="12">
        <f>IFERROR(__xludf.DUMMYFUNCTION("""COMPUTED_VALUE"""),42769.66666666667)</f>
        <v>42769.66667</v>
      </c>
      <c r="B354" s="13">
        <f>IFERROR(__xludf.DUMMYFUNCTION("""COMPUTED_VALUE"""),2297.42)</f>
        <v>2297.42</v>
      </c>
      <c r="C354" s="13">
        <f t="shared" si="1"/>
        <v>2284.365</v>
      </c>
      <c r="D354" s="13">
        <f t="shared" si="2"/>
        <v>2279.975</v>
      </c>
      <c r="E354" s="13" t="str">
        <f t="shared" si="3"/>
        <v>LONG</v>
      </c>
      <c r="F354" s="3">
        <f t="shared" si="4"/>
        <v>0.007264835478</v>
      </c>
      <c r="G354" s="4">
        <f t="shared" si="5"/>
        <v>1.104868806</v>
      </c>
      <c r="H354" s="3">
        <f t="shared" si="6"/>
        <v>0.007264835478</v>
      </c>
      <c r="I354" s="5">
        <f t="shared" si="7"/>
        <v>1.073625968</v>
      </c>
    </row>
    <row r="355">
      <c r="A355" s="12">
        <f>IFERROR(__xludf.DUMMYFUNCTION("""COMPUTED_VALUE"""),42772.66666666667)</f>
        <v>42772.66667</v>
      </c>
      <c r="B355" s="13">
        <f>IFERROR(__xludf.DUMMYFUNCTION("""COMPUTED_VALUE"""),2292.56)</f>
        <v>2292.56</v>
      </c>
      <c r="C355" s="13">
        <f t="shared" si="1"/>
        <v>2278.88</v>
      </c>
      <c r="D355" s="13">
        <f t="shared" si="2"/>
        <v>2281.66</v>
      </c>
      <c r="E355" s="13" t="str">
        <f t="shared" si="3"/>
        <v/>
      </c>
      <c r="F355" s="3">
        <f t="shared" si="4"/>
        <v>-0.002115416424</v>
      </c>
      <c r="G355" s="4">
        <f t="shared" si="5"/>
        <v>1.102531548</v>
      </c>
      <c r="H355" s="5">
        <f t="shared" si="6"/>
        <v>0</v>
      </c>
      <c r="I355" s="5">
        <f t="shared" si="7"/>
        <v>1.073625968</v>
      </c>
    </row>
    <row r="356">
      <c r="A356" s="12">
        <f>IFERROR(__xludf.DUMMYFUNCTION("""COMPUTED_VALUE"""),42773.66666666667)</f>
        <v>42773.66667</v>
      </c>
      <c r="B356" s="13">
        <f>IFERROR(__xludf.DUMMYFUNCTION("""COMPUTED_VALUE"""),2293.08)</f>
        <v>2293.08</v>
      </c>
      <c r="C356" s="13">
        <f t="shared" si="1"/>
        <v>2286.575</v>
      </c>
      <c r="D356" s="13">
        <f t="shared" si="2"/>
        <v>2279.13</v>
      </c>
      <c r="E356" s="13" t="str">
        <f t="shared" si="3"/>
        <v>LONG</v>
      </c>
      <c r="F356" s="3">
        <f t="shared" si="4"/>
        <v>0.0002268206721</v>
      </c>
      <c r="G356" s="4">
        <f t="shared" si="5"/>
        <v>1.102781625</v>
      </c>
      <c r="H356" s="3">
        <f t="shared" si="6"/>
        <v>0.0002268206721</v>
      </c>
      <c r="I356" s="5">
        <f t="shared" si="7"/>
        <v>1.073869489</v>
      </c>
    </row>
    <row r="357">
      <c r="A357" s="12">
        <f>IFERROR(__xludf.DUMMYFUNCTION("""COMPUTED_VALUE"""),42774.66666666667)</f>
        <v>42774.66667</v>
      </c>
      <c r="B357" s="13">
        <f>IFERROR(__xludf.DUMMYFUNCTION("""COMPUTED_VALUE"""),2294.67)</f>
        <v>2294.67</v>
      </c>
      <c r="C357" s="13">
        <f t="shared" si="1"/>
        <v>2296.52</v>
      </c>
      <c r="D357" s="13">
        <f t="shared" si="2"/>
        <v>2277.815</v>
      </c>
      <c r="E357" s="13" t="str">
        <f t="shared" si="3"/>
        <v>LONG</v>
      </c>
      <c r="F357" s="3">
        <f t="shared" si="4"/>
        <v>0.000693390549</v>
      </c>
      <c r="G357" s="4">
        <f t="shared" si="5"/>
        <v>1.103546283</v>
      </c>
      <c r="H357" s="3">
        <f t="shared" si="6"/>
        <v>0.000693390549</v>
      </c>
      <c r="I357" s="5">
        <f t="shared" si="7"/>
        <v>1.0746141</v>
      </c>
    </row>
    <row r="358">
      <c r="A358" s="12">
        <f>IFERROR(__xludf.DUMMYFUNCTION("""COMPUTED_VALUE"""),42775.66666666667)</f>
        <v>42775.66667</v>
      </c>
      <c r="B358" s="13">
        <f>IFERROR(__xludf.DUMMYFUNCTION("""COMPUTED_VALUE"""),2307.87)</f>
        <v>2307.87</v>
      </c>
      <c r="C358" s="13">
        <f t="shared" si="1"/>
        <v>2302.275</v>
      </c>
      <c r="D358" s="13">
        <f t="shared" si="2"/>
        <v>2285.83</v>
      </c>
      <c r="E358" s="13" t="str">
        <f t="shared" si="3"/>
        <v>LONG</v>
      </c>
      <c r="F358" s="3">
        <f t="shared" si="4"/>
        <v>0.005752461138</v>
      </c>
      <c r="G358" s="4">
        <f t="shared" si="5"/>
        <v>1.109894391</v>
      </c>
      <c r="H358" s="3">
        <f t="shared" si="6"/>
        <v>0.005752461138</v>
      </c>
      <c r="I358" s="5">
        <f t="shared" si="7"/>
        <v>1.080795775</v>
      </c>
    </row>
    <row r="359">
      <c r="A359" s="12">
        <f>IFERROR(__xludf.DUMMYFUNCTION("""COMPUTED_VALUE"""),42776.66666666667)</f>
        <v>42776.66667</v>
      </c>
      <c r="B359" s="13">
        <f>IFERROR(__xludf.DUMMYFUNCTION("""COMPUTED_VALUE"""),2316.1)</f>
        <v>2316.1</v>
      </c>
      <c r="C359" s="13">
        <f t="shared" si="1"/>
        <v>2305.395</v>
      </c>
      <c r="D359" s="13">
        <f t="shared" si="2"/>
        <v>2292.49</v>
      </c>
      <c r="E359" s="13" t="str">
        <f t="shared" si="3"/>
        <v>LONG</v>
      </c>
      <c r="F359" s="3">
        <f t="shared" si="4"/>
        <v>0.003566058747</v>
      </c>
      <c r="G359" s="4">
        <f t="shared" si="5"/>
        <v>1.113852339</v>
      </c>
      <c r="H359" s="3">
        <f t="shared" si="6"/>
        <v>0.003566058747</v>
      </c>
      <c r="I359" s="5">
        <f t="shared" si="7"/>
        <v>1.084649957</v>
      </c>
    </row>
    <row r="360">
      <c r="A360" s="12">
        <f>IFERROR(__xludf.DUMMYFUNCTION("""COMPUTED_VALUE"""),42779.66666666667)</f>
        <v>42779.66667</v>
      </c>
      <c r="B360" s="13">
        <f>IFERROR(__xludf.DUMMYFUNCTION("""COMPUTED_VALUE"""),2328.25)</f>
        <v>2328.25</v>
      </c>
      <c r="C360" s="13">
        <f t="shared" si="1"/>
        <v>2304.575</v>
      </c>
      <c r="D360" s="13">
        <f t="shared" si="2"/>
        <v>2289.085</v>
      </c>
      <c r="E360" s="13" t="str">
        <f t="shared" si="3"/>
        <v>LONG</v>
      </c>
      <c r="F360" s="3">
        <f t="shared" si="4"/>
        <v>0.005245887483</v>
      </c>
      <c r="G360" s="4">
        <f t="shared" si="5"/>
        <v>1.119695483</v>
      </c>
      <c r="H360" s="3">
        <f t="shared" si="6"/>
        <v>0.005245887483</v>
      </c>
      <c r="I360" s="5">
        <f t="shared" si="7"/>
        <v>1.090339908</v>
      </c>
    </row>
    <row r="361">
      <c r="A361" s="12">
        <f>IFERROR(__xludf.DUMMYFUNCTION("""COMPUTED_VALUE"""),42780.66666666667)</f>
        <v>42780.66667</v>
      </c>
      <c r="B361" s="13">
        <f>IFERROR(__xludf.DUMMYFUNCTION("""COMPUTED_VALUE"""),2337.58)</f>
        <v>2337.58</v>
      </c>
      <c r="C361" s="13">
        <f t="shared" si="1"/>
        <v>2308.225</v>
      </c>
      <c r="D361" s="13">
        <f t="shared" si="2"/>
        <v>2293.42</v>
      </c>
      <c r="E361" s="13" t="str">
        <f t="shared" si="3"/>
        <v>LONG</v>
      </c>
      <c r="F361" s="3">
        <f t="shared" si="4"/>
        <v>0.004007301621</v>
      </c>
      <c r="G361" s="4">
        <f t="shared" si="5"/>
        <v>1.124182441</v>
      </c>
      <c r="H361" s="3">
        <f t="shared" si="6"/>
        <v>0.004007301621</v>
      </c>
      <c r="I361" s="5">
        <f t="shared" si="7"/>
        <v>1.094709229</v>
      </c>
    </row>
    <row r="362">
      <c r="A362" s="12">
        <f>IFERROR(__xludf.DUMMYFUNCTION("""COMPUTED_VALUE"""),42781.66666666667)</f>
        <v>42781.66667</v>
      </c>
      <c r="B362" s="13">
        <f>IFERROR(__xludf.DUMMYFUNCTION("""COMPUTED_VALUE"""),2349.25)</f>
        <v>2349.25</v>
      </c>
      <c r="C362" s="13">
        <f t="shared" si="1"/>
        <v>2314.4</v>
      </c>
      <c r="D362" s="13">
        <f t="shared" si="2"/>
        <v>2294.04</v>
      </c>
      <c r="E362" s="13" t="str">
        <f t="shared" si="3"/>
        <v>LONG</v>
      </c>
      <c r="F362" s="3">
        <f t="shared" si="4"/>
        <v>0.004992342508</v>
      </c>
      <c r="G362" s="4">
        <f t="shared" si="5"/>
        <v>1.129794745</v>
      </c>
      <c r="H362" s="3">
        <f t="shared" si="6"/>
        <v>0.004992342508</v>
      </c>
      <c r="I362" s="5">
        <f t="shared" si="7"/>
        <v>1.100174393</v>
      </c>
    </row>
    <row r="363">
      <c r="A363" s="12">
        <f>IFERROR(__xludf.DUMMYFUNCTION("""COMPUTED_VALUE"""),42782.66666666667)</f>
        <v>42782.66667</v>
      </c>
      <c r="B363" s="13">
        <f>IFERROR(__xludf.DUMMYFUNCTION("""COMPUTED_VALUE"""),2347.22)</f>
        <v>2347.22</v>
      </c>
      <c r="C363" s="13">
        <f t="shared" si="1"/>
        <v>2314.035</v>
      </c>
      <c r="D363" s="13">
        <f t="shared" si="2"/>
        <v>2302.525</v>
      </c>
      <c r="E363" s="13" t="str">
        <f t="shared" si="3"/>
        <v>LONG</v>
      </c>
      <c r="F363" s="3">
        <f t="shared" si="4"/>
        <v>-0.0008641055656</v>
      </c>
      <c r="G363" s="4">
        <f t="shared" si="5"/>
        <v>1.128818483</v>
      </c>
      <c r="H363" s="3">
        <f t="shared" si="6"/>
        <v>-0.0008641055656</v>
      </c>
      <c r="I363" s="5">
        <f t="shared" si="7"/>
        <v>1.099223726</v>
      </c>
    </row>
    <row r="364">
      <c r="A364" s="12">
        <f>IFERROR(__xludf.DUMMYFUNCTION("""COMPUTED_VALUE"""),42783.66666666667)</f>
        <v>42783.66667</v>
      </c>
      <c r="B364" s="13">
        <f>IFERROR(__xludf.DUMMYFUNCTION("""COMPUTED_VALUE"""),2351.16)</f>
        <v>2351.16</v>
      </c>
      <c r="C364" s="13">
        <f t="shared" si="1"/>
        <v>2324.29</v>
      </c>
      <c r="D364" s="13">
        <f t="shared" si="2"/>
        <v>2310.955</v>
      </c>
      <c r="E364" s="13" t="str">
        <f t="shared" si="3"/>
        <v>LONG</v>
      </c>
      <c r="F364" s="3">
        <f t="shared" si="4"/>
        <v>0.001678581471</v>
      </c>
      <c r="G364" s="4">
        <f t="shared" si="5"/>
        <v>1.130713296</v>
      </c>
      <c r="H364" s="3">
        <f t="shared" si="6"/>
        <v>0.001678581471</v>
      </c>
      <c r="I364" s="5">
        <f t="shared" si="7"/>
        <v>1.101068862</v>
      </c>
    </row>
    <row r="365">
      <c r="A365" s="12">
        <f>IFERROR(__xludf.DUMMYFUNCTION("""COMPUTED_VALUE"""),42787.66666666667)</f>
        <v>42787.66667</v>
      </c>
      <c r="B365" s="13">
        <f>IFERROR(__xludf.DUMMYFUNCTION("""COMPUTED_VALUE"""),2365.38)</f>
        <v>2365.38</v>
      </c>
      <c r="C365" s="13">
        <f t="shared" si="1"/>
        <v>2328.97</v>
      </c>
      <c r="D365" s="13">
        <f t="shared" si="2"/>
        <v>2317.19</v>
      </c>
      <c r="E365" s="13" t="str">
        <f t="shared" si="3"/>
        <v>LONG</v>
      </c>
      <c r="F365" s="3">
        <f t="shared" si="4"/>
        <v>0.006048078395</v>
      </c>
      <c r="G365" s="4">
        <f t="shared" si="5"/>
        <v>1.137551939</v>
      </c>
      <c r="H365" s="3">
        <f t="shared" si="6"/>
        <v>0.006048078395</v>
      </c>
      <c r="I365" s="5">
        <f t="shared" si="7"/>
        <v>1.107728213</v>
      </c>
    </row>
    <row r="366">
      <c r="A366" s="12">
        <f>IFERROR(__xludf.DUMMYFUNCTION("""COMPUTED_VALUE"""),42788.66666666667)</f>
        <v>42788.66667</v>
      </c>
      <c r="B366" s="13">
        <f>IFERROR(__xludf.DUMMYFUNCTION("""COMPUTED_VALUE"""),2362.82)</f>
        <v>2362.82</v>
      </c>
      <c r="C366" s="13">
        <f t="shared" si="1"/>
        <v>2327.95</v>
      </c>
      <c r="D366" s="13">
        <f t="shared" si="2"/>
        <v>2319.9</v>
      </c>
      <c r="E366" s="13" t="str">
        <f t="shared" si="3"/>
        <v>LONG</v>
      </c>
      <c r="F366" s="3">
        <f t="shared" si="4"/>
        <v>-0.001082278535</v>
      </c>
      <c r="G366" s="4">
        <f t="shared" si="5"/>
        <v>1.136320791</v>
      </c>
      <c r="H366" s="3">
        <f t="shared" si="6"/>
        <v>-0.001082278535</v>
      </c>
      <c r="I366" s="5">
        <f t="shared" si="7"/>
        <v>1.106529343</v>
      </c>
    </row>
    <row r="367">
      <c r="A367" s="12">
        <f>IFERROR(__xludf.DUMMYFUNCTION("""COMPUTED_VALUE"""),42789.66666666667)</f>
        <v>42789.66667</v>
      </c>
      <c r="B367" s="13">
        <f>IFERROR(__xludf.DUMMYFUNCTION("""COMPUTED_VALUE"""),2363.81)</f>
        <v>2363.81</v>
      </c>
      <c r="C367" s="13">
        <f t="shared" si="1"/>
        <v>2329.24</v>
      </c>
      <c r="D367" s="13">
        <f t="shared" si="2"/>
        <v>2316.355</v>
      </c>
      <c r="E367" s="13" t="str">
        <f t="shared" si="3"/>
        <v>LONG</v>
      </c>
      <c r="F367" s="3">
        <f t="shared" si="4"/>
        <v>0.0004189908668</v>
      </c>
      <c r="G367" s="4">
        <f t="shared" si="5"/>
        <v>1.136796899</v>
      </c>
      <c r="H367" s="3">
        <f t="shared" si="6"/>
        <v>0.0004189908668</v>
      </c>
      <c r="I367" s="5">
        <f t="shared" si="7"/>
        <v>1.106992968</v>
      </c>
    </row>
    <row r="368">
      <c r="A368" s="12">
        <f>IFERROR(__xludf.DUMMYFUNCTION("""COMPUTED_VALUE"""),42790.66666666667)</f>
        <v>42790.66667</v>
      </c>
      <c r="B368" s="13">
        <f>IFERROR(__xludf.DUMMYFUNCTION("""COMPUTED_VALUE"""),2367.34)</f>
        <v>2367.34</v>
      </c>
      <c r="C368" s="13">
        <f t="shared" si="1"/>
        <v>2337.605</v>
      </c>
      <c r="D368" s="13">
        <f t="shared" si="2"/>
        <v>2318.12</v>
      </c>
      <c r="E368" s="13" t="str">
        <f t="shared" si="3"/>
        <v>LONG</v>
      </c>
      <c r="F368" s="3">
        <f t="shared" si="4"/>
        <v>0.001493351835</v>
      </c>
      <c r="G368" s="4">
        <f t="shared" si="5"/>
        <v>1.138494537</v>
      </c>
      <c r="H368" s="3">
        <f t="shared" si="6"/>
        <v>0.001493351835</v>
      </c>
      <c r="I368" s="5">
        <f t="shared" si="7"/>
        <v>1.108646098</v>
      </c>
    </row>
    <row r="369">
      <c r="A369" s="12">
        <f>IFERROR(__xludf.DUMMYFUNCTION("""COMPUTED_VALUE"""),42793.66666666667)</f>
        <v>42793.66667</v>
      </c>
      <c r="B369" s="13">
        <f>IFERROR(__xludf.DUMMYFUNCTION("""COMPUTED_VALUE"""),2369.75)</f>
        <v>2369.75</v>
      </c>
      <c r="C369" s="13">
        <f t="shared" si="1"/>
        <v>2342.925</v>
      </c>
      <c r="D369" s="13">
        <f t="shared" si="2"/>
        <v>2322.535</v>
      </c>
      <c r="E369" s="13" t="str">
        <f t="shared" si="3"/>
        <v>LONG</v>
      </c>
      <c r="F369" s="3">
        <f t="shared" si="4"/>
        <v>0.001018020225</v>
      </c>
      <c r="G369" s="4">
        <f t="shared" si="5"/>
        <v>1.139653547</v>
      </c>
      <c r="H369" s="3">
        <f t="shared" si="6"/>
        <v>0.001018020225</v>
      </c>
      <c r="I369" s="5">
        <f t="shared" si="7"/>
        <v>1.109774722</v>
      </c>
    </row>
    <row r="370">
      <c r="A370" s="12">
        <f>IFERROR(__xludf.DUMMYFUNCTION("""COMPUTED_VALUE"""),42794.66666666667)</f>
        <v>42794.66667</v>
      </c>
      <c r="B370" s="13">
        <f>IFERROR(__xludf.DUMMYFUNCTION("""COMPUTED_VALUE"""),2363.64)</f>
        <v>2363.64</v>
      </c>
      <c r="C370" s="13">
        <f t="shared" si="1"/>
        <v>2345.945</v>
      </c>
      <c r="D370" s="13">
        <f t="shared" si="2"/>
        <v>2317.04</v>
      </c>
      <c r="E370" s="13" t="str">
        <f t="shared" si="3"/>
        <v>LONG</v>
      </c>
      <c r="F370" s="3">
        <f t="shared" si="4"/>
        <v>-0.002578331048</v>
      </c>
      <c r="G370" s="4">
        <f t="shared" si="5"/>
        <v>1.136715143</v>
      </c>
      <c r="H370" s="3">
        <f t="shared" si="6"/>
        <v>-0.002578331048</v>
      </c>
      <c r="I370" s="5">
        <f t="shared" si="7"/>
        <v>1.106913356</v>
      </c>
    </row>
    <row r="371">
      <c r="A371" s="12">
        <f>IFERROR(__xludf.DUMMYFUNCTION("""COMPUTED_VALUE"""),42795.66666666667)</f>
        <v>42795.66667</v>
      </c>
      <c r="B371" s="13">
        <f>IFERROR(__xludf.DUMMYFUNCTION("""COMPUTED_VALUE"""),2395.96)</f>
        <v>2395.96</v>
      </c>
      <c r="C371" s="13">
        <f t="shared" si="1"/>
        <v>2366.77</v>
      </c>
      <c r="D371" s="13">
        <f t="shared" si="2"/>
        <v>2335.3</v>
      </c>
      <c r="E371" s="13" t="str">
        <f t="shared" si="3"/>
        <v>LONG</v>
      </c>
      <c r="F371" s="3">
        <f t="shared" si="4"/>
        <v>0.01367382512</v>
      </c>
      <c r="G371" s="4">
        <f t="shared" si="5"/>
        <v>1.152258387</v>
      </c>
      <c r="H371" s="3">
        <f t="shared" si="6"/>
        <v>0.01367382512</v>
      </c>
      <c r="I371" s="5">
        <f t="shared" si="7"/>
        <v>1.122049096</v>
      </c>
    </row>
    <row r="372">
      <c r="A372" s="12">
        <f>IFERROR(__xludf.DUMMYFUNCTION("""COMPUTED_VALUE"""),42796.66666666667)</f>
        <v>42796.66667</v>
      </c>
      <c r="B372" s="13">
        <f>IFERROR(__xludf.DUMMYFUNCTION("""COMPUTED_VALUE"""),2381.92)</f>
        <v>2381.92</v>
      </c>
      <c r="C372" s="13">
        <f t="shared" si="1"/>
        <v>2365.585</v>
      </c>
      <c r="D372" s="13">
        <f t="shared" si="2"/>
        <v>2324.905</v>
      </c>
      <c r="E372" s="13" t="str">
        <f t="shared" si="3"/>
        <v>LONG</v>
      </c>
      <c r="F372" s="3">
        <f t="shared" si="4"/>
        <v>-0.005859864105</v>
      </c>
      <c r="G372" s="4">
        <f t="shared" si="5"/>
        <v>1.14550631</v>
      </c>
      <c r="H372" s="3">
        <f t="shared" si="6"/>
        <v>-0.005859864105</v>
      </c>
      <c r="I372" s="5">
        <f t="shared" si="7"/>
        <v>1.11547404</v>
      </c>
    </row>
    <row r="373">
      <c r="A373" s="12">
        <f>IFERROR(__xludf.DUMMYFUNCTION("""COMPUTED_VALUE"""),42797.66666666667)</f>
        <v>42797.66667</v>
      </c>
      <c r="B373" s="13">
        <f>IFERROR(__xludf.DUMMYFUNCTION("""COMPUTED_VALUE"""),2383.12)</f>
        <v>2383.12</v>
      </c>
      <c r="C373" s="13">
        <f t="shared" si="1"/>
        <v>2365.17</v>
      </c>
      <c r="D373" s="13">
        <f t="shared" si="2"/>
        <v>2327.505</v>
      </c>
      <c r="E373" s="13" t="str">
        <f t="shared" si="3"/>
        <v>LONG</v>
      </c>
      <c r="F373" s="3">
        <f t="shared" si="4"/>
        <v>0.0005037952576</v>
      </c>
      <c r="G373" s="4">
        <f t="shared" si="5"/>
        <v>1.14608341</v>
      </c>
      <c r="H373" s="3">
        <f t="shared" si="6"/>
        <v>0.0005037952576</v>
      </c>
      <c r="I373" s="5">
        <f t="shared" si="7"/>
        <v>1.116036011</v>
      </c>
    </row>
    <row r="374">
      <c r="A374" s="12">
        <f>IFERROR(__xludf.DUMMYFUNCTION("""COMPUTED_VALUE"""),42800.66666666667)</f>
        <v>42800.66667</v>
      </c>
      <c r="B374" s="13">
        <f>IFERROR(__xludf.DUMMYFUNCTION("""COMPUTED_VALUE"""),2375.31)</f>
        <v>2375.31</v>
      </c>
      <c r="C374" s="13">
        <f t="shared" si="1"/>
        <v>2363.235</v>
      </c>
      <c r="D374" s="13">
        <f t="shared" si="2"/>
        <v>2319.5</v>
      </c>
      <c r="E374" s="13" t="str">
        <f t="shared" si="3"/>
        <v>LONG</v>
      </c>
      <c r="F374" s="3">
        <f t="shared" si="4"/>
        <v>-0.003277216422</v>
      </c>
      <c r="G374" s="4">
        <f t="shared" si="5"/>
        <v>1.142327447</v>
      </c>
      <c r="H374" s="3">
        <f t="shared" si="6"/>
        <v>-0.003277216422</v>
      </c>
      <c r="I374" s="5">
        <f t="shared" si="7"/>
        <v>1.112378519</v>
      </c>
    </row>
    <row r="375">
      <c r="A375" s="12">
        <f>IFERROR(__xludf.DUMMYFUNCTION("""COMPUTED_VALUE"""),42801.66666666667)</f>
        <v>42801.66667</v>
      </c>
      <c r="B375" s="13">
        <f>IFERROR(__xludf.DUMMYFUNCTION("""COMPUTED_VALUE"""),2368.39)</f>
        <v>2368.39</v>
      </c>
      <c r="C375" s="13">
        <f t="shared" si="1"/>
        <v>2366.885</v>
      </c>
      <c r="D375" s="13">
        <f t="shared" si="2"/>
        <v>2319.85</v>
      </c>
      <c r="E375" s="13" t="str">
        <f t="shared" si="3"/>
        <v>LONG</v>
      </c>
      <c r="F375" s="3">
        <f t="shared" si="4"/>
        <v>-0.002913303948</v>
      </c>
      <c r="G375" s="4">
        <f t="shared" si="5"/>
        <v>1.1389995</v>
      </c>
      <c r="H375" s="3">
        <f t="shared" si="6"/>
        <v>-0.002913303948</v>
      </c>
      <c r="I375" s="5">
        <f t="shared" si="7"/>
        <v>1.109137823</v>
      </c>
    </row>
    <row r="376">
      <c r="A376" s="12">
        <f>IFERROR(__xludf.DUMMYFUNCTION("""COMPUTED_VALUE"""),42802.66666666667)</f>
        <v>42802.66667</v>
      </c>
      <c r="B376" s="13">
        <f>IFERROR(__xludf.DUMMYFUNCTION("""COMPUTED_VALUE"""),2362.98)</f>
        <v>2362.98</v>
      </c>
      <c r="C376" s="13">
        <f t="shared" si="1"/>
        <v>2362.9</v>
      </c>
      <c r="D376" s="13">
        <f t="shared" si="2"/>
        <v>2314.09</v>
      </c>
      <c r="E376" s="13" t="str">
        <f t="shared" si="3"/>
        <v>LONG</v>
      </c>
      <c r="F376" s="3">
        <f t="shared" si="4"/>
        <v>-0.002284252171</v>
      </c>
      <c r="G376" s="4">
        <f t="shared" si="5"/>
        <v>1.136397738</v>
      </c>
      <c r="H376" s="3">
        <f t="shared" si="6"/>
        <v>-0.002284252171</v>
      </c>
      <c r="I376" s="5">
        <f t="shared" si="7"/>
        <v>1.106604272</v>
      </c>
    </row>
    <row r="377">
      <c r="A377" s="12">
        <f>IFERROR(__xludf.DUMMYFUNCTION("""COMPUTED_VALUE"""),42803.66666666667)</f>
        <v>42803.66667</v>
      </c>
      <c r="B377" s="13">
        <f>IFERROR(__xludf.DUMMYFUNCTION("""COMPUTED_VALUE"""),2364.87)</f>
        <v>2364.87</v>
      </c>
      <c r="C377" s="13">
        <f t="shared" si="1"/>
        <v>2364.34</v>
      </c>
      <c r="D377" s="13">
        <f t="shared" si="2"/>
        <v>2322.47</v>
      </c>
      <c r="E377" s="13" t="str">
        <f t="shared" si="3"/>
        <v>LONG</v>
      </c>
      <c r="F377" s="3">
        <f t="shared" si="4"/>
        <v>0.0007998374933</v>
      </c>
      <c r="G377" s="4">
        <f t="shared" si="5"/>
        <v>1.137306671</v>
      </c>
      <c r="H377" s="3">
        <f t="shared" si="6"/>
        <v>0.0007998374933</v>
      </c>
      <c r="I377" s="5">
        <f t="shared" si="7"/>
        <v>1.107489376</v>
      </c>
    </row>
    <row r="378">
      <c r="A378" s="12">
        <f>IFERROR(__xludf.DUMMYFUNCTION("""COMPUTED_VALUE"""),42804.66666666667)</f>
        <v>42804.66667</v>
      </c>
      <c r="B378" s="13">
        <f>IFERROR(__xludf.DUMMYFUNCTION("""COMPUTED_VALUE"""),2372.6)</f>
        <v>2372.6</v>
      </c>
      <c r="C378" s="13">
        <f t="shared" si="1"/>
        <v>2369.97</v>
      </c>
      <c r="D378" s="13">
        <f t="shared" si="2"/>
        <v>2335.485</v>
      </c>
      <c r="E378" s="13" t="str">
        <f t="shared" si="3"/>
        <v>LONG</v>
      </c>
      <c r="F378" s="3">
        <f t="shared" si="4"/>
        <v>0.003268678617</v>
      </c>
      <c r="G378" s="4">
        <f t="shared" si="5"/>
        <v>1.141024161</v>
      </c>
      <c r="H378" s="3">
        <f t="shared" si="6"/>
        <v>0.003268678617</v>
      </c>
      <c r="I378" s="5">
        <f t="shared" si="7"/>
        <v>1.111109402</v>
      </c>
    </row>
    <row r="379">
      <c r="A379" s="12">
        <f>IFERROR(__xludf.DUMMYFUNCTION("""COMPUTED_VALUE"""),42807.66666666667)</f>
        <v>42807.66667</v>
      </c>
      <c r="B379" s="13">
        <f>IFERROR(__xludf.DUMMYFUNCTION("""COMPUTED_VALUE"""),2373.47)</f>
        <v>2373.47</v>
      </c>
      <c r="C379" s="13">
        <f t="shared" si="1"/>
        <v>2371.61</v>
      </c>
      <c r="D379" s="13">
        <f t="shared" si="2"/>
        <v>2335.075</v>
      </c>
      <c r="E379" s="13" t="str">
        <f t="shared" si="3"/>
        <v>LONG</v>
      </c>
      <c r="F379" s="3">
        <f t="shared" si="4"/>
        <v>0.0003666863357</v>
      </c>
      <c r="G379" s="4">
        <f t="shared" si="5"/>
        <v>1.141442559</v>
      </c>
      <c r="H379" s="3">
        <f t="shared" si="6"/>
        <v>0.0003666863357</v>
      </c>
      <c r="I379" s="5">
        <f t="shared" si="7"/>
        <v>1.111516831</v>
      </c>
    </row>
    <row r="380">
      <c r="A380" s="12">
        <f>IFERROR(__xludf.DUMMYFUNCTION("""COMPUTED_VALUE"""),42808.66666666667)</f>
        <v>42808.66667</v>
      </c>
      <c r="B380" s="13">
        <f>IFERROR(__xludf.DUMMYFUNCTION("""COMPUTED_VALUE"""),2365.45)</f>
        <v>2365.45</v>
      </c>
      <c r="C380" s="13">
        <f t="shared" si="1"/>
        <v>2364.545</v>
      </c>
      <c r="D380" s="13">
        <f t="shared" si="2"/>
        <v>2330.07</v>
      </c>
      <c r="E380" s="13" t="str">
        <f t="shared" si="3"/>
        <v>LONG</v>
      </c>
      <c r="F380" s="3">
        <f t="shared" si="4"/>
        <v>-0.003379018905</v>
      </c>
      <c r="G380" s="4">
        <f t="shared" si="5"/>
        <v>1.137585603</v>
      </c>
      <c r="H380" s="3">
        <f t="shared" si="6"/>
        <v>-0.003379018905</v>
      </c>
      <c r="I380" s="5">
        <f t="shared" si="7"/>
        <v>1.107760995</v>
      </c>
    </row>
    <row r="381">
      <c r="A381" s="12">
        <f>IFERROR(__xludf.DUMMYFUNCTION("""COMPUTED_VALUE"""),42809.66666666667)</f>
        <v>42809.66667</v>
      </c>
      <c r="B381" s="13">
        <f>IFERROR(__xludf.DUMMYFUNCTION("""COMPUTED_VALUE"""),2385.26)</f>
        <v>2385.26</v>
      </c>
      <c r="C381" s="13">
        <f t="shared" si="1"/>
        <v>2390.61</v>
      </c>
      <c r="D381" s="13">
        <f t="shared" si="2"/>
        <v>2333.08</v>
      </c>
      <c r="E381" s="13" t="str">
        <f t="shared" si="3"/>
        <v>LONG</v>
      </c>
      <c r="F381" s="3">
        <f t="shared" si="4"/>
        <v>0.008374727853</v>
      </c>
      <c r="G381" s="4">
        <f t="shared" si="5"/>
        <v>1.147112573</v>
      </c>
      <c r="H381" s="3">
        <f t="shared" si="6"/>
        <v>0.008374727853</v>
      </c>
      <c r="I381" s="5">
        <f t="shared" si="7"/>
        <v>1.117038192</v>
      </c>
    </row>
    <row r="382">
      <c r="A382" s="12">
        <f>IFERROR(__xludf.DUMMYFUNCTION("""COMPUTED_VALUE"""),42810.66666666667)</f>
        <v>42810.66667</v>
      </c>
      <c r="B382" s="13">
        <f>IFERROR(__xludf.DUMMYFUNCTION("""COMPUTED_VALUE"""),2381.38)</f>
        <v>2381.38</v>
      </c>
      <c r="C382" s="13">
        <f t="shared" si="1"/>
        <v>2381.65</v>
      </c>
      <c r="D382" s="13">
        <f t="shared" si="2"/>
        <v>2330.125</v>
      </c>
      <c r="E382" s="13" t="str">
        <f t="shared" si="3"/>
        <v>LONG</v>
      </c>
      <c r="F382" s="3">
        <f t="shared" si="4"/>
        <v>-0.001626657052</v>
      </c>
      <c r="G382" s="4">
        <f t="shared" si="5"/>
        <v>1.145246614</v>
      </c>
      <c r="H382" s="3">
        <f t="shared" si="6"/>
        <v>-0.001626657052</v>
      </c>
      <c r="I382" s="5">
        <f t="shared" si="7"/>
        <v>1.115221154</v>
      </c>
    </row>
    <row r="383">
      <c r="A383" s="12">
        <f>IFERROR(__xludf.DUMMYFUNCTION("""COMPUTED_VALUE"""),42811.66666666667)</f>
        <v>42811.66667</v>
      </c>
      <c r="B383" s="13">
        <f>IFERROR(__xludf.DUMMYFUNCTION("""COMPUTED_VALUE"""),2378.25)</f>
        <v>2378.25</v>
      </c>
      <c r="C383" s="13">
        <f t="shared" si="1"/>
        <v>2380.685</v>
      </c>
      <c r="D383" s="13">
        <f t="shared" si="2"/>
        <v>2328.9</v>
      </c>
      <c r="E383" s="13" t="str">
        <f t="shared" si="3"/>
        <v>LONG</v>
      </c>
      <c r="F383" s="3">
        <f t="shared" si="4"/>
        <v>-0.00131436394</v>
      </c>
      <c r="G383" s="4">
        <f t="shared" si="5"/>
        <v>1.143741343</v>
      </c>
      <c r="H383" s="3">
        <f t="shared" si="6"/>
        <v>-0.00131436394</v>
      </c>
      <c r="I383" s="5">
        <f t="shared" si="7"/>
        <v>1.113755347</v>
      </c>
    </row>
    <row r="384">
      <c r="A384" s="12">
        <f>IFERROR(__xludf.DUMMYFUNCTION("""COMPUTED_VALUE"""),42814.66666666667)</f>
        <v>42814.66667</v>
      </c>
      <c r="B384" s="13">
        <f>IFERROR(__xludf.DUMMYFUNCTION("""COMPUTED_VALUE"""),2373.47)</f>
        <v>2373.47</v>
      </c>
      <c r="C384" s="13">
        <f t="shared" si="1"/>
        <v>2374.39</v>
      </c>
      <c r="D384" s="13">
        <f t="shared" si="2"/>
        <v>2327.16</v>
      </c>
      <c r="E384" s="13" t="str">
        <f t="shared" si="3"/>
        <v>LONG</v>
      </c>
      <c r="F384" s="3">
        <f t="shared" si="4"/>
        <v>-0.002009881215</v>
      </c>
      <c r="G384" s="4">
        <f t="shared" si="5"/>
        <v>1.141442559</v>
      </c>
      <c r="H384" s="3">
        <f t="shared" si="6"/>
        <v>-0.002009881215</v>
      </c>
      <c r="I384" s="5">
        <f t="shared" si="7"/>
        <v>1.111516831</v>
      </c>
    </row>
    <row r="385">
      <c r="A385" s="12">
        <f>IFERROR(__xludf.DUMMYFUNCTION("""COMPUTED_VALUE"""),42815.66666666667)</f>
        <v>42815.66667</v>
      </c>
      <c r="B385" s="13">
        <f>IFERROR(__xludf.DUMMYFUNCTION("""COMPUTED_VALUE"""),2344.02)</f>
        <v>2344.02</v>
      </c>
      <c r="C385" s="13">
        <f t="shared" si="1"/>
        <v>2356.205</v>
      </c>
      <c r="D385" s="13">
        <f t="shared" si="2"/>
        <v>2320.72</v>
      </c>
      <c r="E385" s="13" t="str">
        <f t="shared" si="3"/>
        <v>LONG</v>
      </c>
      <c r="F385" s="3">
        <f t="shared" si="4"/>
        <v>-0.01240799336</v>
      </c>
      <c r="G385" s="4">
        <f t="shared" si="5"/>
        <v>1.127279548</v>
      </c>
      <c r="H385" s="3">
        <f t="shared" si="6"/>
        <v>-0.01240799336</v>
      </c>
      <c r="I385" s="5">
        <f t="shared" si="7"/>
        <v>1.097725138</v>
      </c>
    </row>
    <row r="386">
      <c r="A386" s="12">
        <f>IFERROR(__xludf.DUMMYFUNCTION("""COMPUTED_VALUE"""),42816.66666666667)</f>
        <v>42816.66667</v>
      </c>
      <c r="B386" s="13">
        <f>IFERROR(__xludf.DUMMYFUNCTION("""COMPUTED_VALUE"""),2348.45)</f>
        <v>2348.45</v>
      </c>
      <c r="C386" s="13">
        <f t="shared" si="1"/>
        <v>2355.715</v>
      </c>
      <c r="D386" s="13">
        <f t="shared" si="2"/>
        <v>2320.505</v>
      </c>
      <c r="E386" s="13" t="str">
        <f t="shared" si="3"/>
        <v>LONG</v>
      </c>
      <c r="F386" s="3">
        <f t="shared" si="4"/>
        <v>0.001889915615</v>
      </c>
      <c r="G386" s="4">
        <f t="shared" si="5"/>
        <v>1.129410011</v>
      </c>
      <c r="H386" s="3">
        <f t="shared" si="6"/>
        <v>0.001889915615</v>
      </c>
      <c r="I386" s="5">
        <f t="shared" si="7"/>
        <v>1.099799746</v>
      </c>
    </row>
    <row r="387">
      <c r="A387" s="12">
        <f>IFERROR(__xludf.DUMMYFUNCTION("""COMPUTED_VALUE"""),42817.66666666667)</f>
        <v>42817.66667</v>
      </c>
      <c r="B387" s="13">
        <f>IFERROR(__xludf.DUMMYFUNCTION("""COMPUTED_VALUE"""),2345.96)</f>
        <v>2345.96</v>
      </c>
      <c r="C387" s="13">
        <f t="shared" si="1"/>
        <v>2355.415</v>
      </c>
      <c r="D387" s="13">
        <f t="shared" si="2"/>
        <v>2319.52</v>
      </c>
      <c r="E387" s="13" t="str">
        <f t="shared" si="3"/>
        <v>LONG</v>
      </c>
      <c r="F387" s="3">
        <f t="shared" si="4"/>
        <v>-0.001060273798</v>
      </c>
      <c r="G387" s="4">
        <f t="shared" si="5"/>
        <v>1.128212527</v>
      </c>
      <c r="H387" s="3">
        <f t="shared" si="6"/>
        <v>-0.001060273798</v>
      </c>
      <c r="I387" s="5">
        <f t="shared" si="7"/>
        <v>1.098633657</v>
      </c>
    </row>
    <row r="388">
      <c r="A388" s="12">
        <f>IFERROR(__xludf.DUMMYFUNCTION("""COMPUTED_VALUE"""),42818.66666666667)</f>
        <v>42818.66667</v>
      </c>
      <c r="B388" s="13">
        <f>IFERROR(__xludf.DUMMYFUNCTION("""COMPUTED_VALUE"""),2343.98)</f>
        <v>2343.98</v>
      </c>
      <c r="C388" s="13">
        <f t="shared" si="1"/>
        <v>2358.29</v>
      </c>
      <c r="D388" s="13">
        <f t="shared" si="2"/>
        <v>2319.325</v>
      </c>
      <c r="E388" s="13" t="str">
        <f t="shared" si="3"/>
        <v>LONG</v>
      </c>
      <c r="F388" s="3">
        <f t="shared" si="4"/>
        <v>-0.0008440041603</v>
      </c>
      <c r="G388" s="4">
        <f t="shared" si="5"/>
        <v>1.127260311</v>
      </c>
      <c r="H388" s="3">
        <f t="shared" si="6"/>
        <v>-0.0008440041603</v>
      </c>
      <c r="I388" s="5">
        <f t="shared" si="7"/>
        <v>1.097706405</v>
      </c>
    </row>
    <row r="389">
      <c r="A389" s="12">
        <f>IFERROR(__xludf.DUMMYFUNCTION("""COMPUTED_VALUE"""),42821.66666666667)</f>
        <v>42821.66667</v>
      </c>
      <c r="B389" s="13">
        <f>IFERROR(__xludf.DUMMYFUNCTION("""COMPUTED_VALUE"""),2341.59)</f>
        <v>2341.59</v>
      </c>
      <c r="C389" s="13">
        <f t="shared" si="1"/>
        <v>2357.53</v>
      </c>
      <c r="D389" s="13">
        <f t="shared" si="2"/>
        <v>2324.73</v>
      </c>
      <c r="E389" s="13" t="str">
        <f t="shared" si="3"/>
        <v>LONG</v>
      </c>
      <c r="F389" s="3">
        <f t="shared" si="4"/>
        <v>-0.001019633273</v>
      </c>
      <c r="G389" s="4">
        <f t="shared" si="5"/>
        <v>1.126110919</v>
      </c>
      <c r="H389" s="3">
        <f t="shared" si="6"/>
        <v>-0.001019633273</v>
      </c>
      <c r="I389" s="5">
        <f t="shared" si="7"/>
        <v>1.096587147</v>
      </c>
    </row>
    <row r="390">
      <c r="A390" s="12">
        <f>IFERROR(__xludf.DUMMYFUNCTION("""COMPUTED_VALUE"""),42822.66666666667)</f>
        <v>42822.66667</v>
      </c>
      <c r="B390" s="13">
        <f>IFERROR(__xludf.DUMMYFUNCTION("""COMPUTED_VALUE"""),2358.57)</f>
        <v>2358.57</v>
      </c>
      <c r="C390" s="13">
        <f t="shared" si="1"/>
        <v>2362.01</v>
      </c>
      <c r="D390" s="13">
        <f t="shared" si="2"/>
        <v>2337.335</v>
      </c>
      <c r="E390" s="13" t="str">
        <f t="shared" si="3"/>
        <v>LONG</v>
      </c>
      <c r="F390" s="3">
        <f t="shared" si="4"/>
        <v>0.007251482967</v>
      </c>
      <c r="G390" s="4">
        <f t="shared" si="5"/>
        <v>1.134276893</v>
      </c>
      <c r="H390" s="3">
        <f t="shared" si="6"/>
        <v>0.007251482967</v>
      </c>
      <c r="I390" s="5">
        <f t="shared" si="7"/>
        <v>1.10453903</v>
      </c>
    </row>
    <row r="391">
      <c r="A391" s="12">
        <f>IFERROR(__xludf.DUMMYFUNCTION("""COMPUTED_VALUE"""),42823.66666666667)</f>
        <v>42823.66667</v>
      </c>
      <c r="B391" s="13">
        <f>IFERROR(__xludf.DUMMYFUNCTION("""COMPUTED_VALUE"""),2361.13)</f>
        <v>2361.13</v>
      </c>
      <c r="C391" s="13">
        <f t="shared" si="1"/>
        <v>2373.195</v>
      </c>
      <c r="D391" s="13">
        <f t="shared" si="2"/>
        <v>2344.69</v>
      </c>
      <c r="E391" s="13" t="str">
        <f t="shared" si="3"/>
        <v>LONG</v>
      </c>
      <c r="F391" s="3">
        <f t="shared" si="4"/>
        <v>0.001085403444</v>
      </c>
      <c r="G391" s="4">
        <f t="shared" si="5"/>
        <v>1.135508041</v>
      </c>
      <c r="H391" s="3">
        <f t="shared" si="6"/>
        <v>0.001085403444</v>
      </c>
      <c r="I391" s="5">
        <f t="shared" si="7"/>
        <v>1.105737901</v>
      </c>
    </row>
    <row r="392">
      <c r="A392" s="12">
        <f>IFERROR(__xludf.DUMMYFUNCTION("""COMPUTED_VALUE"""),42824.66666666667)</f>
        <v>42824.66667</v>
      </c>
      <c r="B392" s="13">
        <f>IFERROR(__xludf.DUMMYFUNCTION("""COMPUTED_VALUE"""),2368.06)</f>
        <v>2368.06</v>
      </c>
      <c r="C392" s="13">
        <f t="shared" si="1"/>
        <v>2374.72</v>
      </c>
      <c r="D392" s="13">
        <f t="shared" si="2"/>
        <v>2352.82</v>
      </c>
      <c r="E392" s="13" t="str">
        <f t="shared" si="3"/>
        <v>LONG</v>
      </c>
      <c r="F392" s="3">
        <f t="shared" si="4"/>
        <v>0.002935035343</v>
      </c>
      <c r="G392" s="4">
        <f t="shared" si="5"/>
        <v>1.138840797</v>
      </c>
      <c r="H392" s="3">
        <f t="shared" si="6"/>
        <v>0.002935035343</v>
      </c>
      <c r="I392" s="5">
        <f t="shared" si="7"/>
        <v>1.108983281</v>
      </c>
    </row>
    <row r="393">
      <c r="A393" s="12">
        <f>IFERROR(__xludf.DUMMYFUNCTION("""COMPUTED_VALUE"""),42825.66666666667)</f>
        <v>42825.66667</v>
      </c>
      <c r="B393" s="13">
        <f>IFERROR(__xludf.DUMMYFUNCTION("""COMPUTED_VALUE"""),2362.72)</f>
        <v>2362.72</v>
      </c>
      <c r="C393" s="13">
        <f t="shared" si="1"/>
        <v>2370.485</v>
      </c>
      <c r="D393" s="13">
        <f t="shared" si="2"/>
        <v>2355.985</v>
      </c>
      <c r="E393" s="13" t="str">
        <f t="shared" si="3"/>
        <v>LONG</v>
      </c>
      <c r="F393" s="3">
        <f t="shared" si="4"/>
        <v>-0.00225501043</v>
      </c>
      <c r="G393" s="4">
        <f t="shared" si="5"/>
        <v>1.136272699</v>
      </c>
      <c r="H393" s="3">
        <f t="shared" si="6"/>
        <v>-0.00225501043</v>
      </c>
      <c r="I393" s="5">
        <f t="shared" si="7"/>
        <v>1.106482512</v>
      </c>
    </row>
    <row r="394">
      <c r="A394" s="12">
        <f>IFERROR(__xludf.DUMMYFUNCTION("""COMPUTED_VALUE"""),42828.66666666667)</f>
        <v>42828.66667</v>
      </c>
      <c r="B394" s="13">
        <f>IFERROR(__xludf.DUMMYFUNCTION("""COMPUTED_VALUE"""),2358.84)</f>
        <v>2358.84</v>
      </c>
      <c r="C394" s="13">
        <f t="shared" si="1"/>
        <v>2366.155</v>
      </c>
      <c r="D394" s="13">
        <f t="shared" si="2"/>
        <v>2353.03</v>
      </c>
      <c r="E394" s="13" t="str">
        <f t="shared" si="3"/>
        <v>LONG</v>
      </c>
      <c r="F394" s="3">
        <f t="shared" si="4"/>
        <v>-0.00164217512</v>
      </c>
      <c r="G394" s="4">
        <f t="shared" si="5"/>
        <v>1.134406741</v>
      </c>
      <c r="H394" s="3">
        <f t="shared" si="6"/>
        <v>-0.00164217512</v>
      </c>
      <c r="I394" s="5">
        <f t="shared" si="7"/>
        <v>1.104665474</v>
      </c>
    </row>
    <row r="395">
      <c r="A395" s="12">
        <f>IFERROR(__xludf.DUMMYFUNCTION("""COMPUTED_VALUE"""),42829.66666666667)</f>
        <v>42829.66667</v>
      </c>
      <c r="B395" s="13">
        <f>IFERROR(__xludf.DUMMYFUNCTION("""COMPUTED_VALUE"""),2360.16)</f>
        <v>2360.16</v>
      </c>
      <c r="C395" s="13">
        <f t="shared" si="1"/>
        <v>2352.09</v>
      </c>
      <c r="D395" s="13">
        <f t="shared" si="2"/>
        <v>2355.66</v>
      </c>
      <c r="E395" s="13" t="str">
        <f t="shared" si="3"/>
        <v/>
      </c>
      <c r="F395" s="3">
        <f t="shared" si="4"/>
        <v>0.0005595970901</v>
      </c>
      <c r="G395" s="4">
        <f t="shared" si="5"/>
        <v>1.135041551</v>
      </c>
      <c r="H395" s="5">
        <f t="shared" si="6"/>
        <v>0</v>
      </c>
      <c r="I395" s="5">
        <f t="shared" si="7"/>
        <v>1.104665474</v>
      </c>
    </row>
    <row r="396">
      <c r="A396" s="12">
        <f>IFERROR(__xludf.DUMMYFUNCTION("""COMPUTED_VALUE"""),42830.66666666667)</f>
        <v>42830.66667</v>
      </c>
      <c r="B396" s="13">
        <f>IFERROR(__xludf.DUMMYFUNCTION("""COMPUTED_VALUE"""),2352.95)</f>
        <v>2352.95</v>
      </c>
      <c r="C396" s="13">
        <f t="shared" si="1"/>
        <v>2350.7</v>
      </c>
      <c r="D396" s="13">
        <f t="shared" si="2"/>
        <v>2359.165</v>
      </c>
      <c r="E396" s="13" t="str">
        <f t="shared" si="3"/>
        <v/>
      </c>
      <c r="F396" s="3">
        <f t="shared" si="4"/>
        <v>-0.003054877635</v>
      </c>
      <c r="G396" s="4">
        <f t="shared" si="5"/>
        <v>1.131574138</v>
      </c>
      <c r="H396" s="5">
        <f t="shared" si="6"/>
        <v>0</v>
      </c>
      <c r="I396" s="5">
        <f t="shared" si="7"/>
        <v>1.104665474</v>
      </c>
    </row>
    <row r="397">
      <c r="A397" s="12">
        <f>IFERROR(__xludf.DUMMYFUNCTION("""COMPUTED_VALUE"""),42831.66666666667)</f>
        <v>42831.66667</v>
      </c>
      <c r="B397" s="13">
        <f>IFERROR(__xludf.DUMMYFUNCTION("""COMPUTED_VALUE"""),2357.49)</f>
        <v>2357.49</v>
      </c>
      <c r="C397" s="13">
        <f t="shared" si="1"/>
        <v>2351.725</v>
      </c>
      <c r="D397" s="13">
        <f t="shared" si="2"/>
        <v>2360.155</v>
      </c>
      <c r="E397" s="13" t="str">
        <f t="shared" si="3"/>
        <v/>
      </c>
      <c r="F397" s="3">
        <f t="shared" si="4"/>
        <v>0.001929492764</v>
      </c>
      <c r="G397" s="4">
        <f t="shared" si="5"/>
        <v>1.133757502</v>
      </c>
      <c r="H397" s="5">
        <f t="shared" si="6"/>
        <v>0</v>
      </c>
      <c r="I397" s="5">
        <f t="shared" si="7"/>
        <v>1.104665474</v>
      </c>
    </row>
    <row r="398">
      <c r="A398" s="12">
        <f>IFERROR(__xludf.DUMMYFUNCTION("""COMPUTED_VALUE"""),42832.66666666667)</f>
        <v>42832.66667</v>
      </c>
      <c r="B398" s="13">
        <f>IFERROR(__xludf.DUMMYFUNCTION("""COMPUTED_VALUE"""),2355.54)</f>
        <v>2355.54</v>
      </c>
      <c r="C398" s="13">
        <f t="shared" si="1"/>
        <v>2349.76</v>
      </c>
      <c r="D398" s="13">
        <f t="shared" si="2"/>
        <v>2359.675</v>
      </c>
      <c r="E398" s="13" t="str">
        <f t="shared" si="3"/>
        <v/>
      </c>
      <c r="F398" s="3">
        <f t="shared" si="4"/>
        <v>-0.0008271509105</v>
      </c>
      <c r="G398" s="4">
        <f t="shared" si="5"/>
        <v>1.132819714</v>
      </c>
      <c r="H398" s="5">
        <f t="shared" si="6"/>
        <v>0</v>
      </c>
      <c r="I398" s="5">
        <f t="shared" si="7"/>
        <v>1.104665474</v>
      </c>
    </row>
    <row r="399">
      <c r="A399" s="12">
        <f>IFERROR(__xludf.DUMMYFUNCTION("""COMPUTED_VALUE"""),42835.66666666667)</f>
        <v>42835.66667</v>
      </c>
      <c r="B399" s="13">
        <f>IFERROR(__xludf.DUMMYFUNCTION("""COMPUTED_VALUE"""),2357.16)</f>
        <v>2357.16</v>
      </c>
      <c r="C399" s="13">
        <f t="shared" si="1"/>
        <v>2349.375</v>
      </c>
      <c r="D399" s="13">
        <f t="shared" si="2"/>
        <v>2362.25</v>
      </c>
      <c r="E399" s="13" t="str">
        <f t="shared" si="3"/>
        <v/>
      </c>
      <c r="F399" s="3">
        <f t="shared" si="4"/>
        <v>0.0006877403907</v>
      </c>
      <c r="G399" s="4">
        <f t="shared" si="5"/>
        <v>1.1335988</v>
      </c>
      <c r="H399" s="5">
        <f t="shared" si="6"/>
        <v>0</v>
      </c>
      <c r="I399" s="5">
        <f t="shared" si="7"/>
        <v>1.104665474</v>
      </c>
    </row>
    <row r="400">
      <c r="A400" s="12">
        <f>IFERROR(__xludf.DUMMYFUNCTION("""COMPUTED_VALUE"""),42836.66666666667)</f>
        <v>42836.66667</v>
      </c>
      <c r="B400" s="13">
        <f>IFERROR(__xludf.DUMMYFUNCTION("""COMPUTED_VALUE"""),2353.78)</f>
        <v>2353.78</v>
      </c>
      <c r="C400" s="13">
        <f t="shared" si="1"/>
        <v>2356.175</v>
      </c>
      <c r="D400" s="13">
        <f t="shared" si="2"/>
        <v>2361.765</v>
      </c>
      <c r="E400" s="13" t="str">
        <f t="shared" si="3"/>
        <v/>
      </c>
      <c r="F400" s="3">
        <f t="shared" si="4"/>
        <v>-0.001433928965</v>
      </c>
      <c r="G400" s="4">
        <f t="shared" si="5"/>
        <v>1.131973299</v>
      </c>
      <c r="H400" s="5">
        <f t="shared" si="6"/>
        <v>0</v>
      </c>
      <c r="I400" s="5">
        <f t="shared" si="7"/>
        <v>1.104665474</v>
      </c>
    </row>
    <row r="401">
      <c r="A401" s="12">
        <f>IFERROR(__xludf.DUMMYFUNCTION("""COMPUTED_VALUE"""),42837.66666666667)</f>
        <v>42837.66667</v>
      </c>
      <c r="B401" s="13">
        <f>IFERROR(__xludf.DUMMYFUNCTION("""COMPUTED_VALUE"""),2344.93)</f>
        <v>2344.93</v>
      </c>
      <c r="C401" s="13">
        <f t="shared" si="1"/>
        <v>2353.03</v>
      </c>
      <c r="D401" s="13">
        <f t="shared" si="2"/>
        <v>2354.285</v>
      </c>
      <c r="E401" s="13" t="str">
        <f t="shared" si="3"/>
        <v/>
      </c>
      <c r="F401" s="3">
        <f t="shared" si="4"/>
        <v>-0.003759909592</v>
      </c>
      <c r="G401" s="4">
        <f t="shared" si="5"/>
        <v>1.127717182</v>
      </c>
      <c r="H401" s="5">
        <f t="shared" si="6"/>
        <v>0</v>
      </c>
      <c r="I401" s="5">
        <f t="shared" si="7"/>
        <v>1.104665474</v>
      </c>
    </row>
    <row r="402">
      <c r="A402" s="12">
        <f>IFERROR(__xludf.DUMMYFUNCTION("""COMPUTED_VALUE"""),42838.66666666667)</f>
        <v>42838.66667</v>
      </c>
      <c r="B402" s="13">
        <f>IFERROR(__xludf.DUMMYFUNCTION("""COMPUTED_VALUE"""),2328.95)</f>
        <v>2328.95</v>
      </c>
      <c r="C402" s="13">
        <f t="shared" si="1"/>
        <v>2348.505</v>
      </c>
      <c r="D402" s="13">
        <f t="shared" si="2"/>
        <v>2362.455</v>
      </c>
      <c r="E402" s="13" t="str">
        <f t="shared" si="3"/>
        <v/>
      </c>
      <c r="F402" s="3">
        <f t="shared" si="4"/>
        <v>-0.006814702358</v>
      </c>
      <c r="G402" s="4">
        <f t="shared" si="5"/>
        <v>1.120032125</v>
      </c>
      <c r="H402" s="5">
        <f t="shared" si="6"/>
        <v>0</v>
      </c>
      <c r="I402" s="5">
        <f t="shared" si="7"/>
        <v>1.104665474</v>
      </c>
    </row>
    <row r="403">
      <c r="A403" s="12">
        <f>IFERROR(__xludf.DUMMYFUNCTION("""COMPUTED_VALUE"""),42842.66666666667)</f>
        <v>42842.66667</v>
      </c>
      <c r="B403" s="13">
        <f>IFERROR(__xludf.DUMMYFUNCTION("""COMPUTED_VALUE"""),2349.01)</f>
        <v>2349.01</v>
      </c>
      <c r="C403" s="13">
        <f t="shared" si="1"/>
        <v>2355.865</v>
      </c>
      <c r="D403" s="13">
        <f t="shared" si="2"/>
        <v>2365.465</v>
      </c>
      <c r="E403" s="13" t="str">
        <f t="shared" si="3"/>
        <v/>
      </c>
      <c r="F403" s="3">
        <f t="shared" si="4"/>
        <v>0.008613323601</v>
      </c>
      <c r="G403" s="4">
        <f t="shared" si="5"/>
        <v>1.129679324</v>
      </c>
      <c r="H403" s="5">
        <f t="shared" si="6"/>
        <v>0</v>
      </c>
      <c r="I403" s="5">
        <f t="shared" si="7"/>
        <v>1.104665474</v>
      </c>
    </row>
    <row r="404">
      <c r="A404" s="12">
        <f>IFERROR(__xludf.DUMMYFUNCTION("""COMPUTED_VALUE"""),42843.66666666667)</f>
        <v>42843.66667</v>
      </c>
      <c r="B404" s="13">
        <f>IFERROR(__xludf.DUMMYFUNCTION("""COMPUTED_VALUE"""),2342.19)</f>
        <v>2342.19</v>
      </c>
      <c r="C404" s="13">
        <f t="shared" si="1"/>
        <v>2350.515</v>
      </c>
      <c r="D404" s="13">
        <f t="shared" si="2"/>
        <v>2362.655</v>
      </c>
      <c r="E404" s="13" t="str">
        <f t="shared" si="3"/>
        <v/>
      </c>
      <c r="F404" s="3">
        <f t="shared" si="4"/>
        <v>-0.002903350773</v>
      </c>
      <c r="G404" s="4">
        <f t="shared" si="5"/>
        <v>1.126399469</v>
      </c>
      <c r="H404" s="5">
        <f t="shared" si="6"/>
        <v>0</v>
      </c>
      <c r="I404" s="5">
        <f t="shared" si="7"/>
        <v>1.104665474</v>
      </c>
    </row>
    <row r="405">
      <c r="A405" s="12">
        <f>IFERROR(__xludf.DUMMYFUNCTION("""COMPUTED_VALUE"""),42844.66666666667)</f>
        <v>42844.66667</v>
      </c>
      <c r="B405" s="13">
        <f>IFERROR(__xludf.DUMMYFUNCTION("""COMPUTED_VALUE"""),2338.17)</f>
        <v>2338.17</v>
      </c>
      <c r="C405" s="13">
        <f t="shared" si="1"/>
        <v>2349.165</v>
      </c>
      <c r="D405" s="13">
        <f t="shared" si="2"/>
        <v>2356.74</v>
      </c>
      <c r="E405" s="13" t="str">
        <f t="shared" si="3"/>
        <v/>
      </c>
      <c r="F405" s="3">
        <f t="shared" si="4"/>
        <v>-0.001716342397</v>
      </c>
      <c r="G405" s="4">
        <f t="shared" si="5"/>
        <v>1.124466182</v>
      </c>
      <c r="H405" s="5">
        <f t="shared" si="6"/>
        <v>0</v>
      </c>
      <c r="I405" s="5">
        <f t="shared" si="7"/>
        <v>1.104665474</v>
      </c>
    </row>
    <row r="406">
      <c r="A406" s="12">
        <f>IFERROR(__xludf.DUMMYFUNCTION("""COMPUTED_VALUE"""),42845.66666666667)</f>
        <v>42845.66667</v>
      </c>
      <c r="B406" s="13">
        <f>IFERROR(__xludf.DUMMYFUNCTION("""COMPUTED_VALUE"""),2355.84)</f>
        <v>2355.84</v>
      </c>
      <c r="C406" s="13">
        <f t="shared" si="1"/>
        <v>2354.395</v>
      </c>
      <c r="D406" s="13">
        <f t="shared" si="2"/>
        <v>2362.115</v>
      </c>
      <c r="E406" s="13" t="str">
        <f t="shared" si="3"/>
        <v/>
      </c>
      <c r="F406" s="3">
        <f t="shared" si="4"/>
        <v>0.007557192163</v>
      </c>
      <c r="G406" s="4">
        <f t="shared" si="5"/>
        <v>1.132963989</v>
      </c>
      <c r="H406" s="5">
        <f t="shared" si="6"/>
        <v>0</v>
      </c>
      <c r="I406" s="5">
        <f t="shared" si="7"/>
        <v>1.104665474</v>
      </c>
    </row>
    <row r="407">
      <c r="A407" s="12">
        <f>IFERROR(__xludf.DUMMYFUNCTION("""COMPUTED_VALUE"""),42846.66666666667)</f>
        <v>42846.66667</v>
      </c>
      <c r="B407" s="13">
        <f>IFERROR(__xludf.DUMMYFUNCTION("""COMPUTED_VALUE"""),2348.69)</f>
        <v>2348.69</v>
      </c>
      <c r="C407" s="13">
        <f t="shared" si="1"/>
        <v>2353.09</v>
      </c>
      <c r="D407" s="13">
        <f t="shared" si="2"/>
        <v>2355.835</v>
      </c>
      <c r="E407" s="13" t="str">
        <f t="shared" si="3"/>
        <v/>
      </c>
      <c r="F407" s="3">
        <f t="shared" si="4"/>
        <v>-0.003035010867</v>
      </c>
      <c r="G407" s="4">
        <f t="shared" si="5"/>
        <v>1.129525431</v>
      </c>
      <c r="H407" s="5">
        <f t="shared" si="6"/>
        <v>0</v>
      </c>
      <c r="I407" s="5">
        <f t="shared" si="7"/>
        <v>1.104665474</v>
      </c>
    </row>
    <row r="408">
      <c r="A408" s="12">
        <f>IFERROR(__xludf.DUMMYFUNCTION("""COMPUTED_VALUE"""),42849.66666666667)</f>
        <v>42849.66667</v>
      </c>
      <c r="B408" s="13">
        <f>IFERROR(__xludf.DUMMYFUNCTION("""COMPUTED_VALUE"""),2374.15)</f>
        <v>2374.15</v>
      </c>
      <c r="C408" s="13">
        <f t="shared" si="1"/>
        <v>2364.845</v>
      </c>
      <c r="D408" s="13">
        <f t="shared" si="2"/>
        <v>2369.51</v>
      </c>
      <c r="E408" s="13" t="str">
        <f t="shared" si="3"/>
        <v/>
      </c>
      <c r="F408" s="3">
        <f t="shared" si="4"/>
        <v>0.01084008532</v>
      </c>
      <c r="G408" s="4">
        <f t="shared" si="5"/>
        <v>1.141769583</v>
      </c>
      <c r="H408" s="5">
        <f t="shared" si="6"/>
        <v>0</v>
      </c>
      <c r="I408" s="5">
        <f t="shared" si="7"/>
        <v>1.104665474</v>
      </c>
    </row>
    <row r="409">
      <c r="A409" s="12">
        <f>IFERROR(__xludf.DUMMYFUNCTION("""COMPUTED_VALUE"""),42850.66666666667)</f>
        <v>42850.66667</v>
      </c>
      <c r="B409" s="13">
        <f>IFERROR(__xludf.DUMMYFUNCTION("""COMPUTED_VALUE"""),2388.61)</f>
        <v>2388.61</v>
      </c>
      <c r="C409" s="13">
        <f t="shared" si="1"/>
        <v>2372.885</v>
      </c>
      <c r="D409" s="13">
        <f t="shared" si="2"/>
        <v>2380.605</v>
      </c>
      <c r="E409" s="13" t="str">
        <f t="shared" si="3"/>
        <v/>
      </c>
      <c r="F409" s="3">
        <f t="shared" si="4"/>
        <v>0.006090600847</v>
      </c>
      <c r="G409" s="4">
        <f t="shared" si="5"/>
        <v>1.148723646</v>
      </c>
      <c r="H409" s="5">
        <f t="shared" si="6"/>
        <v>0</v>
      </c>
      <c r="I409" s="5">
        <f t="shared" si="7"/>
        <v>1.104665474</v>
      </c>
    </row>
    <row r="410">
      <c r="A410" s="12">
        <f>IFERROR(__xludf.DUMMYFUNCTION("""COMPUTED_VALUE"""),42851.66666666667)</f>
        <v>42851.66667</v>
      </c>
      <c r="B410" s="13">
        <f>IFERROR(__xludf.DUMMYFUNCTION("""COMPUTED_VALUE"""),2387.45)</f>
        <v>2387.45</v>
      </c>
      <c r="C410" s="13">
        <f t="shared" si="1"/>
        <v>2370.615</v>
      </c>
      <c r="D410" s="13">
        <f t="shared" si="2"/>
        <v>2380.46</v>
      </c>
      <c r="E410" s="13" t="str">
        <f t="shared" si="3"/>
        <v/>
      </c>
      <c r="F410" s="3">
        <f t="shared" si="4"/>
        <v>-0.0004856380908</v>
      </c>
      <c r="G410" s="4">
        <f t="shared" si="5"/>
        <v>1.148165782</v>
      </c>
      <c r="H410" s="5">
        <f t="shared" si="6"/>
        <v>0</v>
      </c>
      <c r="I410" s="5">
        <f t="shared" si="7"/>
        <v>1.104665474</v>
      </c>
    </row>
    <row r="411">
      <c r="A411" s="12">
        <f>IFERROR(__xludf.DUMMYFUNCTION("""COMPUTED_VALUE"""),42852.66666666667)</f>
        <v>42852.66667</v>
      </c>
      <c r="B411" s="13">
        <f>IFERROR(__xludf.DUMMYFUNCTION("""COMPUTED_VALUE"""),2388.77)</f>
        <v>2388.77</v>
      </c>
      <c r="C411" s="13">
        <f t="shared" si="1"/>
        <v>2366.85</v>
      </c>
      <c r="D411" s="13">
        <f t="shared" si="2"/>
        <v>2377.11</v>
      </c>
      <c r="E411" s="13" t="str">
        <f t="shared" si="3"/>
        <v/>
      </c>
      <c r="F411" s="3">
        <f t="shared" si="4"/>
        <v>0.00055289116</v>
      </c>
      <c r="G411" s="4">
        <f t="shared" si="5"/>
        <v>1.148800592</v>
      </c>
      <c r="H411" s="5">
        <f t="shared" si="6"/>
        <v>0</v>
      </c>
      <c r="I411" s="5">
        <f t="shared" si="7"/>
        <v>1.104665474</v>
      </c>
    </row>
    <row r="412">
      <c r="A412" s="12">
        <f>IFERROR(__xludf.DUMMYFUNCTION("""COMPUTED_VALUE"""),42853.66666666667)</f>
        <v>42853.66667</v>
      </c>
      <c r="B412" s="13">
        <f>IFERROR(__xludf.DUMMYFUNCTION("""COMPUTED_VALUE"""),2384.2)</f>
        <v>2384.2</v>
      </c>
      <c r="C412" s="13">
        <f t="shared" si="1"/>
        <v>2356.575</v>
      </c>
      <c r="D412" s="13">
        <f t="shared" si="2"/>
        <v>2384.73</v>
      </c>
      <c r="E412" s="13" t="str">
        <f t="shared" si="3"/>
        <v/>
      </c>
      <c r="F412" s="3">
        <f t="shared" si="4"/>
        <v>-0.001913118467</v>
      </c>
      <c r="G412" s="4">
        <f t="shared" si="5"/>
        <v>1.146602801</v>
      </c>
      <c r="H412" s="5">
        <f t="shared" si="6"/>
        <v>0</v>
      </c>
      <c r="I412" s="5">
        <f t="shared" si="7"/>
        <v>1.104665474</v>
      </c>
    </row>
    <row r="413">
      <c r="A413" s="12">
        <f>IFERROR(__xludf.DUMMYFUNCTION("""COMPUTED_VALUE"""),42856.66666666667)</f>
        <v>42856.66667</v>
      </c>
      <c r="B413" s="13">
        <f>IFERROR(__xludf.DUMMYFUNCTION("""COMPUTED_VALUE"""),2388.33)</f>
        <v>2388.33</v>
      </c>
      <c r="C413" s="13">
        <f t="shared" si="1"/>
        <v>2368.67</v>
      </c>
      <c r="D413" s="13">
        <f t="shared" si="2"/>
        <v>2384.855</v>
      </c>
      <c r="E413" s="13" t="str">
        <f t="shared" si="3"/>
        <v/>
      </c>
      <c r="F413" s="3">
        <f t="shared" si="4"/>
        <v>0.001732237228</v>
      </c>
      <c r="G413" s="4">
        <f t="shared" si="5"/>
        <v>1.148588989</v>
      </c>
      <c r="H413" s="5">
        <f t="shared" si="6"/>
        <v>0</v>
      </c>
      <c r="I413" s="5">
        <f t="shared" si="7"/>
        <v>1.104665474</v>
      </c>
    </row>
    <row r="414">
      <c r="A414" s="12">
        <f>IFERROR(__xludf.DUMMYFUNCTION("""COMPUTED_VALUE"""),42857.66666666667)</f>
        <v>42857.66667</v>
      </c>
      <c r="B414" s="13">
        <f>IFERROR(__xludf.DUMMYFUNCTION("""COMPUTED_VALUE"""),2391.17)</f>
        <v>2391.17</v>
      </c>
      <c r="C414" s="13">
        <f t="shared" si="1"/>
        <v>2366.68</v>
      </c>
      <c r="D414" s="13">
        <f t="shared" si="2"/>
        <v>2384.71</v>
      </c>
      <c r="E414" s="13" t="str">
        <f t="shared" si="3"/>
        <v/>
      </c>
      <c r="F414" s="3">
        <f t="shared" si="4"/>
        <v>0.001189115407</v>
      </c>
      <c r="G414" s="4">
        <f t="shared" si="5"/>
        <v>1.149954794</v>
      </c>
      <c r="H414" s="5">
        <f t="shared" si="6"/>
        <v>0</v>
      </c>
      <c r="I414" s="5">
        <f t="shared" si="7"/>
        <v>1.104665474</v>
      </c>
    </row>
    <row r="415">
      <c r="A415" s="12">
        <f>IFERROR(__xludf.DUMMYFUNCTION("""COMPUTED_VALUE"""),42858.66666666667)</f>
        <v>42858.66667</v>
      </c>
      <c r="B415" s="13">
        <f>IFERROR(__xludf.DUMMYFUNCTION("""COMPUTED_VALUE"""),2388.13)</f>
        <v>2388.13</v>
      </c>
      <c r="C415" s="13">
        <f t="shared" si="1"/>
        <v>2363.15</v>
      </c>
      <c r="D415" s="13">
        <f t="shared" si="2"/>
        <v>2380.8</v>
      </c>
      <c r="E415" s="13" t="str">
        <f t="shared" si="3"/>
        <v/>
      </c>
      <c r="F415" s="3">
        <f t="shared" si="4"/>
        <v>-0.001271344154</v>
      </c>
      <c r="G415" s="4">
        <f t="shared" si="5"/>
        <v>1.148492805</v>
      </c>
      <c r="H415" s="5">
        <f t="shared" si="6"/>
        <v>0</v>
      </c>
      <c r="I415" s="5">
        <f t="shared" si="7"/>
        <v>1.104665474</v>
      </c>
    </row>
    <row r="416">
      <c r="A416" s="12">
        <f>IFERROR(__xludf.DUMMYFUNCTION("""COMPUTED_VALUE"""),42859.66666666667)</f>
        <v>42859.66667</v>
      </c>
      <c r="B416" s="13">
        <f>IFERROR(__xludf.DUMMYFUNCTION("""COMPUTED_VALUE"""),2389.52)</f>
        <v>2389.52</v>
      </c>
      <c r="C416" s="13">
        <f t="shared" si="1"/>
        <v>2372.68</v>
      </c>
      <c r="D416" s="13">
        <f t="shared" si="2"/>
        <v>2366.77</v>
      </c>
      <c r="E416" s="13" t="str">
        <f t="shared" si="3"/>
        <v>LONG</v>
      </c>
      <c r="F416" s="3">
        <f t="shared" si="4"/>
        <v>0.000582045366</v>
      </c>
      <c r="G416" s="4">
        <f t="shared" si="5"/>
        <v>1.14916128</v>
      </c>
      <c r="H416" s="3">
        <f t="shared" si="6"/>
        <v>0.000582045366</v>
      </c>
      <c r="I416" s="5">
        <f t="shared" si="7"/>
        <v>1.105308439</v>
      </c>
    </row>
    <row r="417">
      <c r="A417" s="12">
        <f>IFERROR(__xludf.DUMMYFUNCTION("""COMPUTED_VALUE"""),42860.66666666667)</f>
        <v>42860.66667</v>
      </c>
      <c r="B417" s="13">
        <f>IFERROR(__xludf.DUMMYFUNCTION("""COMPUTED_VALUE"""),2399.29)</f>
        <v>2399.29</v>
      </c>
      <c r="C417" s="13">
        <f t="shared" si="1"/>
        <v>2373.99</v>
      </c>
      <c r="D417" s="13">
        <f t="shared" si="2"/>
        <v>2373.87</v>
      </c>
      <c r="E417" s="13" t="str">
        <f t="shared" si="3"/>
        <v>LONG</v>
      </c>
      <c r="F417" s="3">
        <f t="shared" si="4"/>
        <v>0.004088687268</v>
      </c>
      <c r="G417" s="4">
        <f t="shared" si="5"/>
        <v>1.153859841</v>
      </c>
      <c r="H417" s="3">
        <f t="shared" si="6"/>
        <v>0.004088687268</v>
      </c>
      <c r="I417" s="5">
        <f t="shared" si="7"/>
        <v>1.1098277</v>
      </c>
    </row>
    <row r="418">
      <c r="A418" s="12">
        <f>IFERROR(__xludf.DUMMYFUNCTION("""COMPUTED_VALUE"""),42863.66666666667)</f>
        <v>42863.66667</v>
      </c>
      <c r="B418" s="13">
        <f>IFERROR(__xludf.DUMMYFUNCTION("""COMPUTED_VALUE"""),2399.38)</f>
        <v>2399.38</v>
      </c>
      <c r="C418" s="13">
        <f t="shared" si="1"/>
        <v>2386.765</v>
      </c>
      <c r="D418" s="13">
        <f t="shared" si="2"/>
        <v>2372.67</v>
      </c>
      <c r="E418" s="13" t="str">
        <f t="shared" si="3"/>
        <v>LONG</v>
      </c>
      <c r="F418" s="3">
        <f t="shared" si="4"/>
        <v>0.00003751109703</v>
      </c>
      <c r="G418" s="4">
        <f t="shared" si="5"/>
        <v>1.153903124</v>
      </c>
      <c r="H418" s="3">
        <f t="shared" si="6"/>
        <v>0.00003751109703</v>
      </c>
      <c r="I418" s="5">
        <f t="shared" si="7"/>
        <v>1.109869331</v>
      </c>
    </row>
    <row r="419">
      <c r="A419" s="12">
        <f>IFERROR(__xludf.DUMMYFUNCTION("""COMPUTED_VALUE"""),42864.66666666667)</f>
        <v>42864.66667</v>
      </c>
      <c r="B419" s="13">
        <f>IFERROR(__xludf.DUMMYFUNCTION("""COMPUTED_VALUE"""),2396.92)</f>
        <v>2396.92</v>
      </c>
      <c r="C419" s="13">
        <f t="shared" si="1"/>
        <v>2392.765</v>
      </c>
      <c r="D419" s="13">
        <f t="shared" si="2"/>
        <v>2370.45</v>
      </c>
      <c r="E419" s="13" t="str">
        <f t="shared" si="3"/>
        <v>LONG</v>
      </c>
      <c r="F419" s="3">
        <f t="shared" si="4"/>
        <v>-0.00102526486</v>
      </c>
      <c r="G419" s="4">
        <f t="shared" si="5"/>
        <v>1.152720068</v>
      </c>
      <c r="H419" s="3">
        <f t="shared" si="6"/>
        <v>-0.00102526486</v>
      </c>
      <c r="I419" s="5">
        <f t="shared" si="7"/>
        <v>1.108731421</v>
      </c>
    </row>
    <row r="420">
      <c r="A420" s="12">
        <f>IFERROR(__xludf.DUMMYFUNCTION("""COMPUTED_VALUE"""),42865.66666666667)</f>
        <v>42865.66667</v>
      </c>
      <c r="B420" s="13">
        <f>IFERROR(__xludf.DUMMYFUNCTION("""COMPUTED_VALUE"""),2399.63)</f>
        <v>2399.63</v>
      </c>
      <c r="C420" s="13">
        <f t="shared" si="1"/>
        <v>2393.54</v>
      </c>
      <c r="D420" s="13">
        <f t="shared" si="2"/>
        <v>2370.61</v>
      </c>
      <c r="E420" s="13" t="str">
        <f t="shared" si="3"/>
        <v>LONG</v>
      </c>
      <c r="F420" s="3">
        <f t="shared" si="4"/>
        <v>0.001130617626</v>
      </c>
      <c r="G420" s="4">
        <f t="shared" si="5"/>
        <v>1.154023353</v>
      </c>
      <c r="H420" s="3">
        <f t="shared" si="6"/>
        <v>0.001130617626</v>
      </c>
      <c r="I420" s="5">
        <f t="shared" si="7"/>
        <v>1.109984972</v>
      </c>
    </row>
    <row r="421">
      <c r="A421" s="12">
        <f>IFERROR(__xludf.DUMMYFUNCTION("""COMPUTED_VALUE"""),42866.66666666667)</f>
        <v>42866.66667</v>
      </c>
      <c r="B421" s="13">
        <f>IFERROR(__xludf.DUMMYFUNCTION("""COMPUTED_VALUE"""),2394.44)</f>
        <v>2394.44</v>
      </c>
      <c r="C421" s="13">
        <f t="shared" si="1"/>
        <v>2391.605</v>
      </c>
      <c r="D421" s="13">
        <f t="shared" si="2"/>
        <v>2376.505</v>
      </c>
      <c r="E421" s="13" t="str">
        <f t="shared" si="3"/>
        <v>LONG</v>
      </c>
      <c r="F421" s="3">
        <f t="shared" si="4"/>
        <v>-0.002162833437</v>
      </c>
      <c r="G421" s="4">
        <f t="shared" si="5"/>
        <v>1.151527393</v>
      </c>
      <c r="H421" s="3">
        <f t="shared" si="6"/>
        <v>-0.002162833437</v>
      </c>
      <c r="I421" s="5">
        <f t="shared" si="7"/>
        <v>1.107584259</v>
      </c>
    </row>
    <row r="422">
      <c r="A422" s="12">
        <f>IFERROR(__xludf.DUMMYFUNCTION("""COMPUTED_VALUE"""),42867.66666666667)</f>
        <v>42867.66667</v>
      </c>
      <c r="B422" s="13">
        <f>IFERROR(__xludf.DUMMYFUNCTION("""COMPUTED_VALUE"""),2390.9)</f>
        <v>2390.9</v>
      </c>
      <c r="C422" s="13">
        <f t="shared" si="1"/>
        <v>2387.55</v>
      </c>
      <c r="D422" s="13">
        <f t="shared" si="2"/>
        <v>2376.015</v>
      </c>
      <c r="E422" s="13" t="str">
        <f t="shared" si="3"/>
        <v>LONG</v>
      </c>
      <c r="F422" s="3">
        <f t="shared" si="4"/>
        <v>-0.001478425018</v>
      </c>
      <c r="G422" s="4">
        <f t="shared" si="5"/>
        <v>1.149824946</v>
      </c>
      <c r="H422" s="3">
        <f t="shared" si="6"/>
        <v>-0.001478425018</v>
      </c>
      <c r="I422" s="5">
        <f t="shared" si="7"/>
        <v>1.105946779</v>
      </c>
    </row>
    <row r="423">
      <c r="A423" s="12">
        <f>IFERROR(__xludf.DUMMYFUNCTION("""COMPUTED_VALUE"""),42870.66666666667)</f>
        <v>42870.66667</v>
      </c>
      <c r="B423" s="13">
        <f>IFERROR(__xludf.DUMMYFUNCTION("""COMPUTED_VALUE"""),2402.32)</f>
        <v>2402.32</v>
      </c>
      <c r="C423" s="13">
        <f t="shared" si="1"/>
        <v>2395.325</v>
      </c>
      <c r="D423" s="13">
        <f t="shared" si="2"/>
        <v>2385.19</v>
      </c>
      <c r="E423" s="13" t="str">
        <f t="shared" si="3"/>
        <v>LONG</v>
      </c>
      <c r="F423" s="3">
        <f t="shared" si="4"/>
        <v>0.004776444017</v>
      </c>
      <c r="G423" s="4">
        <f t="shared" si="5"/>
        <v>1.155317021</v>
      </c>
      <c r="H423" s="3">
        <f t="shared" si="6"/>
        <v>0.004776444017</v>
      </c>
      <c r="I423" s="5">
        <f t="shared" si="7"/>
        <v>1.111229272</v>
      </c>
    </row>
    <row r="424">
      <c r="A424" s="12">
        <f>IFERROR(__xludf.DUMMYFUNCTION("""COMPUTED_VALUE"""),42871.66666666667)</f>
        <v>42871.66667</v>
      </c>
      <c r="B424" s="13">
        <f>IFERROR(__xludf.DUMMYFUNCTION("""COMPUTED_VALUE"""),2400.67)</f>
        <v>2400.67</v>
      </c>
      <c r="C424" s="13">
        <f t="shared" si="1"/>
        <v>2395.92</v>
      </c>
      <c r="D424" s="13">
        <f t="shared" si="2"/>
        <v>2381.695</v>
      </c>
      <c r="E424" s="13" t="str">
        <f t="shared" si="3"/>
        <v>LONG</v>
      </c>
      <c r="F424" s="3">
        <f t="shared" si="4"/>
        <v>-0.0006868360585</v>
      </c>
      <c r="G424" s="4">
        <f t="shared" si="5"/>
        <v>1.154523507</v>
      </c>
      <c r="H424" s="3">
        <f t="shared" si="6"/>
        <v>-0.0006868360585</v>
      </c>
      <c r="I424" s="5">
        <f t="shared" si="7"/>
        <v>1.110466039</v>
      </c>
    </row>
    <row r="425">
      <c r="A425" s="12">
        <f>IFERROR(__xludf.DUMMYFUNCTION("""COMPUTED_VALUE"""),42872.66666666667)</f>
        <v>42872.66667</v>
      </c>
      <c r="B425" s="13">
        <f>IFERROR(__xludf.DUMMYFUNCTION("""COMPUTED_VALUE"""),2357.03)</f>
        <v>2357.03</v>
      </c>
      <c r="C425" s="13">
        <f t="shared" si="1"/>
        <v>2372.58</v>
      </c>
      <c r="D425" s="13">
        <f t="shared" si="2"/>
        <v>2357.935</v>
      </c>
      <c r="E425" s="13" t="str">
        <f t="shared" si="3"/>
        <v>LONG</v>
      </c>
      <c r="F425" s="3">
        <f t="shared" si="4"/>
        <v>-0.01817825857</v>
      </c>
      <c r="G425" s="4">
        <f t="shared" si="5"/>
        <v>1.13353628</v>
      </c>
      <c r="H425" s="3">
        <f t="shared" si="6"/>
        <v>-0.01817825857</v>
      </c>
      <c r="I425" s="5">
        <f t="shared" si="7"/>
        <v>1.090279701</v>
      </c>
    </row>
    <row r="426">
      <c r="A426" s="12">
        <f>IFERROR(__xludf.DUMMYFUNCTION("""COMPUTED_VALUE"""),42873.66666666667)</f>
        <v>42873.66667</v>
      </c>
      <c r="B426" s="13">
        <f>IFERROR(__xludf.DUMMYFUNCTION("""COMPUTED_VALUE"""),2365.72)</f>
        <v>2365.72</v>
      </c>
      <c r="C426" s="13">
        <f t="shared" si="1"/>
        <v>2377.62</v>
      </c>
      <c r="D426" s="13">
        <f t="shared" si="2"/>
        <v>2362.94</v>
      </c>
      <c r="E426" s="13" t="str">
        <f t="shared" si="3"/>
        <v>LONG</v>
      </c>
      <c r="F426" s="3">
        <f t="shared" si="4"/>
        <v>0.003686843188</v>
      </c>
      <c r="G426" s="4">
        <f t="shared" si="5"/>
        <v>1.137715451</v>
      </c>
      <c r="H426" s="3">
        <f t="shared" si="6"/>
        <v>0.003686843188</v>
      </c>
      <c r="I426" s="5">
        <f t="shared" si="7"/>
        <v>1.094299391</v>
      </c>
    </row>
    <row r="427">
      <c r="A427" s="12">
        <f>IFERROR(__xludf.DUMMYFUNCTION("""COMPUTED_VALUE"""),42874.66666666667)</f>
        <v>42874.66667</v>
      </c>
      <c r="B427" s="13">
        <f>IFERROR(__xludf.DUMMYFUNCTION("""COMPUTED_VALUE"""),2381.73)</f>
        <v>2381.73</v>
      </c>
      <c r="C427" s="13">
        <f t="shared" si="1"/>
        <v>2390.51</v>
      </c>
      <c r="D427" s="13">
        <f t="shared" si="2"/>
        <v>2367.34</v>
      </c>
      <c r="E427" s="13" t="str">
        <f t="shared" si="3"/>
        <v>LONG</v>
      </c>
      <c r="F427" s="3">
        <f t="shared" si="4"/>
        <v>0.006767495731</v>
      </c>
      <c r="G427" s="4">
        <f t="shared" si="5"/>
        <v>1.145414935</v>
      </c>
      <c r="H427" s="3">
        <f t="shared" si="6"/>
        <v>0.006767495731</v>
      </c>
      <c r="I427" s="5">
        <f t="shared" si="7"/>
        <v>1.101705057</v>
      </c>
    </row>
    <row r="428">
      <c r="A428" s="12">
        <f>IFERROR(__xludf.DUMMYFUNCTION("""COMPUTED_VALUE"""),42877.66666666667)</f>
        <v>42877.66667</v>
      </c>
      <c r="B428" s="13">
        <f>IFERROR(__xludf.DUMMYFUNCTION("""COMPUTED_VALUE"""),2394.02)</f>
        <v>2394.02</v>
      </c>
      <c r="C428" s="13">
        <f t="shared" si="1"/>
        <v>2396.7</v>
      </c>
      <c r="D428" s="13">
        <f t="shared" si="2"/>
        <v>2375.755</v>
      </c>
      <c r="E428" s="13" t="str">
        <f t="shared" si="3"/>
        <v>LONG</v>
      </c>
      <c r="F428" s="3">
        <f t="shared" si="4"/>
        <v>0.005160114707</v>
      </c>
      <c r="G428" s="4">
        <f t="shared" si="5"/>
        <v>1.151325408</v>
      </c>
      <c r="H428" s="3">
        <f t="shared" si="6"/>
        <v>0.005160114707</v>
      </c>
      <c r="I428" s="5">
        <f t="shared" si="7"/>
        <v>1.107389982</v>
      </c>
    </row>
    <row r="429">
      <c r="A429" s="12">
        <f>IFERROR(__xludf.DUMMYFUNCTION("""COMPUTED_VALUE"""),42878.66666666667)</f>
        <v>42878.66667</v>
      </c>
      <c r="B429" s="13">
        <f>IFERROR(__xludf.DUMMYFUNCTION("""COMPUTED_VALUE"""),2398.42)</f>
        <v>2398.42</v>
      </c>
      <c r="C429" s="13">
        <f t="shared" si="1"/>
        <v>2397.67</v>
      </c>
      <c r="D429" s="13">
        <f t="shared" si="2"/>
        <v>2376.98</v>
      </c>
      <c r="E429" s="13" t="str">
        <f t="shared" si="3"/>
        <v>LONG</v>
      </c>
      <c r="F429" s="3">
        <f t="shared" si="4"/>
        <v>0.001837912799</v>
      </c>
      <c r="G429" s="4">
        <f t="shared" si="5"/>
        <v>1.153441444</v>
      </c>
      <c r="H429" s="3">
        <f t="shared" si="6"/>
        <v>0.001837912799</v>
      </c>
      <c r="I429" s="5">
        <f t="shared" si="7"/>
        <v>1.109425268</v>
      </c>
    </row>
    <row r="430">
      <c r="A430" s="12">
        <f>IFERROR(__xludf.DUMMYFUNCTION("""COMPUTED_VALUE"""),42879.66666666667)</f>
        <v>42879.66667</v>
      </c>
      <c r="B430" s="13">
        <f>IFERROR(__xludf.DUMMYFUNCTION("""COMPUTED_VALUE"""),2404.39)</f>
        <v>2404.39</v>
      </c>
      <c r="C430" s="13">
        <f t="shared" si="1"/>
        <v>2402.01</v>
      </c>
      <c r="D430" s="13">
        <f t="shared" si="2"/>
        <v>2380.775</v>
      </c>
      <c r="E430" s="13" t="str">
        <f t="shared" si="3"/>
        <v>LONG</v>
      </c>
      <c r="F430" s="3">
        <f t="shared" si="4"/>
        <v>0.002489138683</v>
      </c>
      <c r="G430" s="4">
        <f t="shared" si="5"/>
        <v>1.156312519</v>
      </c>
      <c r="H430" s="3">
        <f t="shared" si="6"/>
        <v>0.002489138683</v>
      </c>
      <c r="I430" s="5">
        <f t="shared" si="7"/>
        <v>1.112186781</v>
      </c>
    </row>
    <row r="431">
      <c r="A431" s="12">
        <f>IFERROR(__xludf.DUMMYFUNCTION("""COMPUTED_VALUE"""),42880.66666666667)</f>
        <v>42880.66667</v>
      </c>
      <c r="B431" s="13">
        <f>IFERROR(__xludf.DUMMYFUNCTION("""COMPUTED_VALUE"""),2415.07)</f>
        <v>2415.07</v>
      </c>
      <c r="C431" s="13">
        <f t="shared" si="1"/>
        <v>2404.755</v>
      </c>
      <c r="D431" s="13">
        <f t="shared" si="2"/>
        <v>2384.425</v>
      </c>
      <c r="E431" s="13" t="str">
        <f t="shared" si="3"/>
        <v>LONG</v>
      </c>
      <c r="F431" s="3">
        <f t="shared" si="4"/>
        <v>0.00444187507</v>
      </c>
      <c r="G431" s="4">
        <f t="shared" si="5"/>
        <v>1.161448715</v>
      </c>
      <c r="H431" s="3">
        <f t="shared" si="6"/>
        <v>0.00444187507</v>
      </c>
      <c r="I431" s="5">
        <f t="shared" si="7"/>
        <v>1.117126976</v>
      </c>
    </row>
    <row r="432">
      <c r="A432" s="12">
        <f>IFERROR(__xludf.DUMMYFUNCTION("""COMPUTED_VALUE"""),42881.66666666667)</f>
        <v>42881.66667</v>
      </c>
      <c r="B432" s="13">
        <f>IFERROR(__xludf.DUMMYFUNCTION("""COMPUTED_VALUE"""),2415.82)</f>
        <v>2415.82</v>
      </c>
      <c r="C432" s="13">
        <f t="shared" si="1"/>
        <v>2403.36</v>
      </c>
      <c r="D432" s="13">
        <f t="shared" si="2"/>
        <v>2380.375</v>
      </c>
      <c r="E432" s="13" t="str">
        <f t="shared" si="3"/>
        <v>LONG</v>
      </c>
      <c r="F432" s="3">
        <f t="shared" si="4"/>
        <v>0.0003105500048</v>
      </c>
      <c r="G432" s="4">
        <f t="shared" si="5"/>
        <v>1.161809403</v>
      </c>
      <c r="H432" s="3">
        <f t="shared" si="6"/>
        <v>0.0003105500048</v>
      </c>
      <c r="I432" s="5">
        <f t="shared" si="7"/>
        <v>1.1174739</v>
      </c>
    </row>
    <row r="433">
      <c r="A433" s="12">
        <f>IFERROR(__xludf.DUMMYFUNCTION("""COMPUTED_VALUE"""),42885.66666666667)</f>
        <v>42885.66667</v>
      </c>
      <c r="B433" s="13">
        <f>IFERROR(__xludf.DUMMYFUNCTION("""COMPUTED_VALUE"""),2412.91)</f>
        <v>2412.91</v>
      </c>
      <c r="C433" s="13">
        <f t="shared" si="1"/>
        <v>2407.615</v>
      </c>
      <c r="D433" s="13">
        <f t="shared" si="2"/>
        <v>2370.93</v>
      </c>
      <c r="E433" s="13" t="str">
        <f t="shared" si="3"/>
        <v>LONG</v>
      </c>
      <c r="F433" s="3">
        <f t="shared" si="4"/>
        <v>-0.001204559942</v>
      </c>
      <c r="G433" s="4">
        <f t="shared" si="5"/>
        <v>1.160409934</v>
      </c>
      <c r="H433" s="3">
        <f t="shared" si="6"/>
        <v>-0.001204559942</v>
      </c>
      <c r="I433" s="5">
        <f t="shared" si="7"/>
        <v>1.116127836</v>
      </c>
    </row>
    <row r="434">
      <c r="A434" s="12">
        <f>IFERROR(__xludf.DUMMYFUNCTION("""COMPUTED_VALUE"""),42886.66666666667)</f>
        <v>42886.66667</v>
      </c>
      <c r="B434" s="13">
        <f>IFERROR(__xludf.DUMMYFUNCTION("""COMPUTED_VALUE"""),2411.8)</f>
        <v>2411.8</v>
      </c>
      <c r="C434" s="13">
        <f t="shared" si="1"/>
        <v>2406.235</v>
      </c>
      <c r="D434" s="13">
        <f t="shared" si="2"/>
        <v>2380.405</v>
      </c>
      <c r="E434" s="13" t="str">
        <f t="shared" si="3"/>
        <v>LONG</v>
      </c>
      <c r="F434" s="3">
        <f t="shared" si="4"/>
        <v>-0.0004600254465</v>
      </c>
      <c r="G434" s="4">
        <f t="shared" si="5"/>
        <v>1.159876116</v>
      </c>
      <c r="H434" s="3">
        <f t="shared" si="6"/>
        <v>-0.0004600254465</v>
      </c>
      <c r="I434" s="5">
        <f t="shared" si="7"/>
        <v>1.115614388</v>
      </c>
    </row>
    <row r="435">
      <c r="A435" s="12">
        <f>IFERROR(__xludf.DUMMYFUNCTION("""COMPUTED_VALUE"""),42887.66666666667)</f>
        <v>42887.66667</v>
      </c>
      <c r="B435" s="13">
        <f>IFERROR(__xludf.DUMMYFUNCTION("""COMPUTED_VALUE"""),2430.06)</f>
        <v>2430.06</v>
      </c>
      <c r="C435" s="13">
        <f t="shared" si="1"/>
        <v>2393.545</v>
      </c>
      <c r="D435" s="13">
        <f t="shared" si="2"/>
        <v>2386.125</v>
      </c>
      <c r="E435" s="13" t="str">
        <f t="shared" si="3"/>
        <v>LONG</v>
      </c>
      <c r="F435" s="3">
        <f t="shared" si="4"/>
        <v>0.007571108715</v>
      </c>
      <c r="G435" s="4">
        <f t="shared" si="5"/>
        <v>1.168657664</v>
      </c>
      <c r="H435" s="3">
        <f t="shared" si="6"/>
        <v>0.007571108715</v>
      </c>
      <c r="I435" s="5">
        <f t="shared" si="7"/>
        <v>1.124060826</v>
      </c>
    </row>
    <row r="436">
      <c r="A436" s="12">
        <f>IFERROR(__xludf.DUMMYFUNCTION("""COMPUTED_VALUE"""),42888.66666666667)</f>
        <v>42888.66667</v>
      </c>
      <c r="B436" s="13">
        <f>IFERROR(__xludf.DUMMYFUNCTION("""COMPUTED_VALUE"""),2439.07)</f>
        <v>2439.07</v>
      </c>
      <c r="C436" s="13">
        <f t="shared" si="1"/>
        <v>2402.395</v>
      </c>
      <c r="D436" s="13">
        <f t="shared" si="2"/>
        <v>2388.62</v>
      </c>
      <c r="E436" s="13" t="str">
        <f t="shared" si="3"/>
        <v>LONG</v>
      </c>
      <c r="F436" s="3">
        <f t="shared" si="4"/>
        <v>0.003707727381</v>
      </c>
      <c r="G436" s="4">
        <f t="shared" si="5"/>
        <v>1.172990728</v>
      </c>
      <c r="H436" s="3">
        <f t="shared" si="6"/>
        <v>0.003707727381</v>
      </c>
      <c r="I436" s="5">
        <f t="shared" si="7"/>
        <v>1.128228537</v>
      </c>
    </row>
    <row r="437">
      <c r="A437" s="12">
        <f>IFERROR(__xludf.DUMMYFUNCTION("""COMPUTED_VALUE"""),42891.66666666667)</f>
        <v>42891.66667</v>
      </c>
      <c r="B437" s="13">
        <f>IFERROR(__xludf.DUMMYFUNCTION("""COMPUTED_VALUE"""),2436.1)</f>
        <v>2436.1</v>
      </c>
      <c r="C437" s="13">
        <f t="shared" si="1"/>
        <v>2408.915</v>
      </c>
      <c r="D437" s="13">
        <f t="shared" si="2"/>
        <v>2395.97</v>
      </c>
      <c r="E437" s="13" t="str">
        <f t="shared" si="3"/>
        <v>LONG</v>
      </c>
      <c r="F437" s="3">
        <f t="shared" si="4"/>
        <v>-0.001217677229</v>
      </c>
      <c r="G437" s="4">
        <f t="shared" si="5"/>
        <v>1.171562404</v>
      </c>
      <c r="H437" s="3">
        <f t="shared" si="6"/>
        <v>-0.001217677229</v>
      </c>
      <c r="I437" s="5">
        <f t="shared" si="7"/>
        <v>1.126854719</v>
      </c>
    </row>
    <row r="438">
      <c r="A438" s="12">
        <f>IFERROR(__xludf.DUMMYFUNCTION("""COMPUTED_VALUE"""),42892.66666666667)</f>
        <v>42892.66667</v>
      </c>
      <c r="B438" s="13">
        <f>IFERROR(__xludf.DUMMYFUNCTION("""COMPUTED_VALUE"""),2429.33)</f>
        <v>2429.33</v>
      </c>
      <c r="C438" s="13">
        <f t="shared" si="1"/>
        <v>2411.675</v>
      </c>
      <c r="D438" s="13">
        <f t="shared" si="2"/>
        <v>2389.01</v>
      </c>
      <c r="E438" s="13" t="str">
        <f t="shared" si="3"/>
        <v>LONG</v>
      </c>
      <c r="F438" s="3">
        <f t="shared" si="4"/>
        <v>-0.002779032059</v>
      </c>
      <c r="G438" s="4">
        <f t="shared" si="5"/>
        <v>1.168306594</v>
      </c>
      <c r="H438" s="3">
        <f t="shared" si="6"/>
        <v>-0.002779032059</v>
      </c>
      <c r="I438" s="5">
        <f t="shared" si="7"/>
        <v>1.123723154</v>
      </c>
    </row>
    <row r="439">
      <c r="A439" s="12">
        <f>IFERROR(__xludf.DUMMYFUNCTION("""COMPUTED_VALUE"""),42893.66666666667)</f>
        <v>42893.66667</v>
      </c>
      <c r="B439" s="13">
        <f>IFERROR(__xludf.DUMMYFUNCTION("""COMPUTED_VALUE"""),2433.14)</f>
        <v>2433.14</v>
      </c>
      <c r="C439" s="13">
        <f t="shared" si="1"/>
        <v>2415.78</v>
      </c>
      <c r="D439" s="13">
        <f t="shared" si="2"/>
        <v>2403.645</v>
      </c>
      <c r="E439" s="13" t="str">
        <f t="shared" si="3"/>
        <v>LONG</v>
      </c>
      <c r="F439" s="3">
        <f t="shared" si="4"/>
        <v>0.001568333656</v>
      </c>
      <c r="G439" s="4">
        <f t="shared" si="5"/>
        <v>1.170138889</v>
      </c>
      <c r="H439" s="3">
        <f t="shared" si="6"/>
        <v>0.001568333656</v>
      </c>
      <c r="I439" s="5">
        <f t="shared" si="7"/>
        <v>1.125485527</v>
      </c>
    </row>
    <row r="440">
      <c r="A440" s="12">
        <f>IFERROR(__xludf.DUMMYFUNCTION("""COMPUTED_VALUE"""),42894.66666666667)</f>
        <v>42894.66667</v>
      </c>
      <c r="B440" s="13">
        <f>IFERROR(__xludf.DUMMYFUNCTION("""COMPUTED_VALUE"""),2433.79)</f>
        <v>2433.79</v>
      </c>
      <c r="C440" s="13">
        <f t="shared" si="1"/>
        <v>2419.09</v>
      </c>
      <c r="D440" s="13">
        <f t="shared" si="2"/>
        <v>2411.2</v>
      </c>
      <c r="E440" s="13" t="str">
        <f t="shared" si="3"/>
        <v>LONG</v>
      </c>
      <c r="F440" s="3">
        <f t="shared" si="4"/>
        <v>0.0002671445129</v>
      </c>
      <c r="G440" s="4">
        <f t="shared" si="5"/>
        <v>1.170451485</v>
      </c>
      <c r="H440" s="3">
        <f t="shared" si="6"/>
        <v>0.0002671445129</v>
      </c>
      <c r="I440" s="5">
        <f t="shared" si="7"/>
        <v>1.125786194</v>
      </c>
    </row>
    <row r="441">
      <c r="A441" s="12">
        <f>IFERROR(__xludf.DUMMYFUNCTION("""COMPUTED_VALUE"""),42895.66666666667)</f>
        <v>42895.66667</v>
      </c>
      <c r="B441" s="13">
        <f>IFERROR(__xludf.DUMMYFUNCTION("""COMPUTED_VALUE"""),2431.77)</f>
        <v>2431.77</v>
      </c>
      <c r="C441" s="13">
        <f t="shared" si="1"/>
        <v>2423.42</v>
      </c>
      <c r="D441" s="13">
        <f t="shared" si="2"/>
        <v>2409.61</v>
      </c>
      <c r="E441" s="13" t="str">
        <f t="shared" si="3"/>
        <v>LONG</v>
      </c>
      <c r="F441" s="3">
        <f t="shared" si="4"/>
        <v>-0.0008299812227</v>
      </c>
      <c r="G441" s="4">
        <f t="shared" si="5"/>
        <v>1.169480032</v>
      </c>
      <c r="H441" s="3">
        <f t="shared" si="6"/>
        <v>-0.0008299812227</v>
      </c>
      <c r="I441" s="5">
        <f t="shared" si="7"/>
        <v>1.124851813</v>
      </c>
    </row>
    <row r="442">
      <c r="A442" s="12">
        <f>IFERROR(__xludf.DUMMYFUNCTION("""COMPUTED_VALUE"""),42898.66666666667)</f>
        <v>42898.66667</v>
      </c>
      <c r="B442" s="13">
        <f>IFERROR(__xludf.DUMMYFUNCTION("""COMPUTED_VALUE"""),2429.39)</f>
        <v>2429.39</v>
      </c>
      <c r="C442" s="13">
        <f t="shared" si="1"/>
        <v>2422.605</v>
      </c>
      <c r="D442" s="13">
        <f t="shared" si="2"/>
        <v>2409.08</v>
      </c>
      <c r="E442" s="13" t="str">
        <f t="shared" si="3"/>
        <v>LONG</v>
      </c>
      <c r="F442" s="3">
        <f t="shared" si="4"/>
        <v>-0.0009787109801</v>
      </c>
      <c r="G442" s="4">
        <f t="shared" si="5"/>
        <v>1.168335449</v>
      </c>
      <c r="H442" s="3">
        <f t="shared" si="6"/>
        <v>-0.0009787109801</v>
      </c>
      <c r="I442" s="5">
        <f t="shared" si="7"/>
        <v>1.123750908</v>
      </c>
    </row>
    <row r="443">
      <c r="A443" s="12">
        <f>IFERROR(__xludf.DUMMYFUNCTION("""COMPUTED_VALUE"""),42899.66666666667)</f>
        <v>42899.66667</v>
      </c>
      <c r="B443" s="13">
        <f>IFERROR(__xludf.DUMMYFUNCTION("""COMPUTED_VALUE"""),2440.35)</f>
        <v>2440.35</v>
      </c>
      <c r="C443" s="13">
        <f t="shared" si="1"/>
        <v>2426.63</v>
      </c>
      <c r="D443" s="13">
        <f t="shared" si="2"/>
        <v>2412.275</v>
      </c>
      <c r="E443" s="13" t="str">
        <f t="shared" si="3"/>
        <v>LONG</v>
      </c>
      <c r="F443" s="3">
        <f t="shared" si="4"/>
        <v>0.004511420562</v>
      </c>
      <c r="G443" s="4">
        <f t="shared" si="5"/>
        <v>1.173606302</v>
      </c>
      <c r="H443" s="3">
        <f t="shared" si="6"/>
        <v>0.004511420562</v>
      </c>
      <c r="I443" s="5">
        <f t="shared" si="7"/>
        <v>1.128820621</v>
      </c>
    </row>
    <row r="444">
      <c r="A444" s="12">
        <f>IFERROR(__xludf.DUMMYFUNCTION("""COMPUTED_VALUE"""),42900.66666666667)</f>
        <v>42900.66667</v>
      </c>
      <c r="B444" s="13">
        <f>IFERROR(__xludf.DUMMYFUNCTION("""COMPUTED_VALUE"""),2437.92)</f>
        <v>2437.92</v>
      </c>
      <c r="C444" s="13">
        <f t="shared" si="1"/>
        <v>2424.86</v>
      </c>
      <c r="D444" s="13">
        <f t="shared" si="2"/>
        <v>2413.125</v>
      </c>
      <c r="E444" s="13" t="str">
        <f t="shared" si="3"/>
        <v>LONG</v>
      </c>
      <c r="F444" s="3">
        <f t="shared" si="4"/>
        <v>-0.0009957588051</v>
      </c>
      <c r="G444" s="4">
        <f t="shared" si="5"/>
        <v>1.172437673</v>
      </c>
      <c r="H444" s="3">
        <f t="shared" si="6"/>
        <v>-0.0009957588051</v>
      </c>
      <c r="I444" s="5">
        <f t="shared" si="7"/>
        <v>1.127696588</v>
      </c>
    </row>
    <row r="445">
      <c r="A445" s="12">
        <f>IFERROR(__xludf.DUMMYFUNCTION("""COMPUTED_VALUE"""),42901.66666666667)</f>
        <v>42901.66667</v>
      </c>
      <c r="B445" s="13">
        <f>IFERROR(__xludf.DUMMYFUNCTION("""COMPUTED_VALUE"""),2432.46)</f>
        <v>2432.46</v>
      </c>
      <c r="C445" s="13">
        <f t="shared" si="1"/>
        <v>2431.26</v>
      </c>
      <c r="D445" s="13">
        <f t="shared" si="2"/>
        <v>2411.815</v>
      </c>
      <c r="E445" s="13" t="str">
        <f t="shared" si="3"/>
        <v>LONG</v>
      </c>
      <c r="F445" s="3">
        <f t="shared" si="4"/>
        <v>-0.002239614097</v>
      </c>
      <c r="G445" s="4">
        <f t="shared" si="5"/>
        <v>1.169811865</v>
      </c>
      <c r="H445" s="3">
        <f t="shared" si="6"/>
        <v>-0.002239614097</v>
      </c>
      <c r="I445" s="5">
        <f t="shared" si="7"/>
        <v>1.125170982</v>
      </c>
    </row>
    <row r="446">
      <c r="A446" s="12">
        <f>IFERROR(__xludf.DUMMYFUNCTION("""COMPUTED_VALUE"""),42902.66666666667)</f>
        <v>42902.66667</v>
      </c>
      <c r="B446" s="13">
        <f>IFERROR(__xludf.DUMMYFUNCTION("""COMPUTED_VALUE"""),2433.15)</f>
        <v>2433.15</v>
      </c>
      <c r="C446" s="13">
        <f t="shared" si="1"/>
        <v>2436.11</v>
      </c>
      <c r="D446" s="13">
        <f t="shared" si="2"/>
        <v>2410.64</v>
      </c>
      <c r="E446" s="13" t="str">
        <f t="shared" si="3"/>
        <v>LONG</v>
      </c>
      <c r="F446" s="3">
        <f t="shared" si="4"/>
        <v>0.0002836634518</v>
      </c>
      <c r="G446" s="4">
        <f t="shared" si="5"/>
        <v>1.170143698</v>
      </c>
      <c r="H446" s="3">
        <f t="shared" si="6"/>
        <v>0.0002836634518</v>
      </c>
      <c r="I446" s="5">
        <f t="shared" si="7"/>
        <v>1.125490152</v>
      </c>
    </row>
    <row r="447">
      <c r="A447" s="12">
        <f>IFERROR(__xludf.DUMMYFUNCTION("""COMPUTED_VALUE"""),42905.66666666667)</f>
        <v>42905.66667</v>
      </c>
      <c r="B447" s="13">
        <f>IFERROR(__xludf.DUMMYFUNCTION("""COMPUTED_VALUE"""),2453.46)</f>
        <v>2453.46</v>
      </c>
      <c r="C447" s="13">
        <f t="shared" si="1"/>
        <v>2444.78</v>
      </c>
      <c r="D447" s="13">
        <f t="shared" si="2"/>
        <v>2421.49</v>
      </c>
      <c r="E447" s="13" t="str">
        <f t="shared" si="3"/>
        <v>LONG</v>
      </c>
      <c r="F447" s="3">
        <f t="shared" si="4"/>
        <v>0.008347204241</v>
      </c>
      <c r="G447" s="4">
        <f t="shared" si="5"/>
        <v>1.179911127</v>
      </c>
      <c r="H447" s="3">
        <f t="shared" si="6"/>
        <v>0.008347204241</v>
      </c>
      <c r="I447" s="5">
        <f t="shared" si="7"/>
        <v>1.134884848</v>
      </c>
    </row>
    <row r="448">
      <c r="A448" s="12">
        <f>IFERROR(__xludf.DUMMYFUNCTION("""COMPUTED_VALUE"""),42906.66666666667)</f>
        <v>42906.66667</v>
      </c>
      <c r="B448" s="13">
        <f>IFERROR(__xludf.DUMMYFUNCTION("""COMPUTED_VALUE"""),2437.03)</f>
        <v>2437.03</v>
      </c>
      <c r="C448" s="13">
        <f t="shared" si="1"/>
        <v>2433.18</v>
      </c>
      <c r="D448" s="13">
        <f t="shared" si="2"/>
        <v>2418.16</v>
      </c>
      <c r="E448" s="13" t="str">
        <f t="shared" si="3"/>
        <v>LONG</v>
      </c>
      <c r="F448" s="3">
        <f t="shared" si="4"/>
        <v>-0.006696665118</v>
      </c>
      <c r="G448" s="4">
        <f t="shared" si="5"/>
        <v>1.172009657</v>
      </c>
      <c r="H448" s="3">
        <f t="shared" si="6"/>
        <v>-0.006696665118</v>
      </c>
      <c r="I448" s="5">
        <f t="shared" si="7"/>
        <v>1.127284905</v>
      </c>
    </row>
    <row r="449">
      <c r="A449" s="12">
        <f>IFERROR(__xludf.DUMMYFUNCTION("""COMPUTED_VALUE"""),42907.66666666667)</f>
        <v>42907.66667</v>
      </c>
      <c r="B449" s="13">
        <f>IFERROR(__xludf.DUMMYFUNCTION("""COMPUTED_VALUE"""),2435.61)</f>
        <v>2435.61</v>
      </c>
      <c r="C449" s="13">
        <f t="shared" si="1"/>
        <v>2434.375</v>
      </c>
      <c r="D449" s="13">
        <f t="shared" si="2"/>
        <v>2417.495</v>
      </c>
      <c r="E449" s="13" t="str">
        <f t="shared" si="3"/>
        <v>LONG</v>
      </c>
      <c r="F449" s="3">
        <f t="shared" si="4"/>
        <v>-0.0005826764545</v>
      </c>
      <c r="G449" s="4">
        <f t="shared" si="5"/>
        <v>1.171326754</v>
      </c>
      <c r="H449" s="3">
        <f t="shared" si="6"/>
        <v>-0.0005826764545</v>
      </c>
      <c r="I449" s="5">
        <f t="shared" si="7"/>
        <v>1.126628062</v>
      </c>
    </row>
    <row r="450">
      <c r="A450" s="12">
        <f>IFERROR(__xludf.DUMMYFUNCTION("""COMPUTED_VALUE"""),42908.66666666667)</f>
        <v>42908.66667</v>
      </c>
      <c r="B450" s="13">
        <f>IFERROR(__xludf.DUMMYFUNCTION("""COMPUTED_VALUE"""),2434.5)</f>
        <v>2434.5</v>
      </c>
      <c r="C450" s="13">
        <f t="shared" si="1"/>
        <v>2434.145</v>
      </c>
      <c r="D450" s="13">
        <f t="shared" si="2"/>
        <v>2415.71</v>
      </c>
      <c r="E450" s="13" t="str">
        <f t="shared" si="3"/>
        <v>LONG</v>
      </c>
      <c r="F450" s="3">
        <f t="shared" si="4"/>
        <v>-0.0004557379876</v>
      </c>
      <c r="G450" s="4">
        <f t="shared" si="5"/>
        <v>1.170792936</v>
      </c>
      <c r="H450" s="3">
        <f t="shared" si="6"/>
        <v>-0.0004557379876</v>
      </c>
      <c r="I450" s="5">
        <f t="shared" si="7"/>
        <v>1.126114615</v>
      </c>
    </row>
    <row r="451">
      <c r="A451" s="12">
        <f>IFERROR(__xludf.DUMMYFUNCTION("""COMPUTED_VALUE"""),42909.66666666667)</f>
        <v>42909.66667</v>
      </c>
      <c r="B451" s="13">
        <f>IFERROR(__xludf.DUMMYFUNCTION("""COMPUTED_VALUE"""),2438.3)</f>
        <v>2438.3</v>
      </c>
      <c r="C451" s="13">
        <f t="shared" si="1"/>
        <v>2435.035</v>
      </c>
      <c r="D451" s="13">
        <f t="shared" si="2"/>
        <v>2418.965</v>
      </c>
      <c r="E451" s="13" t="str">
        <f t="shared" si="3"/>
        <v>LONG</v>
      </c>
      <c r="F451" s="3">
        <f t="shared" si="4"/>
        <v>0.001560895461</v>
      </c>
      <c r="G451" s="4">
        <f t="shared" si="5"/>
        <v>1.172620422</v>
      </c>
      <c r="H451" s="3">
        <f t="shared" si="6"/>
        <v>0.001560895461</v>
      </c>
      <c r="I451" s="5">
        <f t="shared" si="7"/>
        <v>1.127872362</v>
      </c>
    </row>
    <row r="452">
      <c r="A452" s="12">
        <f>IFERROR(__xludf.DUMMYFUNCTION("""COMPUTED_VALUE"""),42912.66666666667)</f>
        <v>42912.66667</v>
      </c>
      <c r="B452" s="13">
        <f>IFERROR(__xludf.DUMMYFUNCTION("""COMPUTED_VALUE"""),2439.07)</f>
        <v>2439.07</v>
      </c>
      <c r="C452" s="13">
        <f t="shared" si="1"/>
        <v>2434.23</v>
      </c>
      <c r="D452" s="13">
        <f t="shared" si="2"/>
        <v>2416.755</v>
      </c>
      <c r="E452" s="13" t="str">
        <f t="shared" si="3"/>
        <v>LONG</v>
      </c>
      <c r="F452" s="3">
        <f t="shared" si="4"/>
        <v>0.0003157937908</v>
      </c>
      <c r="G452" s="4">
        <f t="shared" si="5"/>
        <v>1.172990728</v>
      </c>
      <c r="H452" s="3">
        <f t="shared" si="6"/>
        <v>0.0003157937908</v>
      </c>
      <c r="I452" s="5">
        <f t="shared" si="7"/>
        <v>1.128228537</v>
      </c>
    </row>
    <row r="453">
      <c r="A453" s="12">
        <f>IFERROR(__xludf.DUMMYFUNCTION("""COMPUTED_VALUE"""),42913.66666666667)</f>
        <v>42913.66667</v>
      </c>
      <c r="B453" s="13">
        <f>IFERROR(__xludf.DUMMYFUNCTION("""COMPUTED_VALUE"""),2419.38)</f>
        <v>2419.38</v>
      </c>
      <c r="C453" s="13">
        <f t="shared" si="1"/>
        <v>2429.865</v>
      </c>
      <c r="D453" s="13">
        <f t="shared" si="2"/>
        <v>2405.14</v>
      </c>
      <c r="E453" s="13" t="str">
        <f t="shared" si="3"/>
        <v>LONG</v>
      </c>
      <c r="F453" s="3">
        <f t="shared" si="4"/>
        <v>-0.00807274904</v>
      </c>
      <c r="G453" s="4">
        <f t="shared" si="5"/>
        <v>1.163521468</v>
      </c>
      <c r="H453" s="3">
        <f t="shared" si="6"/>
        <v>-0.00807274904</v>
      </c>
      <c r="I453" s="5">
        <f t="shared" si="7"/>
        <v>1.119120632</v>
      </c>
    </row>
    <row r="454">
      <c r="A454" s="12">
        <f>IFERROR(__xludf.DUMMYFUNCTION("""COMPUTED_VALUE"""),42914.66666666667)</f>
        <v>42914.66667</v>
      </c>
      <c r="B454" s="13">
        <f>IFERROR(__xludf.DUMMYFUNCTION("""COMPUTED_VALUE"""),2440.69)</f>
        <v>2440.69</v>
      </c>
      <c r="C454" s="13">
        <f t="shared" si="1"/>
        <v>2439.305</v>
      </c>
      <c r="D454" s="13">
        <f t="shared" si="2"/>
        <v>2421.505</v>
      </c>
      <c r="E454" s="13" t="str">
        <f t="shared" si="3"/>
        <v>LONG</v>
      </c>
      <c r="F454" s="3">
        <f t="shared" si="4"/>
        <v>0.00880804173</v>
      </c>
      <c r="G454" s="4">
        <f t="shared" si="5"/>
        <v>1.173769814</v>
      </c>
      <c r="H454" s="3">
        <f t="shared" si="6"/>
        <v>0.00880804173</v>
      </c>
      <c r="I454" s="5">
        <f t="shared" si="7"/>
        <v>1.128977893</v>
      </c>
    </row>
    <row r="455">
      <c r="A455" s="12">
        <f>IFERROR(__xludf.DUMMYFUNCTION("""COMPUTED_VALUE"""),42915.66666666667)</f>
        <v>42915.66667</v>
      </c>
      <c r="B455" s="13">
        <f>IFERROR(__xludf.DUMMYFUNCTION("""COMPUTED_VALUE"""),2419.7)</f>
        <v>2419.7</v>
      </c>
      <c r="C455" s="13">
        <f t="shared" si="1"/>
        <v>2426.08</v>
      </c>
      <c r="D455" s="13">
        <f t="shared" si="2"/>
        <v>2410.185</v>
      </c>
      <c r="E455" s="13" t="str">
        <f t="shared" si="3"/>
        <v>LONG</v>
      </c>
      <c r="F455" s="3">
        <f t="shared" si="4"/>
        <v>-0.008600027042</v>
      </c>
      <c r="G455" s="4">
        <f t="shared" si="5"/>
        <v>1.163675362</v>
      </c>
      <c r="H455" s="3">
        <f t="shared" si="6"/>
        <v>-0.008600027042</v>
      </c>
      <c r="I455" s="5">
        <f t="shared" si="7"/>
        <v>1.119268652</v>
      </c>
    </row>
    <row r="456">
      <c r="A456" s="12">
        <f>IFERROR(__xludf.DUMMYFUNCTION("""COMPUTED_VALUE"""),42916.66666666667)</f>
        <v>42916.66667</v>
      </c>
      <c r="B456" s="13">
        <f>IFERROR(__xludf.DUMMYFUNCTION("""COMPUTED_VALUE"""),2423.41)</f>
        <v>2423.41</v>
      </c>
      <c r="C456" s="13">
        <f t="shared" si="1"/>
        <v>2428.28</v>
      </c>
      <c r="D456" s="13">
        <f t="shared" si="2"/>
        <v>2390.22</v>
      </c>
      <c r="E456" s="13" t="str">
        <f t="shared" si="3"/>
        <v>LONG</v>
      </c>
      <c r="F456" s="3">
        <f t="shared" si="4"/>
        <v>0.001533247923</v>
      </c>
      <c r="G456" s="4">
        <f t="shared" si="5"/>
        <v>1.165459564</v>
      </c>
      <c r="H456" s="3">
        <f t="shared" si="6"/>
        <v>0.001533247923</v>
      </c>
      <c r="I456" s="5">
        <f t="shared" si="7"/>
        <v>1.120984769</v>
      </c>
    </row>
    <row r="457">
      <c r="A457" s="12">
        <f>IFERROR(__xludf.DUMMYFUNCTION("""COMPUTED_VALUE"""),42919.66666666667)</f>
        <v>42919.66667</v>
      </c>
      <c r="B457" s="13">
        <f>IFERROR(__xludf.DUMMYFUNCTION("""COMPUTED_VALUE"""),2429.01)</f>
        <v>2429.01</v>
      </c>
      <c r="C457" s="13">
        <f t="shared" si="1"/>
        <v>2441.235</v>
      </c>
      <c r="D457" s="13">
        <f t="shared" si="2"/>
        <v>2397.365</v>
      </c>
      <c r="E457" s="13" t="str">
        <f t="shared" si="3"/>
        <v>LONG</v>
      </c>
      <c r="F457" s="3">
        <f t="shared" si="4"/>
        <v>0.002310793469</v>
      </c>
      <c r="G457" s="4">
        <f t="shared" si="5"/>
        <v>1.168152701</v>
      </c>
      <c r="H457" s="3">
        <f t="shared" si="6"/>
        <v>0.002310793469</v>
      </c>
      <c r="I457" s="5">
        <f t="shared" si="7"/>
        <v>1.123575133</v>
      </c>
    </row>
    <row r="458">
      <c r="A458" s="12">
        <f>IFERROR(__xludf.DUMMYFUNCTION("""COMPUTED_VALUE"""),42921.66666666667)</f>
        <v>42921.66667</v>
      </c>
      <c r="B458" s="13">
        <f>IFERROR(__xludf.DUMMYFUNCTION("""COMPUTED_VALUE"""),2432.54)</f>
        <v>2432.54</v>
      </c>
      <c r="C458" s="13">
        <f t="shared" si="1"/>
        <v>2434.785</v>
      </c>
      <c r="D458" s="13">
        <f t="shared" si="2"/>
        <v>2407.135</v>
      </c>
      <c r="E458" s="13" t="str">
        <f t="shared" si="3"/>
        <v>LONG</v>
      </c>
      <c r="F458" s="3">
        <f t="shared" si="4"/>
        <v>0.001453266969</v>
      </c>
      <c r="G458" s="4">
        <f t="shared" si="5"/>
        <v>1.169850339</v>
      </c>
      <c r="H458" s="3">
        <f t="shared" si="6"/>
        <v>0.001453266969</v>
      </c>
      <c r="I458" s="5">
        <f t="shared" si="7"/>
        <v>1.125207988</v>
      </c>
    </row>
    <row r="459">
      <c r="A459" s="12">
        <f>IFERROR(__xludf.DUMMYFUNCTION("""COMPUTED_VALUE"""),42922.66666666667)</f>
        <v>42922.66667</v>
      </c>
      <c r="B459" s="13">
        <f>IFERROR(__xludf.DUMMYFUNCTION("""COMPUTED_VALUE"""),2409.75)</f>
        <v>2409.75</v>
      </c>
      <c r="C459" s="13">
        <f t="shared" si="1"/>
        <v>2422.68</v>
      </c>
      <c r="D459" s="13">
        <f t="shared" si="2"/>
        <v>2401.885</v>
      </c>
      <c r="E459" s="13" t="str">
        <f t="shared" si="3"/>
        <v>LONG</v>
      </c>
      <c r="F459" s="3">
        <f t="shared" si="4"/>
        <v>-0.009368807913</v>
      </c>
      <c r="G459" s="4">
        <f t="shared" si="5"/>
        <v>1.158890235</v>
      </c>
      <c r="H459" s="3">
        <f t="shared" si="6"/>
        <v>-0.009368807913</v>
      </c>
      <c r="I459" s="5">
        <f t="shared" si="7"/>
        <v>1.11466613</v>
      </c>
    </row>
    <row r="460">
      <c r="A460" s="12">
        <f>IFERROR(__xludf.DUMMYFUNCTION("""COMPUTED_VALUE"""),42923.66666666667)</f>
        <v>42923.66667</v>
      </c>
      <c r="B460" s="13">
        <f>IFERROR(__xludf.DUMMYFUNCTION("""COMPUTED_VALUE"""),2425.18)</f>
        <v>2425.18</v>
      </c>
      <c r="C460" s="13">
        <f t="shared" si="1"/>
        <v>2429.84</v>
      </c>
      <c r="D460" s="13">
        <f t="shared" si="2"/>
        <v>2411.8</v>
      </c>
      <c r="E460" s="13" t="str">
        <f t="shared" si="3"/>
        <v>LONG</v>
      </c>
      <c r="F460" s="3">
        <f t="shared" si="4"/>
        <v>0.006403153854</v>
      </c>
      <c r="G460" s="4">
        <f t="shared" si="5"/>
        <v>1.166310788</v>
      </c>
      <c r="H460" s="3">
        <f t="shared" si="6"/>
        <v>0.006403153854</v>
      </c>
      <c r="I460" s="5">
        <f t="shared" si="7"/>
        <v>1.121803509</v>
      </c>
    </row>
    <row r="461">
      <c r="A461" s="12">
        <f>IFERROR(__xludf.DUMMYFUNCTION("""COMPUTED_VALUE"""),42926.66666666667)</f>
        <v>42926.66667</v>
      </c>
      <c r="B461" s="13">
        <f>IFERROR(__xludf.DUMMYFUNCTION("""COMPUTED_VALUE"""),2427.43)</f>
        <v>2427.43</v>
      </c>
      <c r="C461" s="13">
        <f t="shared" si="1"/>
        <v>2432.865</v>
      </c>
      <c r="D461" s="13">
        <f t="shared" si="2"/>
        <v>2415.91</v>
      </c>
      <c r="E461" s="13" t="str">
        <f t="shared" si="3"/>
        <v>LONG</v>
      </c>
      <c r="F461" s="3">
        <f t="shared" si="4"/>
        <v>0.0009277661864</v>
      </c>
      <c r="G461" s="4">
        <f t="shared" si="5"/>
        <v>1.167392852</v>
      </c>
      <c r="H461" s="3">
        <f t="shared" si="6"/>
        <v>0.0009277661864</v>
      </c>
      <c r="I461" s="5">
        <f t="shared" si="7"/>
        <v>1.12284428</v>
      </c>
    </row>
    <row r="462">
      <c r="A462" s="12">
        <f>IFERROR(__xludf.DUMMYFUNCTION("""COMPUTED_VALUE"""),42927.66666666667)</f>
        <v>42927.66667</v>
      </c>
      <c r="B462" s="13">
        <f>IFERROR(__xludf.DUMMYFUNCTION("""COMPUTED_VALUE"""),2425.53)</f>
        <v>2425.53</v>
      </c>
      <c r="C462" s="13">
        <f t="shared" si="1"/>
        <v>2432.3</v>
      </c>
      <c r="D462" s="13">
        <f t="shared" si="2"/>
        <v>2420.3</v>
      </c>
      <c r="E462" s="13" t="str">
        <f t="shared" si="3"/>
        <v>LONG</v>
      </c>
      <c r="F462" s="3">
        <f t="shared" si="4"/>
        <v>-0.00078272082</v>
      </c>
      <c r="G462" s="4">
        <f t="shared" si="5"/>
        <v>1.166479109</v>
      </c>
      <c r="H462" s="3">
        <f t="shared" si="6"/>
        <v>-0.00078272082</v>
      </c>
      <c r="I462" s="5">
        <f t="shared" si="7"/>
        <v>1.121965407</v>
      </c>
    </row>
    <row r="463">
      <c r="A463" s="12">
        <f>IFERROR(__xludf.DUMMYFUNCTION("""COMPUTED_VALUE"""),42928.66666666667)</f>
        <v>42928.66667</v>
      </c>
      <c r="B463" s="13">
        <f>IFERROR(__xludf.DUMMYFUNCTION("""COMPUTED_VALUE"""),2443.25)</f>
        <v>2443.25</v>
      </c>
      <c r="C463" s="13">
        <f t="shared" si="1"/>
        <v>2431.315</v>
      </c>
      <c r="D463" s="13">
        <f t="shared" si="2"/>
        <v>2429.535</v>
      </c>
      <c r="E463" s="13" t="str">
        <f t="shared" si="3"/>
        <v>LONG</v>
      </c>
      <c r="F463" s="3">
        <f t="shared" si="4"/>
        <v>0.007305619803</v>
      </c>
      <c r="G463" s="4">
        <f t="shared" si="5"/>
        <v>1.175000962</v>
      </c>
      <c r="H463" s="3">
        <f t="shared" si="6"/>
        <v>0.007305619803</v>
      </c>
      <c r="I463" s="5">
        <f t="shared" si="7"/>
        <v>1.130162059</v>
      </c>
    </row>
    <row r="464">
      <c r="A464" s="12">
        <f>IFERROR(__xludf.DUMMYFUNCTION("""COMPUTED_VALUE"""),42929.66666666667)</f>
        <v>42929.66667</v>
      </c>
      <c r="B464" s="13">
        <f>IFERROR(__xludf.DUMMYFUNCTION("""COMPUTED_VALUE"""),2447.83)</f>
        <v>2447.83</v>
      </c>
      <c r="C464" s="13">
        <f t="shared" si="1"/>
        <v>2444.26</v>
      </c>
      <c r="D464" s="13">
        <f t="shared" si="2"/>
        <v>2430.37</v>
      </c>
      <c r="E464" s="13" t="str">
        <f t="shared" si="3"/>
        <v>LONG</v>
      </c>
      <c r="F464" s="3">
        <f t="shared" si="4"/>
        <v>0.001874552338</v>
      </c>
      <c r="G464" s="4">
        <f t="shared" si="5"/>
        <v>1.177203563</v>
      </c>
      <c r="H464" s="3">
        <f t="shared" si="6"/>
        <v>0.001874552338</v>
      </c>
      <c r="I464" s="5">
        <f t="shared" si="7"/>
        <v>1.132280607</v>
      </c>
    </row>
    <row r="465">
      <c r="A465" s="12">
        <f>IFERROR(__xludf.DUMMYFUNCTION("""COMPUTED_VALUE"""),42930.66666666667)</f>
        <v>42930.66667</v>
      </c>
      <c r="B465" s="13">
        <f>IFERROR(__xludf.DUMMYFUNCTION("""COMPUTED_VALUE"""),2459.27)</f>
        <v>2459.27</v>
      </c>
      <c r="C465" s="13">
        <f t="shared" si="1"/>
        <v>2439.485</v>
      </c>
      <c r="D465" s="13">
        <f t="shared" si="2"/>
        <v>2435.535</v>
      </c>
      <c r="E465" s="13" t="str">
        <f t="shared" si="3"/>
        <v>LONG</v>
      </c>
      <c r="F465" s="3">
        <f t="shared" si="4"/>
        <v>0.004673527165</v>
      </c>
      <c r="G465" s="4">
        <f t="shared" si="5"/>
        <v>1.182705255</v>
      </c>
      <c r="H465" s="3">
        <f t="shared" si="6"/>
        <v>0.004673527165</v>
      </c>
      <c r="I465" s="5">
        <f t="shared" si="7"/>
        <v>1.137572351</v>
      </c>
    </row>
    <row r="466">
      <c r="A466" s="12">
        <f>IFERROR(__xludf.DUMMYFUNCTION("""COMPUTED_VALUE"""),42933.66666666667)</f>
        <v>42933.66667</v>
      </c>
      <c r="B466" s="13">
        <f>IFERROR(__xludf.DUMMYFUNCTION("""COMPUTED_VALUE"""),2459.14)</f>
        <v>2459.14</v>
      </c>
      <c r="C466" s="13">
        <f t="shared" si="1"/>
        <v>2441.275</v>
      </c>
      <c r="D466" s="13">
        <f t="shared" si="2"/>
        <v>2444.6</v>
      </c>
      <c r="E466" s="13" t="str">
        <f t="shared" si="3"/>
        <v/>
      </c>
      <c r="F466" s="3">
        <f t="shared" si="4"/>
        <v>-0.00005286121491</v>
      </c>
      <c r="G466" s="4">
        <f t="shared" si="5"/>
        <v>1.182642736</v>
      </c>
      <c r="H466" s="5">
        <f t="shared" si="6"/>
        <v>0</v>
      </c>
      <c r="I466" s="5">
        <f t="shared" si="7"/>
        <v>1.137572351</v>
      </c>
    </row>
    <row r="467">
      <c r="A467" s="12">
        <f>IFERROR(__xludf.DUMMYFUNCTION("""COMPUTED_VALUE"""),42934.66666666667)</f>
        <v>42934.66667</v>
      </c>
      <c r="B467" s="13">
        <f>IFERROR(__xludf.DUMMYFUNCTION("""COMPUTED_VALUE"""),2460.61)</f>
        <v>2460.61</v>
      </c>
      <c r="C467" s="13">
        <f t="shared" si="1"/>
        <v>2444.81</v>
      </c>
      <c r="D467" s="13">
        <f t="shared" si="2"/>
        <v>2449.84</v>
      </c>
      <c r="E467" s="13" t="str">
        <f t="shared" si="3"/>
        <v/>
      </c>
      <c r="F467" s="3">
        <f t="shared" si="4"/>
        <v>0.0005977699521</v>
      </c>
      <c r="G467" s="4">
        <f t="shared" si="5"/>
        <v>1.183349685</v>
      </c>
      <c r="H467" s="5">
        <f t="shared" si="6"/>
        <v>0</v>
      </c>
      <c r="I467" s="5">
        <f t="shared" si="7"/>
        <v>1.137572351</v>
      </c>
    </row>
    <row r="468">
      <c r="A468" s="12">
        <f>IFERROR(__xludf.DUMMYFUNCTION("""COMPUTED_VALUE"""),42935.66666666667)</f>
        <v>42935.66667</v>
      </c>
      <c r="B468" s="13">
        <f>IFERROR(__xludf.DUMMYFUNCTION("""COMPUTED_VALUE"""),2473.83)</f>
        <v>2473.83</v>
      </c>
      <c r="C468" s="13">
        <f t="shared" si="1"/>
        <v>2453.185</v>
      </c>
      <c r="D468" s="13">
        <f t="shared" si="2"/>
        <v>2454.965</v>
      </c>
      <c r="E468" s="13" t="str">
        <f t="shared" si="3"/>
        <v/>
      </c>
      <c r="F468" s="3">
        <f t="shared" si="4"/>
        <v>0.005372651497</v>
      </c>
      <c r="G468" s="4">
        <f t="shared" si="5"/>
        <v>1.18970741</v>
      </c>
      <c r="H468" s="5">
        <f t="shared" si="6"/>
        <v>0</v>
      </c>
      <c r="I468" s="5">
        <f t="shared" si="7"/>
        <v>1.137572351</v>
      </c>
    </row>
    <row r="469">
      <c r="A469" s="12">
        <f>IFERROR(__xludf.DUMMYFUNCTION("""COMPUTED_VALUE"""),42936.66666666667)</f>
        <v>42936.66667</v>
      </c>
      <c r="B469" s="13">
        <f>IFERROR(__xludf.DUMMYFUNCTION("""COMPUTED_VALUE"""),2473.45)</f>
        <v>2473.45</v>
      </c>
      <c r="C469" s="13">
        <f t="shared" si="1"/>
        <v>2441.6</v>
      </c>
      <c r="D469" s="13">
        <f t="shared" si="2"/>
        <v>2451.39</v>
      </c>
      <c r="E469" s="13" t="str">
        <f t="shared" si="3"/>
        <v/>
      </c>
      <c r="F469" s="3">
        <f t="shared" si="4"/>
        <v>-0.0001536079682</v>
      </c>
      <c r="G469" s="4">
        <f t="shared" si="5"/>
        <v>1.189524661</v>
      </c>
      <c r="H469" s="5">
        <f t="shared" si="6"/>
        <v>0</v>
      </c>
      <c r="I469" s="5">
        <f t="shared" si="7"/>
        <v>1.137572351</v>
      </c>
    </row>
    <row r="470">
      <c r="A470" s="12">
        <f>IFERROR(__xludf.DUMMYFUNCTION("""COMPUTED_VALUE"""),42937.66666666667)</f>
        <v>42937.66667</v>
      </c>
      <c r="B470" s="13">
        <f>IFERROR(__xludf.DUMMYFUNCTION("""COMPUTED_VALUE"""),2472.54)</f>
        <v>2472.54</v>
      </c>
      <c r="C470" s="13">
        <f t="shared" si="1"/>
        <v>2448.86</v>
      </c>
      <c r="D470" s="13">
        <f t="shared" si="2"/>
        <v>2452.84</v>
      </c>
      <c r="E470" s="13" t="str">
        <f t="shared" si="3"/>
        <v/>
      </c>
      <c r="F470" s="3">
        <f t="shared" si="4"/>
        <v>-0.0003679071742</v>
      </c>
      <c r="G470" s="4">
        <f t="shared" si="5"/>
        <v>1.189087027</v>
      </c>
      <c r="H470" s="5">
        <f t="shared" si="6"/>
        <v>0</v>
      </c>
      <c r="I470" s="5">
        <f t="shared" si="7"/>
        <v>1.137572351</v>
      </c>
    </row>
    <row r="471">
      <c r="A471" s="12">
        <f>IFERROR(__xludf.DUMMYFUNCTION("""COMPUTED_VALUE"""),42940.66666666667)</f>
        <v>42940.66667</v>
      </c>
      <c r="B471" s="13">
        <f>IFERROR(__xludf.DUMMYFUNCTION("""COMPUTED_VALUE"""),2469.91)</f>
        <v>2469.91</v>
      </c>
      <c r="C471" s="13">
        <f t="shared" si="1"/>
        <v>2448.67</v>
      </c>
      <c r="D471" s="13">
        <f t="shared" si="2"/>
        <v>2451.85</v>
      </c>
      <c r="E471" s="13" t="str">
        <f t="shared" si="3"/>
        <v/>
      </c>
      <c r="F471" s="3">
        <f t="shared" si="4"/>
        <v>-0.0010636835</v>
      </c>
      <c r="G471" s="4">
        <f t="shared" si="5"/>
        <v>1.187822215</v>
      </c>
      <c r="H471" s="5">
        <f t="shared" si="6"/>
        <v>0</v>
      </c>
      <c r="I471" s="5">
        <f t="shared" si="7"/>
        <v>1.137572351</v>
      </c>
    </row>
    <row r="472">
      <c r="A472" s="12">
        <f>IFERROR(__xludf.DUMMYFUNCTION("""COMPUTED_VALUE"""),42941.66666666667)</f>
        <v>42941.66667</v>
      </c>
      <c r="B472" s="13">
        <f>IFERROR(__xludf.DUMMYFUNCTION("""COMPUTED_VALUE"""),2477.13)</f>
        <v>2477.13</v>
      </c>
      <c r="C472" s="13">
        <f t="shared" si="1"/>
        <v>2451.33</v>
      </c>
      <c r="D472" s="13">
        <f t="shared" si="2"/>
        <v>2454.45</v>
      </c>
      <c r="E472" s="13" t="str">
        <f t="shared" si="3"/>
        <v/>
      </c>
      <c r="F472" s="3">
        <f t="shared" si="4"/>
        <v>0.002923183436</v>
      </c>
      <c r="G472" s="4">
        <f t="shared" si="5"/>
        <v>1.191294437</v>
      </c>
      <c r="H472" s="5">
        <f t="shared" si="6"/>
        <v>0</v>
      </c>
      <c r="I472" s="5">
        <f t="shared" si="7"/>
        <v>1.137572351</v>
      </c>
    </row>
    <row r="473">
      <c r="A473" s="12">
        <f>IFERROR(__xludf.DUMMYFUNCTION("""COMPUTED_VALUE"""),42942.66666666667)</f>
        <v>42942.66667</v>
      </c>
      <c r="B473" s="13">
        <f>IFERROR(__xludf.DUMMYFUNCTION("""COMPUTED_VALUE"""),2477.83)</f>
        <v>2477.83</v>
      </c>
      <c r="C473" s="13">
        <f t="shared" si="1"/>
        <v>2460.54</v>
      </c>
      <c r="D473" s="13">
        <f t="shared" si="2"/>
        <v>2453.61</v>
      </c>
      <c r="E473" s="13" t="str">
        <f t="shared" si="3"/>
        <v>LONG</v>
      </c>
      <c r="F473" s="3">
        <f t="shared" si="4"/>
        <v>0.0002825850884</v>
      </c>
      <c r="G473" s="4">
        <f t="shared" si="5"/>
        <v>1.191631079</v>
      </c>
      <c r="H473" s="3">
        <f t="shared" si="6"/>
        <v>0.0002825850884</v>
      </c>
      <c r="I473" s="5">
        <f t="shared" si="7"/>
        <v>1.137893812</v>
      </c>
    </row>
    <row r="474">
      <c r="A474" s="12">
        <f>IFERROR(__xludf.DUMMYFUNCTION("""COMPUTED_VALUE"""),42943.66666666667)</f>
        <v>42943.66667</v>
      </c>
      <c r="B474" s="13">
        <f>IFERROR(__xludf.DUMMYFUNCTION("""COMPUTED_VALUE"""),2475.42)</f>
        <v>2475.42</v>
      </c>
      <c r="C474" s="13">
        <f t="shared" si="1"/>
        <v>2461.625</v>
      </c>
      <c r="D474" s="13">
        <f t="shared" si="2"/>
        <v>2457.885</v>
      </c>
      <c r="E474" s="13" t="str">
        <f t="shared" si="3"/>
        <v>LONG</v>
      </c>
      <c r="F474" s="3">
        <f t="shared" si="4"/>
        <v>-0.0009726252406</v>
      </c>
      <c r="G474" s="4">
        <f t="shared" si="5"/>
        <v>1.190472068</v>
      </c>
      <c r="H474" s="3">
        <f t="shared" si="6"/>
        <v>-0.0009726252406</v>
      </c>
      <c r="I474" s="5">
        <f t="shared" si="7"/>
        <v>1.136787068</v>
      </c>
    </row>
    <row r="475">
      <c r="A475" s="12">
        <f>IFERROR(__xludf.DUMMYFUNCTION("""COMPUTED_VALUE"""),42944.66666666667)</f>
        <v>42944.66667</v>
      </c>
      <c r="B475" s="13">
        <f>IFERROR(__xludf.DUMMYFUNCTION("""COMPUTED_VALUE"""),2472.1)</f>
        <v>2472.1</v>
      </c>
      <c r="C475" s="13">
        <f t="shared" si="1"/>
        <v>2465.685</v>
      </c>
      <c r="D475" s="13">
        <f t="shared" si="2"/>
        <v>2455.01</v>
      </c>
      <c r="E475" s="13" t="str">
        <f t="shared" si="3"/>
        <v>LONG</v>
      </c>
      <c r="F475" s="3">
        <f t="shared" si="4"/>
        <v>-0.001341186546</v>
      </c>
      <c r="G475" s="4">
        <f t="shared" si="5"/>
        <v>1.188875423</v>
      </c>
      <c r="H475" s="3">
        <f t="shared" si="6"/>
        <v>-0.001341186546</v>
      </c>
      <c r="I475" s="5">
        <f t="shared" si="7"/>
        <v>1.135262425</v>
      </c>
    </row>
    <row r="476">
      <c r="A476" s="12">
        <f>IFERROR(__xludf.DUMMYFUNCTION("""COMPUTED_VALUE"""),42947.66666666667)</f>
        <v>42947.66667</v>
      </c>
      <c r="B476" s="13">
        <f>IFERROR(__xludf.DUMMYFUNCTION("""COMPUTED_VALUE"""),2470.3)</f>
        <v>2470.3</v>
      </c>
      <c r="C476" s="13">
        <f t="shared" si="1"/>
        <v>2464.72</v>
      </c>
      <c r="D476" s="13">
        <f t="shared" si="2"/>
        <v>2451.38</v>
      </c>
      <c r="E476" s="13" t="str">
        <f t="shared" si="3"/>
        <v>LONG</v>
      </c>
      <c r="F476" s="3">
        <f t="shared" si="4"/>
        <v>-0.0007281258849</v>
      </c>
      <c r="G476" s="4">
        <f t="shared" si="5"/>
        <v>1.188009772</v>
      </c>
      <c r="H476" s="3">
        <f t="shared" si="6"/>
        <v>-0.0007281258849</v>
      </c>
      <c r="I476" s="5">
        <f t="shared" si="7"/>
        <v>1.134435811</v>
      </c>
    </row>
    <row r="477">
      <c r="A477" s="12">
        <f>IFERROR(__xludf.DUMMYFUNCTION("""COMPUTED_VALUE"""),42948.66666666667)</f>
        <v>42948.66667</v>
      </c>
      <c r="B477" s="13">
        <f>IFERROR(__xludf.DUMMYFUNCTION("""COMPUTED_VALUE"""),2476.35)</f>
        <v>2476.35</v>
      </c>
      <c r="C477" s="13">
        <f t="shared" si="1"/>
        <v>2468.48</v>
      </c>
      <c r="D477" s="13">
        <f t="shared" si="2"/>
        <v>2454.75</v>
      </c>
      <c r="E477" s="13" t="str">
        <f t="shared" si="3"/>
        <v>LONG</v>
      </c>
      <c r="F477" s="3">
        <f t="shared" si="4"/>
        <v>0.002449095252</v>
      </c>
      <c r="G477" s="4">
        <f t="shared" si="5"/>
        <v>1.190919321</v>
      </c>
      <c r="H477" s="3">
        <f t="shared" si="6"/>
        <v>0.002449095252</v>
      </c>
      <c r="I477" s="5">
        <f t="shared" si="7"/>
        <v>1.137214152</v>
      </c>
    </row>
    <row r="478">
      <c r="A478" s="12">
        <f>IFERROR(__xludf.DUMMYFUNCTION("""COMPUTED_VALUE"""),42949.66666666667)</f>
        <v>42949.66667</v>
      </c>
      <c r="B478" s="13">
        <f>IFERROR(__xludf.DUMMYFUNCTION("""COMPUTED_VALUE"""),2477.57)</f>
        <v>2477.57</v>
      </c>
      <c r="C478" s="13">
        <f t="shared" si="1"/>
        <v>2475.7</v>
      </c>
      <c r="D478" s="13">
        <f t="shared" si="2"/>
        <v>2465.515</v>
      </c>
      <c r="E478" s="13" t="str">
        <f t="shared" si="3"/>
        <v>LONG</v>
      </c>
      <c r="F478" s="3">
        <f t="shared" si="4"/>
        <v>0.000492660569</v>
      </c>
      <c r="G478" s="4">
        <f t="shared" si="5"/>
        <v>1.19150604</v>
      </c>
      <c r="H478" s="3">
        <f t="shared" si="6"/>
        <v>0.000492660569</v>
      </c>
      <c r="I478" s="5">
        <f t="shared" si="7"/>
        <v>1.137774413</v>
      </c>
    </row>
    <row r="479">
      <c r="A479" s="12">
        <f>IFERROR(__xludf.DUMMYFUNCTION("""COMPUTED_VALUE"""),42950.66666666667)</f>
        <v>42950.66667</v>
      </c>
      <c r="B479" s="13">
        <f>IFERROR(__xludf.DUMMYFUNCTION("""COMPUTED_VALUE"""),2472.16)</f>
        <v>2472.16</v>
      </c>
      <c r="C479" s="13">
        <f t="shared" si="1"/>
        <v>2472.805</v>
      </c>
      <c r="D479" s="13">
        <f t="shared" si="2"/>
        <v>2454.595</v>
      </c>
      <c r="E479" s="13" t="str">
        <f t="shared" si="3"/>
        <v>LONG</v>
      </c>
      <c r="F479" s="3">
        <f t="shared" si="4"/>
        <v>-0.00218359118</v>
      </c>
      <c r="G479" s="4">
        <f t="shared" si="5"/>
        <v>1.188904278</v>
      </c>
      <c r="H479" s="3">
        <f t="shared" si="6"/>
        <v>-0.00218359118</v>
      </c>
      <c r="I479" s="5">
        <f t="shared" si="7"/>
        <v>1.135289978</v>
      </c>
    </row>
    <row r="480">
      <c r="A480" s="12">
        <f>IFERROR(__xludf.DUMMYFUNCTION("""COMPUTED_VALUE"""),42951.66666666667)</f>
        <v>42951.66667</v>
      </c>
      <c r="B480" s="13">
        <f>IFERROR(__xludf.DUMMYFUNCTION("""COMPUTED_VALUE"""),2476.83)</f>
        <v>2476.83</v>
      </c>
      <c r="C480" s="13">
        <f t="shared" si="1"/>
        <v>2474.685</v>
      </c>
      <c r="D480" s="13">
        <f t="shared" si="2"/>
        <v>2456.22</v>
      </c>
      <c r="E480" s="13" t="str">
        <f t="shared" si="3"/>
        <v>LONG</v>
      </c>
      <c r="F480" s="3">
        <f t="shared" si="4"/>
        <v>0.001889036308</v>
      </c>
      <c r="G480" s="4">
        <f t="shared" si="5"/>
        <v>1.191150162</v>
      </c>
      <c r="H480" s="3">
        <f t="shared" si="6"/>
        <v>0.001889036308</v>
      </c>
      <c r="I480" s="5">
        <f t="shared" si="7"/>
        <v>1.137434582</v>
      </c>
    </row>
    <row r="481">
      <c r="A481" s="12">
        <f>IFERROR(__xludf.DUMMYFUNCTION("""COMPUTED_VALUE"""),42954.66666666667)</f>
        <v>42954.66667</v>
      </c>
      <c r="B481" s="13">
        <f>IFERROR(__xludf.DUMMYFUNCTION("""COMPUTED_VALUE"""),2480.91)</f>
        <v>2480.91</v>
      </c>
      <c r="C481" s="13">
        <f t="shared" si="1"/>
        <v>2475.41</v>
      </c>
      <c r="D481" s="13">
        <f t="shared" si="2"/>
        <v>2457.705</v>
      </c>
      <c r="E481" s="13" t="str">
        <f t="shared" si="3"/>
        <v>LONG</v>
      </c>
      <c r="F481" s="3">
        <f t="shared" si="4"/>
        <v>0.001647266869</v>
      </c>
      <c r="G481" s="4">
        <f t="shared" si="5"/>
        <v>1.193112304</v>
      </c>
      <c r="H481" s="3">
        <f t="shared" si="6"/>
        <v>0.001647266869</v>
      </c>
      <c r="I481" s="5">
        <f t="shared" si="7"/>
        <v>1.139308241</v>
      </c>
    </row>
    <row r="482">
      <c r="A482" s="12">
        <f>IFERROR(__xludf.DUMMYFUNCTION("""COMPUTED_VALUE"""),42955.66666666667)</f>
        <v>42955.66667</v>
      </c>
      <c r="B482" s="13">
        <f>IFERROR(__xludf.DUMMYFUNCTION("""COMPUTED_VALUE"""),2474.92)</f>
        <v>2474.92</v>
      </c>
      <c r="C482" s="13">
        <f t="shared" si="1"/>
        <v>2476.025</v>
      </c>
      <c r="D482" s="13">
        <f t="shared" si="2"/>
        <v>2456.61</v>
      </c>
      <c r="E482" s="13" t="str">
        <f t="shared" si="3"/>
        <v>LONG</v>
      </c>
      <c r="F482" s="3">
        <f t="shared" si="4"/>
        <v>-0.002414436638</v>
      </c>
      <c r="G482" s="4">
        <f t="shared" si="5"/>
        <v>1.19023161</v>
      </c>
      <c r="H482" s="3">
        <f t="shared" si="6"/>
        <v>-0.002414436638</v>
      </c>
      <c r="I482" s="5">
        <f t="shared" si="7"/>
        <v>1.136557453</v>
      </c>
    </row>
    <row r="483">
      <c r="A483" s="12">
        <f>IFERROR(__xludf.DUMMYFUNCTION("""COMPUTED_VALUE"""),42956.66666666667)</f>
        <v>42956.66667</v>
      </c>
      <c r="B483" s="13">
        <f>IFERROR(__xludf.DUMMYFUNCTION("""COMPUTED_VALUE"""),2474.02)</f>
        <v>2474.02</v>
      </c>
      <c r="C483" s="13">
        <f t="shared" si="1"/>
        <v>2475.925</v>
      </c>
      <c r="D483" s="13">
        <f t="shared" si="2"/>
        <v>2456.545</v>
      </c>
      <c r="E483" s="13" t="str">
        <f t="shared" si="3"/>
        <v>LONG</v>
      </c>
      <c r="F483" s="3">
        <f t="shared" si="4"/>
        <v>-0.0003636481179</v>
      </c>
      <c r="G483" s="4">
        <f t="shared" si="5"/>
        <v>1.189798784</v>
      </c>
      <c r="H483" s="3">
        <f t="shared" si="6"/>
        <v>-0.0003636481179</v>
      </c>
      <c r="I483" s="5">
        <f t="shared" si="7"/>
        <v>1.136144146</v>
      </c>
    </row>
    <row r="484">
      <c r="A484" s="12">
        <f>IFERROR(__xludf.DUMMYFUNCTION("""COMPUTED_VALUE"""),42957.66666666667)</f>
        <v>42957.66667</v>
      </c>
      <c r="B484" s="13">
        <f>IFERROR(__xludf.DUMMYFUNCTION("""COMPUTED_VALUE"""),2438.21)</f>
        <v>2438.21</v>
      </c>
      <c r="C484" s="13">
        <f t="shared" si="1"/>
        <v>2456.815</v>
      </c>
      <c r="D484" s="13">
        <f t="shared" si="2"/>
        <v>2428.795</v>
      </c>
      <c r="E484" s="13" t="str">
        <f t="shared" si="3"/>
        <v>LONG</v>
      </c>
      <c r="F484" s="3">
        <f t="shared" si="4"/>
        <v>-0.01447441815</v>
      </c>
      <c r="G484" s="4">
        <f t="shared" si="5"/>
        <v>1.172577139</v>
      </c>
      <c r="H484" s="3">
        <f t="shared" si="6"/>
        <v>-0.01447441815</v>
      </c>
      <c r="I484" s="5">
        <f t="shared" si="7"/>
        <v>1.119699121</v>
      </c>
    </row>
    <row r="485">
      <c r="A485" s="12">
        <f>IFERROR(__xludf.DUMMYFUNCTION("""COMPUTED_VALUE"""),42958.66666666667)</f>
        <v>42958.66667</v>
      </c>
      <c r="B485" s="13">
        <f>IFERROR(__xludf.DUMMYFUNCTION("""COMPUTED_VALUE"""),2441.32)</f>
        <v>2441.32</v>
      </c>
      <c r="C485" s="13">
        <f t="shared" si="1"/>
        <v>2456.71</v>
      </c>
      <c r="D485" s="13">
        <f t="shared" si="2"/>
        <v>2441.005</v>
      </c>
      <c r="E485" s="13" t="str">
        <f t="shared" si="3"/>
        <v>LONG</v>
      </c>
      <c r="F485" s="3">
        <f t="shared" si="4"/>
        <v>0.001275525898</v>
      </c>
      <c r="G485" s="4">
        <f t="shared" si="5"/>
        <v>1.174072792</v>
      </c>
      <c r="H485" s="3">
        <f t="shared" si="6"/>
        <v>0.001275525898</v>
      </c>
      <c r="I485" s="5">
        <f t="shared" si="7"/>
        <v>1.121127326</v>
      </c>
    </row>
    <row r="486">
      <c r="A486" s="12">
        <f>IFERROR(__xludf.DUMMYFUNCTION("""COMPUTED_VALUE"""),42961.66666666667)</f>
        <v>42961.66667</v>
      </c>
      <c r="B486" s="13">
        <f>IFERROR(__xludf.DUMMYFUNCTION("""COMPUTED_VALUE"""),2465.84)</f>
        <v>2465.84</v>
      </c>
      <c r="C486" s="13">
        <f t="shared" si="1"/>
        <v>2468.07</v>
      </c>
      <c r="D486" s="13">
        <f t="shared" si="2"/>
        <v>2442.77</v>
      </c>
      <c r="E486" s="13" t="str">
        <f t="shared" si="3"/>
        <v>LONG</v>
      </c>
      <c r="F486" s="3">
        <f t="shared" si="4"/>
        <v>0.01004374683</v>
      </c>
      <c r="G486" s="4">
        <f t="shared" si="5"/>
        <v>1.185864882</v>
      </c>
      <c r="H486" s="3">
        <f t="shared" si="6"/>
        <v>0.01004374683</v>
      </c>
      <c r="I486" s="5">
        <f t="shared" si="7"/>
        <v>1.132387645</v>
      </c>
    </row>
    <row r="487">
      <c r="A487" s="12">
        <f>IFERROR(__xludf.DUMMYFUNCTION("""COMPUTED_VALUE"""),42962.66666666667)</f>
        <v>42962.66667</v>
      </c>
      <c r="B487" s="13">
        <f>IFERROR(__xludf.DUMMYFUNCTION("""COMPUTED_VALUE"""),2464.61)</f>
        <v>2464.61</v>
      </c>
      <c r="C487" s="13">
        <f t="shared" si="1"/>
        <v>2470.48</v>
      </c>
      <c r="D487" s="13">
        <f t="shared" si="2"/>
        <v>2444.01</v>
      </c>
      <c r="E487" s="13" t="str">
        <f t="shared" si="3"/>
        <v>LONG</v>
      </c>
      <c r="F487" s="3">
        <f t="shared" si="4"/>
        <v>-0.0004988158194</v>
      </c>
      <c r="G487" s="4">
        <f t="shared" si="5"/>
        <v>1.185273353</v>
      </c>
      <c r="H487" s="3">
        <f t="shared" si="6"/>
        <v>-0.0004988158194</v>
      </c>
      <c r="I487" s="5">
        <f t="shared" si="7"/>
        <v>1.131822792</v>
      </c>
    </row>
    <row r="488">
      <c r="A488" s="12">
        <f>IFERROR(__xludf.DUMMYFUNCTION("""COMPUTED_VALUE"""),42963.66666666667)</f>
        <v>42963.66667</v>
      </c>
      <c r="B488" s="13">
        <f>IFERROR(__xludf.DUMMYFUNCTION("""COMPUTED_VALUE"""),2468.11)</f>
        <v>2468.11</v>
      </c>
      <c r="C488" s="13">
        <f t="shared" si="1"/>
        <v>2472.84</v>
      </c>
      <c r="D488" s="13">
        <f t="shared" si="2"/>
        <v>2448.56</v>
      </c>
      <c r="E488" s="13" t="str">
        <f t="shared" si="3"/>
        <v>LONG</v>
      </c>
      <c r="F488" s="3">
        <f t="shared" si="4"/>
        <v>0.001420102978</v>
      </c>
      <c r="G488" s="4">
        <f t="shared" si="5"/>
        <v>1.186956564</v>
      </c>
      <c r="H488" s="3">
        <f t="shared" si="6"/>
        <v>0.001420102978</v>
      </c>
      <c r="I488" s="5">
        <f t="shared" si="7"/>
        <v>1.133430097</v>
      </c>
    </row>
    <row r="489">
      <c r="A489" s="12">
        <f>IFERROR(__xludf.DUMMYFUNCTION("""COMPUTED_VALUE"""),42964.66666666667)</f>
        <v>42964.66667</v>
      </c>
      <c r="B489" s="13">
        <f>IFERROR(__xludf.DUMMYFUNCTION("""COMPUTED_VALUE"""),2430.01)</f>
        <v>2430.01</v>
      </c>
      <c r="C489" s="13">
        <f t="shared" si="1"/>
        <v>2451.085</v>
      </c>
      <c r="D489" s="13">
        <f t="shared" si="2"/>
        <v>2431.275</v>
      </c>
      <c r="E489" s="13" t="str">
        <f t="shared" si="3"/>
        <v>LONG</v>
      </c>
      <c r="F489" s="3">
        <f t="shared" si="4"/>
        <v>-0.01543691327</v>
      </c>
      <c r="G489" s="4">
        <f t="shared" si="5"/>
        <v>1.168633618</v>
      </c>
      <c r="H489" s="3">
        <f t="shared" si="6"/>
        <v>-0.01543691327</v>
      </c>
      <c r="I489" s="5">
        <f t="shared" si="7"/>
        <v>1.115933435</v>
      </c>
    </row>
    <row r="490">
      <c r="A490" s="12">
        <f>IFERROR(__xludf.DUMMYFUNCTION("""COMPUTED_VALUE"""),42965.66666666667)</f>
        <v>42965.66667</v>
      </c>
      <c r="B490" s="13">
        <f>IFERROR(__xludf.DUMMYFUNCTION("""COMPUTED_VALUE"""),2425.55)</f>
        <v>2425.55</v>
      </c>
      <c r="C490" s="13">
        <f t="shared" si="1"/>
        <v>2451.19</v>
      </c>
      <c r="D490" s="13">
        <f t="shared" si="2"/>
        <v>2417.65</v>
      </c>
      <c r="E490" s="13" t="str">
        <f t="shared" si="3"/>
        <v>LONG</v>
      </c>
      <c r="F490" s="3">
        <f t="shared" si="4"/>
        <v>-0.001835383393</v>
      </c>
      <c r="G490" s="4">
        <f t="shared" si="5"/>
        <v>1.166488727</v>
      </c>
      <c r="H490" s="3">
        <f t="shared" si="6"/>
        <v>-0.001835383393</v>
      </c>
      <c r="I490" s="5">
        <f t="shared" si="7"/>
        <v>1.113885269</v>
      </c>
    </row>
    <row r="491">
      <c r="A491" s="12">
        <f>IFERROR(__xludf.DUMMYFUNCTION("""COMPUTED_VALUE"""),42968.66666666667)</f>
        <v>42968.66667</v>
      </c>
      <c r="B491" s="13">
        <f>IFERROR(__xludf.DUMMYFUNCTION("""COMPUTED_VALUE"""),2428.37)</f>
        <v>2428.37</v>
      </c>
      <c r="C491" s="13">
        <f t="shared" si="1"/>
        <v>2454.64</v>
      </c>
      <c r="D491" s="13">
        <f t="shared" si="2"/>
        <v>2426.775</v>
      </c>
      <c r="E491" s="13" t="str">
        <f t="shared" si="3"/>
        <v>LONG</v>
      </c>
      <c r="F491" s="3">
        <f t="shared" si="4"/>
        <v>0.00116262291</v>
      </c>
      <c r="G491" s="4">
        <f t="shared" si="5"/>
        <v>1.167844914</v>
      </c>
      <c r="H491" s="3">
        <f t="shared" si="6"/>
        <v>0.00116262291</v>
      </c>
      <c r="I491" s="5">
        <f t="shared" si="7"/>
        <v>1.115180298</v>
      </c>
    </row>
    <row r="492">
      <c r="A492" s="12">
        <f>IFERROR(__xludf.DUMMYFUNCTION("""COMPUTED_VALUE"""),42969.66666666667)</f>
        <v>42969.66667</v>
      </c>
      <c r="B492" s="13">
        <f>IFERROR(__xludf.DUMMYFUNCTION("""COMPUTED_VALUE"""),2452.51)</f>
        <v>2452.51</v>
      </c>
      <c r="C492" s="13">
        <f t="shared" si="1"/>
        <v>2463.715</v>
      </c>
      <c r="D492" s="13">
        <f t="shared" si="2"/>
        <v>2439.97</v>
      </c>
      <c r="E492" s="13" t="str">
        <f t="shared" si="3"/>
        <v>LONG</v>
      </c>
      <c r="F492" s="3">
        <f t="shared" si="4"/>
        <v>0.009940824504</v>
      </c>
      <c r="G492" s="4">
        <f t="shared" si="5"/>
        <v>1.179454255</v>
      </c>
      <c r="H492" s="3">
        <f t="shared" si="6"/>
        <v>0.009940824504</v>
      </c>
      <c r="I492" s="5">
        <f t="shared" si="7"/>
        <v>1.126266109</v>
      </c>
    </row>
    <row r="493">
      <c r="A493" s="12">
        <f>IFERROR(__xludf.DUMMYFUNCTION("""COMPUTED_VALUE"""),42970.66666666667)</f>
        <v>42970.66667</v>
      </c>
      <c r="B493" s="13">
        <f>IFERROR(__xludf.DUMMYFUNCTION("""COMPUTED_VALUE"""),2444.04)</f>
        <v>2444.04</v>
      </c>
      <c r="C493" s="13">
        <f t="shared" si="1"/>
        <v>2459.03</v>
      </c>
      <c r="D493" s="13">
        <f t="shared" si="2"/>
        <v>2434.785</v>
      </c>
      <c r="E493" s="13" t="str">
        <f t="shared" si="3"/>
        <v>LONG</v>
      </c>
      <c r="F493" s="3">
        <f t="shared" si="4"/>
        <v>-0.003453604674</v>
      </c>
      <c r="G493" s="4">
        <f t="shared" si="5"/>
        <v>1.175380886</v>
      </c>
      <c r="H493" s="3">
        <f t="shared" si="6"/>
        <v>-0.003453604674</v>
      </c>
      <c r="I493" s="5">
        <f t="shared" si="7"/>
        <v>1.122376431</v>
      </c>
    </row>
    <row r="494">
      <c r="A494" s="12">
        <f>IFERROR(__xludf.DUMMYFUNCTION("""COMPUTED_VALUE"""),42971.66666666667)</f>
        <v>42971.66667</v>
      </c>
      <c r="B494" s="13">
        <f>IFERROR(__xludf.DUMMYFUNCTION("""COMPUTED_VALUE"""),2438.97)</f>
        <v>2438.97</v>
      </c>
      <c r="C494" s="13">
        <f t="shared" si="1"/>
        <v>2438.59</v>
      </c>
      <c r="D494" s="13">
        <f t="shared" si="2"/>
        <v>2441.11</v>
      </c>
      <c r="E494" s="13" t="str">
        <f t="shared" si="3"/>
        <v/>
      </c>
      <c r="F494" s="3">
        <f t="shared" si="4"/>
        <v>-0.002074434134</v>
      </c>
      <c r="G494" s="4">
        <f t="shared" si="5"/>
        <v>1.172942636</v>
      </c>
      <c r="H494" s="5">
        <f t="shared" si="6"/>
        <v>0</v>
      </c>
      <c r="I494" s="5">
        <f t="shared" si="7"/>
        <v>1.122376431</v>
      </c>
    </row>
    <row r="495">
      <c r="A495" s="12">
        <f>IFERROR(__xludf.DUMMYFUNCTION("""COMPUTED_VALUE"""),42972.66666666667)</f>
        <v>42972.66667</v>
      </c>
      <c r="B495" s="13">
        <f>IFERROR(__xludf.DUMMYFUNCTION("""COMPUTED_VALUE"""),2443.05)</f>
        <v>2443.05</v>
      </c>
      <c r="C495" s="13">
        <f t="shared" si="1"/>
        <v>2442.185</v>
      </c>
      <c r="D495" s="13">
        <f t="shared" si="2"/>
        <v>2445.44</v>
      </c>
      <c r="E495" s="13" t="str">
        <f t="shared" si="3"/>
        <v/>
      </c>
      <c r="F495" s="3">
        <f t="shared" si="4"/>
        <v>0.001672837304</v>
      </c>
      <c r="G495" s="4">
        <f t="shared" si="5"/>
        <v>1.174904778</v>
      </c>
      <c r="H495" s="5">
        <f t="shared" si="6"/>
        <v>0</v>
      </c>
      <c r="I495" s="5">
        <f t="shared" si="7"/>
        <v>1.122376431</v>
      </c>
    </row>
    <row r="496">
      <c r="A496" s="12">
        <f>IFERROR(__xludf.DUMMYFUNCTION("""COMPUTED_VALUE"""),42975.66666666667)</f>
        <v>42975.66667</v>
      </c>
      <c r="B496" s="13">
        <f>IFERROR(__xludf.DUMMYFUNCTION("""COMPUTED_VALUE"""),2444.24)</f>
        <v>2444.24</v>
      </c>
      <c r="C496" s="13">
        <f t="shared" si="1"/>
        <v>2455.04</v>
      </c>
      <c r="D496" s="13">
        <f t="shared" si="2"/>
        <v>2451.755</v>
      </c>
      <c r="E496" s="13" t="str">
        <f t="shared" si="3"/>
        <v>LONG</v>
      </c>
      <c r="F496" s="3">
        <f t="shared" si="4"/>
        <v>0.000487096048</v>
      </c>
      <c r="G496" s="4">
        <f t="shared" si="5"/>
        <v>1.17547707</v>
      </c>
      <c r="H496" s="3">
        <f t="shared" si="6"/>
        <v>0.000487096048</v>
      </c>
      <c r="I496" s="5">
        <f t="shared" si="7"/>
        <v>1.122923137</v>
      </c>
    </row>
    <row r="497">
      <c r="A497" s="12">
        <f>IFERROR(__xludf.DUMMYFUNCTION("""COMPUTED_VALUE"""),42976.66666666667)</f>
        <v>42976.66667</v>
      </c>
      <c r="B497" s="13">
        <f>IFERROR(__xludf.DUMMYFUNCTION("""COMPUTED_VALUE"""),2446.3)</f>
        <v>2446.3</v>
      </c>
      <c r="C497" s="13">
        <f t="shared" si="1"/>
        <v>2455.455</v>
      </c>
      <c r="D497" s="13">
        <f t="shared" si="2"/>
        <v>2452.72</v>
      </c>
      <c r="E497" s="13" t="str">
        <f t="shared" si="3"/>
        <v>LONG</v>
      </c>
      <c r="F497" s="3">
        <f t="shared" si="4"/>
        <v>0.0008427977613</v>
      </c>
      <c r="G497" s="4">
        <f t="shared" si="5"/>
        <v>1.176467759</v>
      </c>
      <c r="H497" s="3">
        <f t="shared" si="6"/>
        <v>0.0008427977613</v>
      </c>
      <c r="I497" s="5">
        <f t="shared" si="7"/>
        <v>1.123869534</v>
      </c>
    </row>
    <row r="498">
      <c r="A498" s="12">
        <f>IFERROR(__xludf.DUMMYFUNCTION("""COMPUTED_VALUE"""),42977.66666666667)</f>
        <v>42977.66667</v>
      </c>
      <c r="B498" s="13">
        <f>IFERROR(__xludf.DUMMYFUNCTION("""COMPUTED_VALUE"""),2457.59)</f>
        <v>2457.59</v>
      </c>
      <c r="C498" s="13">
        <f t="shared" si="1"/>
        <v>2462.85</v>
      </c>
      <c r="D498" s="13">
        <f t="shared" si="2"/>
        <v>2459.1</v>
      </c>
      <c r="E498" s="13" t="str">
        <f t="shared" si="3"/>
        <v>LONG</v>
      </c>
      <c r="F498" s="3">
        <f t="shared" si="4"/>
        <v>0.004615133058</v>
      </c>
      <c r="G498" s="4">
        <f t="shared" si="5"/>
        <v>1.181897315</v>
      </c>
      <c r="H498" s="3">
        <f t="shared" si="6"/>
        <v>0.004615133058</v>
      </c>
      <c r="I498" s="5">
        <f t="shared" si="7"/>
        <v>1.129056341</v>
      </c>
    </row>
    <row r="499">
      <c r="A499" s="12">
        <f>IFERROR(__xludf.DUMMYFUNCTION("""COMPUTED_VALUE"""),42978.66666666667)</f>
        <v>42978.66667</v>
      </c>
      <c r="B499" s="13">
        <f>IFERROR(__xludf.DUMMYFUNCTION("""COMPUTED_VALUE"""),2471.65)</f>
        <v>2471.65</v>
      </c>
      <c r="C499" s="13">
        <f t="shared" si="1"/>
        <v>2450.83</v>
      </c>
      <c r="D499" s="13">
        <f t="shared" si="2"/>
        <v>2472.74</v>
      </c>
      <c r="E499" s="13" t="str">
        <f t="shared" si="3"/>
        <v/>
      </c>
      <c r="F499" s="3">
        <f t="shared" si="4"/>
        <v>0.005721051925</v>
      </c>
      <c r="G499" s="4">
        <f t="shared" si="5"/>
        <v>1.18865901</v>
      </c>
      <c r="H499" s="5">
        <f t="shared" si="6"/>
        <v>0</v>
      </c>
      <c r="I499" s="5">
        <f t="shared" si="7"/>
        <v>1.129056341</v>
      </c>
    </row>
    <row r="500">
      <c r="A500" s="12">
        <f>IFERROR(__xludf.DUMMYFUNCTION("""COMPUTED_VALUE"""),42979.66666666667)</f>
        <v>42979.66667</v>
      </c>
      <c r="B500" s="13">
        <f>IFERROR(__xludf.DUMMYFUNCTION("""COMPUTED_VALUE"""),2476.55)</f>
        <v>2476.55</v>
      </c>
      <c r="C500" s="13">
        <f t="shared" si="1"/>
        <v>2451.05</v>
      </c>
      <c r="D500" s="13">
        <f t="shared" si="2"/>
        <v>2475</v>
      </c>
      <c r="E500" s="13" t="str">
        <f t="shared" si="3"/>
        <v/>
      </c>
      <c r="F500" s="3">
        <f t="shared" si="4"/>
        <v>0.001982481338</v>
      </c>
      <c r="G500" s="4">
        <f t="shared" si="5"/>
        <v>1.191015505</v>
      </c>
      <c r="H500" s="5">
        <f t="shared" si="6"/>
        <v>0</v>
      </c>
      <c r="I500" s="5">
        <f t="shared" si="7"/>
        <v>1.129056341</v>
      </c>
    </row>
    <row r="501">
      <c r="A501" s="12">
        <f>IFERROR(__xludf.DUMMYFUNCTION("""COMPUTED_VALUE"""),42983.66666666667)</f>
        <v>42983.66667</v>
      </c>
      <c r="B501" s="13">
        <f>IFERROR(__xludf.DUMMYFUNCTION("""COMPUTED_VALUE"""),2457.85)</f>
        <v>2457.85</v>
      </c>
      <c r="C501" s="13">
        <f t="shared" si="1"/>
        <v>2443.11</v>
      </c>
      <c r="D501" s="13">
        <f t="shared" si="2"/>
        <v>2465.195</v>
      </c>
      <c r="E501" s="13" t="str">
        <f t="shared" si="3"/>
        <v/>
      </c>
      <c r="F501" s="3">
        <f t="shared" si="4"/>
        <v>-0.007550826755</v>
      </c>
      <c r="G501" s="4">
        <f t="shared" si="5"/>
        <v>1.182022353</v>
      </c>
      <c r="H501" s="5">
        <f t="shared" si="6"/>
        <v>0</v>
      </c>
      <c r="I501" s="5">
        <f t="shared" si="7"/>
        <v>1.129056341</v>
      </c>
    </row>
    <row r="502">
      <c r="A502" s="12">
        <f>IFERROR(__xludf.DUMMYFUNCTION("""COMPUTED_VALUE"""),42984.66666666667)</f>
        <v>42984.66667</v>
      </c>
      <c r="B502" s="13">
        <f>IFERROR(__xludf.DUMMYFUNCTION("""COMPUTED_VALUE"""),2465.54)</f>
        <v>2465.54</v>
      </c>
      <c r="C502" s="13">
        <f t="shared" si="1"/>
        <v>2459.025</v>
      </c>
      <c r="D502" s="13">
        <f t="shared" si="2"/>
        <v>2467.725</v>
      </c>
      <c r="E502" s="13" t="str">
        <f t="shared" si="3"/>
        <v/>
      </c>
      <c r="F502" s="3">
        <f t="shared" si="4"/>
        <v>0.003128750737</v>
      </c>
      <c r="G502" s="4">
        <f t="shared" si="5"/>
        <v>1.185720606</v>
      </c>
      <c r="H502" s="5">
        <f t="shared" si="6"/>
        <v>0</v>
      </c>
      <c r="I502" s="5">
        <f t="shared" si="7"/>
        <v>1.129056341</v>
      </c>
    </row>
    <row r="503">
      <c r="A503" s="12">
        <f>IFERROR(__xludf.DUMMYFUNCTION("""COMPUTED_VALUE"""),42985.66666666667)</f>
        <v>42985.66667</v>
      </c>
      <c r="B503" s="13">
        <f>IFERROR(__xludf.DUMMYFUNCTION("""COMPUTED_VALUE"""),2465.1)</f>
        <v>2465.1</v>
      </c>
      <c r="C503" s="13">
        <f t="shared" si="1"/>
        <v>2454.57</v>
      </c>
      <c r="D503" s="13">
        <f t="shared" si="2"/>
        <v>2471.115</v>
      </c>
      <c r="E503" s="13" t="str">
        <f t="shared" si="3"/>
        <v/>
      </c>
      <c r="F503" s="3">
        <f t="shared" si="4"/>
        <v>-0.0001784598911</v>
      </c>
      <c r="G503" s="4">
        <f t="shared" si="5"/>
        <v>1.185509003</v>
      </c>
      <c r="H503" s="5">
        <f t="shared" si="6"/>
        <v>0</v>
      </c>
      <c r="I503" s="5">
        <f t="shared" si="7"/>
        <v>1.129056341</v>
      </c>
    </row>
    <row r="504">
      <c r="A504" s="12">
        <f>IFERROR(__xludf.DUMMYFUNCTION("""COMPUTED_VALUE"""),42986.66666666667)</f>
        <v>42986.66667</v>
      </c>
      <c r="B504" s="13">
        <f>IFERROR(__xludf.DUMMYFUNCTION("""COMPUTED_VALUE"""),2461.43)</f>
        <v>2461.43</v>
      </c>
      <c r="C504" s="13">
        <f t="shared" si="1"/>
        <v>2450.2</v>
      </c>
      <c r="D504" s="13">
        <f t="shared" si="2"/>
        <v>2469.63</v>
      </c>
      <c r="E504" s="13" t="str">
        <f t="shared" si="3"/>
        <v/>
      </c>
      <c r="F504" s="3">
        <f t="shared" si="4"/>
        <v>-0.001488783416</v>
      </c>
      <c r="G504" s="4">
        <f t="shared" si="5"/>
        <v>1.183744037</v>
      </c>
      <c r="H504" s="5">
        <f t="shared" si="6"/>
        <v>0</v>
      </c>
      <c r="I504" s="5">
        <f t="shared" si="7"/>
        <v>1.129056341</v>
      </c>
    </row>
    <row r="505">
      <c r="A505" s="12">
        <f>IFERROR(__xludf.DUMMYFUNCTION("""COMPUTED_VALUE"""),42989.66666666667)</f>
        <v>42989.66667</v>
      </c>
      <c r="B505" s="13">
        <f>IFERROR(__xludf.DUMMYFUNCTION("""COMPUTED_VALUE"""),2488.11)</f>
        <v>2488.11</v>
      </c>
      <c r="C505" s="13">
        <f t="shared" si="1"/>
        <v>2465.58</v>
      </c>
      <c r="D505" s="13">
        <f t="shared" si="2"/>
        <v>2481.765</v>
      </c>
      <c r="E505" s="13" t="str">
        <f t="shared" si="3"/>
        <v/>
      </c>
      <c r="F505" s="3">
        <f t="shared" si="4"/>
        <v>0.0108392276</v>
      </c>
      <c r="G505" s="4">
        <f t="shared" si="5"/>
        <v>1.196574908</v>
      </c>
      <c r="H505" s="5">
        <f t="shared" si="6"/>
        <v>0</v>
      </c>
      <c r="I505" s="5">
        <f t="shared" si="7"/>
        <v>1.129056341</v>
      </c>
    </row>
    <row r="506">
      <c r="A506" s="12">
        <f>IFERROR(__xludf.DUMMYFUNCTION("""COMPUTED_VALUE"""),42990.66666666667)</f>
        <v>42990.66667</v>
      </c>
      <c r="B506" s="13">
        <f>IFERROR(__xludf.DUMMYFUNCTION("""COMPUTED_VALUE"""),2496.48)</f>
        <v>2496.48</v>
      </c>
      <c r="C506" s="13">
        <f t="shared" si="1"/>
        <v>2470.36</v>
      </c>
      <c r="D506" s="13">
        <f t="shared" si="2"/>
        <v>2484.29</v>
      </c>
      <c r="E506" s="13" t="str">
        <f t="shared" si="3"/>
        <v/>
      </c>
      <c r="F506" s="3">
        <f t="shared" si="4"/>
        <v>0.00336399918</v>
      </c>
      <c r="G506" s="4">
        <f t="shared" si="5"/>
        <v>1.200600185</v>
      </c>
      <c r="H506" s="5">
        <f t="shared" si="6"/>
        <v>0</v>
      </c>
      <c r="I506" s="5">
        <f t="shared" si="7"/>
        <v>1.129056341</v>
      </c>
    </row>
    <row r="507">
      <c r="A507" s="12">
        <f>IFERROR(__xludf.DUMMYFUNCTION("""COMPUTED_VALUE"""),42991.66666666667)</f>
        <v>42991.66667</v>
      </c>
      <c r="B507" s="13">
        <f>IFERROR(__xludf.DUMMYFUNCTION("""COMPUTED_VALUE"""),2498.37)</f>
        <v>2498.37</v>
      </c>
      <c r="C507" s="13">
        <f t="shared" si="1"/>
        <v>2472.335</v>
      </c>
      <c r="D507" s="13">
        <f t="shared" si="2"/>
        <v>2484.335</v>
      </c>
      <c r="E507" s="13" t="str">
        <f t="shared" si="3"/>
        <v/>
      </c>
      <c r="F507" s="3">
        <f t="shared" si="4"/>
        <v>0.0007570659489</v>
      </c>
      <c r="G507" s="4">
        <f t="shared" si="5"/>
        <v>1.201509118</v>
      </c>
      <c r="H507" s="5">
        <f t="shared" si="6"/>
        <v>0</v>
      </c>
      <c r="I507" s="5">
        <f t="shared" si="7"/>
        <v>1.129056341</v>
      </c>
    </row>
    <row r="508">
      <c r="A508" s="12">
        <f>IFERROR(__xludf.DUMMYFUNCTION("""COMPUTED_VALUE"""),42992.66666666667)</f>
        <v>42992.66667</v>
      </c>
      <c r="B508" s="13">
        <f>IFERROR(__xludf.DUMMYFUNCTION("""COMPUTED_VALUE"""),2495.62)</f>
        <v>2495.62</v>
      </c>
      <c r="C508" s="13">
        <f t="shared" si="1"/>
        <v>2476.605</v>
      </c>
      <c r="D508" s="13">
        <f t="shared" si="2"/>
        <v>2485.985</v>
      </c>
      <c r="E508" s="13" t="str">
        <f t="shared" si="3"/>
        <v/>
      </c>
      <c r="F508" s="3">
        <f t="shared" si="4"/>
        <v>-0.001100717668</v>
      </c>
      <c r="G508" s="4">
        <f t="shared" si="5"/>
        <v>1.200186596</v>
      </c>
      <c r="H508" s="5">
        <f t="shared" si="6"/>
        <v>0</v>
      </c>
      <c r="I508" s="5">
        <f t="shared" si="7"/>
        <v>1.129056341</v>
      </c>
    </row>
    <row r="509">
      <c r="A509" s="12">
        <f>IFERROR(__xludf.DUMMYFUNCTION("""COMPUTED_VALUE"""),42993.66666666667)</f>
        <v>42993.66667</v>
      </c>
      <c r="B509" s="13">
        <f>IFERROR(__xludf.DUMMYFUNCTION("""COMPUTED_VALUE"""),2500.23)</f>
        <v>2500.23</v>
      </c>
      <c r="C509" s="13">
        <f t="shared" si="1"/>
        <v>2485.94</v>
      </c>
      <c r="D509" s="13">
        <f t="shared" si="2"/>
        <v>2488.9</v>
      </c>
      <c r="E509" s="13" t="str">
        <f t="shared" si="3"/>
        <v/>
      </c>
      <c r="F509" s="3">
        <f t="shared" si="4"/>
        <v>0.001847236358</v>
      </c>
      <c r="G509" s="4">
        <f t="shared" si="5"/>
        <v>1.202403624</v>
      </c>
      <c r="H509" s="5">
        <f t="shared" si="6"/>
        <v>0</v>
      </c>
      <c r="I509" s="5">
        <f t="shared" si="7"/>
        <v>1.129056341</v>
      </c>
    </row>
    <row r="510">
      <c r="A510" s="12">
        <f>IFERROR(__xludf.DUMMYFUNCTION("""COMPUTED_VALUE"""),42996.66666666667)</f>
        <v>42996.66667</v>
      </c>
      <c r="B510" s="13">
        <f>IFERROR(__xludf.DUMMYFUNCTION("""COMPUTED_VALUE"""),2503.87)</f>
        <v>2503.87</v>
      </c>
      <c r="C510" s="13">
        <f t="shared" si="1"/>
        <v>2490.21</v>
      </c>
      <c r="D510" s="13">
        <f t="shared" si="2"/>
        <v>2488.015</v>
      </c>
      <c r="E510" s="13" t="str">
        <f t="shared" si="3"/>
        <v>LONG</v>
      </c>
      <c r="F510" s="3">
        <f t="shared" si="4"/>
        <v>0.00145586606</v>
      </c>
      <c r="G510" s="4">
        <f t="shared" si="5"/>
        <v>1.204154163</v>
      </c>
      <c r="H510" s="3">
        <f t="shared" si="6"/>
        <v>0.00145586606</v>
      </c>
      <c r="I510" s="5">
        <f t="shared" si="7"/>
        <v>1.130700096</v>
      </c>
    </row>
    <row r="511">
      <c r="A511" s="12">
        <f>IFERROR(__xludf.DUMMYFUNCTION("""COMPUTED_VALUE"""),42997.66666666667)</f>
        <v>42997.66667</v>
      </c>
      <c r="B511" s="13">
        <f>IFERROR(__xludf.DUMMYFUNCTION("""COMPUTED_VALUE"""),2506.65)</f>
        <v>2506.65</v>
      </c>
      <c r="C511" s="13">
        <f t="shared" si="1"/>
        <v>2482.25</v>
      </c>
      <c r="D511" s="13">
        <f t="shared" si="2"/>
        <v>2491.74</v>
      </c>
      <c r="E511" s="13" t="str">
        <f t="shared" si="3"/>
        <v/>
      </c>
      <c r="F511" s="3">
        <f t="shared" si="4"/>
        <v>0.001110281285</v>
      </c>
      <c r="G511" s="4">
        <f t="shared" si="5"/>
        <v>1.205491113</v>
      </c>
      <c r="H511" s="5">
        <f t="shared" si="6"/>
        <v>0</v>
      </c>
      <c r="I511" s="5">
        <f t="shared" si="7"/>
        <v>1.130700096</v>
      </c>
    </row>
    <row r="512">
      <c r="A512" s="12">
        <f>IFERROR(__xludf.DUMMYFUNCTION("""COMPUTED_VALUE"""),42998.66666666667)</f>
        <v>42998.66667</v>
      </c>
      <c r="B512" s="13">
        <f>IFERROR(__xludf.DUMMYFUNCTION("""COMPUTED_VALUE"""),2508.24)</f>
        <v>2508.24</v>
      </c>
      <c r="C512" s="13">
        <f t="shared" si="1"/>
        <v>2486.89</v>
      </c>
      <c r="D512" s="13">
        <f t="shared" si="2"/>
        <v>2494.575</v>
      </c>
      <c r="E512" s="13" t="str">
        <f t="shared" si="3"/>
        <v/>
      </c>
      <c r="F512" s="3">
        <f t="shared" si="4"/>
        <v>0.0006343127281</v>
      </c>
      <c r="G512" s="4">
        <f t="shared" si="5"/>
        <v>1.206255771</v>
      </c>
      <c r="H512" s="5">
        <f t="shared" si="6"/>
        <v>0</v>
      </c>
      <c r="I512" s="5">
        <f t="shared" si="7"/>
        <v>1.130700096</v>
      </c>
    </row>
    <row r="513">
      <c r="A513" s="12">
        <f>IFERROR(__xludf.DUMMYFUNCTION("""COMPUTED_VALUE"""),42999.66666666667)</f>
        <v>42999.66667</v>
      </c>
      <c r="B513" s="13">
        <f>IFERROR(__xludf.DUMMYFUNCTION("""COMPUTED_VALUE"""),2500.6)</f>
        <v>2500.6</v>
      </c>
      <c r="C513" s="13">
        <f t="shared" si="1"/>
        <v>2482.85</v>
      </c>
      <c r="D513" s="13">
        <f t="shared" si="2"/>
        <v>2487.76</v>
      </c>
      <c r="E513" s="13" t="str">
        <f t="shared" si="3"/>
        <v/>
      </c>
      <c r="F513" s="3">
        <f t="shared" si="4"/>
        <v>-0.003045960514</v>
      </c>
      <c r="G513" s="4">
        <f t="shared" si="5"/>
        <v>1.202581564</v>
      </c>
      <c r="H513" s="5">
        <f t="shared" si="6"/>
        <v>0</v>
      </c>
      <c r="I513" s="5">
        <f t="shared" si="7"/>
        <v>1.130700096</v>
      </c>
    </row>
    <row r="514">
      <c r="A514" s="12">
        <f>IFERROR(__xludf.DUMMYFUNCTION("""COMPUTED_VALUE"""),43000.66666666667)</f>
        <v>43000.66667</v>
      </c>
      <c r="B514" s="13">
        <f>IFERROR(__xludf.DUMMYFUNCTION("""COMPUTED_VALUE"""),2502.22)</f>
        <v>2502.22</v>
      </c>
      <c r="C514" s="13">
        <f t="shared" si="1"/>
        <v>2481.825</v>
      </c>
      <c r="D514" s="13">
        <f t="shared" si="2"/>
        <v>2488.12</v>
      </c>
      <c r="E514" s="13" t="str">
        <f t="shared" si="3"/>
        <v/>
      </c>
      <c r="F514" s="3">
        <f t="shared" si="4"/>
        <v>0.0006478445173</v>
      </c>
      <c r="G514" s="4">
        <f t="shared" si="5"/>
        <v>1.203360649</v>
      </c>
      <c r="H514" s="5">
        <f t="shared" si="6"/>
        <v>0</v>
      </c>
      <c r="I514" s="5">
        <f t="shared" si="7"/>
        <v>1.130700096</v>
      </c>
    </row>
    <row r="515">
      <c r="A515" s="12">
        <f>IFERROR(__xludf.DUMMYFUNCTION("""COMPUTED_VALUE"""),43003.66666666667)</f>
        <v>43003.66667</v>
      </c>
      <c r="B515" s="13">
        <f>IFERROR(__xludf.DUMMYFUNCTION("""COMPUTED_VALUE"""),2496.66)</f>
        <v>2496.66</v>
      </c>
      <c r="C515" s="13">
        <f t="shared" si="1"/>
        <v>2492.385</v>
      </c>
      <c r="D515" s="13">
        <f t="shared" si="2"/>
        <v>2467.435</v>
      </c>
      <c r="E515" s="13" t="str">
        <f t="shared" si="3"/>
        <v>LONG</v>
      </c>
      <c r="F515" s="3">
        <f t="shared" si="4"/>
        <v>-0.00222202684</v>
      </c>
      <c r="G515" s="4">
        <f t="shared" si="5"/>
        <v>1.20068675</v>
      </c>
      <c r="H515" s="3">
        <f t="shared" si="6"/>
        <v>-0.00222202684</v>
      </c>
      <c r="I515" s="5">
        <f t="shared" si="7"/>
        <v>1.12818765</v>
      </c>
    </row>
    <row r="516">
      <c r="A516" s="12">
        <f>IFERROR(__xludf.DUMMYFUNCTION("""COMPUTED_VALUE"""),43004.66666666667)</f>
        <v>43004.66667</v>
      </c>
      <c r="B516" s="13">
        <f>IFERROR(__xludf.DUMMYFUNCTION("""COMPUTED_VALUE"""),2496.84)</f>
        <v>2496.84</v>
      </c>
      <c r="C516" s="13">
        <f t="shared" si="1"/>
        <v>2496.66</v>
      </c>
      <c r="D516" s="13">
        <f t="shared" si="2"/>
        <v>2469.08</v>
      </c>
      <c r="E516" s="13" t="str">
        <f t="shared" si="3"/>
        <v>LONG</v>
      </c>
      <c r="F516" s="3">
        <f t="shared" si="4"/>
        <v>0.00007209632068</v>
      </c>
      <c r="G516" s="4">
        <f t="shared" si="5"/>
        <v>1.200773315</v>
      </c>
      <c r="H516" s="3">
        <f t="shared" si="6"/>
        <v>0.00007209632068</v>
      </c>
      <c r="I516" s="5">
        <f t="shared" si="7"/>
        <v>1.128268988</v>
      </c>
    </row>
    <row r="517">
      <c r="A517" s="12">
        <f>IFERROR(__xludf.DUMMYFUNCTION("""COMPUTED_VALUE"""),43005.66666666667)</f>
        <v>43005.66667</v>
      </c>
      <c r="B517" s="13">
        <f>IFERROR(__xludf.DUMMYFUNCTION("""COMPUTED_VALUE"""),2507.04)</f>
        <v>2507.04</v>
      </c>
      <c r="C517" s="13">
        <f t="shared" si="1"/>
        <v>2502.705</v>
      </c>
      <c r="D517" s="13">
        <f t="shared" si="2"/>
        <v>2486.44</v>
      </c>
      <c r="E517" s="13" t="str">
        <f t="shared" si="3"/>
        <v>LONG</v>
      </c>
      <c r="F517" s="3">
        <f t="shared" si="4"/>
        <v>0.004085163647</v>
      </c>
      <c r="G517" s="4">
        <f t="shared" si="5"/>
        <v>1.20567867</v>
      </c>
      <c r="H517" s="3">
        <f t="shared" si="6"/>
        <v>0.004085163647</v>
      </c>
      <c r="I517" s="5">
        <f t="shared" si="7"/>
        <v>1.132878152</v>
      </c>
    </row>
    <row r="518">
      <c r="A518" s="12">
        <f>IFERROR(__xludf.DUMMYFUNCTION("""COMPUTED_VALUE"""),43006.66666666667)</f>
        <v>43006.66667</v>
      </c>
      <c r="B518" s="13">
        <f>IFERROR(__xludf.DUMMYFUNCTION("""COMPUTED_VALUE"""),2510.06)</f>
        <v>2510.06</v>
      </c>
      <c r="C518" s="13">
        <f t="shared" si="1"/>
        <v>2502.84</v>
      </c>
      <c r="D518" s="13">
        <f t="shared" si="2"/>
        <v>2487.335</v>
      </c>
      <c r="E518" s="13" t="str">
        <f t="shared" si="3"/>
        <v>LONG</v>
      </c>
      <c r="F518" s="3">
        <f t="shared" si="4"/>
        <v>0.001204607824</v>
      </c>
      <c r="G518" s="4">
        <f t="shared" si="5"/>
        <v>1.20713104</v>
      </c>
      <c r="H518" s="3">
        <f t="shared" si="6"/>
        <v>0.001204607824</v>
      </c>
      <c r="I518" s="5">
        <f t="shared" si="7"/>
        <v>1.134242826</v>
      </c>
    </row>
    <row r="519">
      <c r="A519" s="12">
        <f>IFERROR(__xludf.DUMMYFUNCTION("""COMPUTED_VALUE"""),43007.66666666667)</f>
        <v>43007.66667</v>
      </c>
      <c r="B519" s="13">
        <f>IFERROR(__xludf.DUMMYFUNCTION("""COMPUTED_VALUE"""),2519.36)</f>
        <v>2519.36</v>
      </c>
      <c r="C519" s="13">
        <f t="shared" si="1"/>
        <v>2509.795</v>
      </c>
      <c r="D519" s="13">
        <f t="shared" si="2"/>
        <v>2493.735</v>
      </c>
      <c r="E519" s="13" t="str">
        <f t="shared" si="3"/>
        <v>LONG</v>
      </c>
      <c r="F519" s="3">
        <f t="shared" si="4"/>
        <v>0.003705090715</v>
      </c>
      <c r="G519" s="4">
        <f t="shared" si="5"/>
        <v>1.21160357</v>
      </c>
      <c r="H519" s="3">
        <f t="shared" si="6"/>
        <v>0.003705090715</v>
      </c>
      <c r="I519" s="5">
        <f t="shared" si="7"/>
        <v>1.138445298</v>
      </c>
    </row>
    <row r="520">
      <c r="A520" s="12">
        <f>IFERROR(__xludf.DUMMYFUNCTION("""COMPUTED_VALUE"""),43010.66666666667)</f>
        <v>43010.66667</v>
      </c>
      <c r="B520" s="13">
        <f>IFERROR(__xludf.DUMMYFUNCTION("""COMPUTED_VALUE"""),2529.12)</f>
        <v>2529.12</v>
      </c>
      <c r="C520" s="13">
        <f t="shared" si="1"/>
        <v>2516.495</v>
      </c>
      <c r="D520" s="13">
        <f t="shared" si="2"/>
        <v>2479.565</v>
      </c>
      <c r="E520" s="13" t="str">
        <f t="shared" si="3"/>
        <v>LONG</v>
      </c>
      <c r="F520" s="3">
        <f t="shared" si="4"/>
        <v>0.003873999746</v>
      </c>
      <c r="G520" s="4">
        <f t="shared" si="5"/>
        <v>1.216297322</v>
      </c>
      <c r="H520" s="3">
        <f t="shared" si="6"/>
        <v>0.003873999746</v>
      </c>
      <c r="I520" s="5">
        <f t="shared" si="7"/>
        <v>1.142855635</v>
      </c>
    </row>
    <row r="521">
      <c r="A521" s="12">
        <f>IFERROR(__xludf.DUMMYFUNCTION("""COMPUTED_VALUE"""),43011.66666666667)</f>
        <v>43011.66667</v>
      </c>
      <c r="B521" s="13">
        <f>IFERROR(__xludf.DUMMYFUNCTION("""COMPUTED_VALUE"""),2534.58)</f>
        <v>2534.58</v>
      </c>
      <c r="C521" s="13">
        <f t="shared" si="1"/>
        <v>2520.615</v>
      </c>
      <c r="D521" s="13">
        <f t="shared" si="2"/>
        <v>2480.065</v>
      </c>
      <c r="E521" s="13" t="str">
        <f t="shared" si="3"/>
        <v>LONG</v>
      </c>
      <c r="F521" s="3">
        <f t="shared" si="4"/>
        <v>0.002158853672</v>
      </c>
      <c r="G521" s="4">
        <f t="shared" si="5"/>
        <v>1.21892313</v>
      </c>
      <c r="H521" s="3">
        <f t="shared" si="6"/>
        <v>0.002158853672</v>
      </c>
      <c r="I521" s="5">
        <f t="shared" si="7"/>
        <v>1.145322893</v>
      </c>
    </row>
    <row r="522">
      <c r="A522" s="12">
        <f>IFERROR(__xludf.DUMMYFUNCTION("""COMPUTED_VALUE"""),43012.66666666667)</f>
        <v>43012.66667</v>
      </c>
      <c r="B522" s="13">
        <f>IFERROR(__xludf.DUMMYFUNCTION("""COMPUTED_VALUE"""),2537.74)</f>
        <v>2537.74</v>
      </c>
      <c r="C522" s="13">
        <f t="shared" si="1"/>
        <v>2522.99</v>
      </c>
      <c r="D522" s="13">
        <f t="shared" si="2"/>
        <v>2483.055</v>
      </c>
      <c r="E522" s="13" t="str">
        <f t="shared" si="3"/>
        <v>LONG</v>
      </c>
      <c r="F522" s="3">
        <f t="shared" si="4"/>
        <v>0.001246754886</v>
      </c>
      <c r="G522" s="4">
        <f t="shared" si="5"/>
        <v>1.220442829</v>
      </c>
      <c r="H522" s="3">
        <f t="shared" si="6"/>
        <v>0.001246754886</v>
      </c>
      <c r="I522" s="5">
        <f t="shared" si="7"/>
        <v>1.14675083</v>
      </c>
    </row>
    <row r="523">
      <c r="A523" s="12">
        <f>IFERROR(__xludf.DUMMYFUNCTION("""COMPUTED_VALUE"""),43013.66666666667)</f>
        <v>43013.66667</v>
      </c>
      <c r="B523" s="13">
        <f>IFERROR(__xludf.DUMMYFUNCTION("""COMPUTED_VALUE"""),2552.07)</f>
        <v>2552.07</v>
      </c>
      <c r="C523" s="13">
        <f t="shared" si="1"/>
        <v>2526.335</v>
      </c>
      <c r="D523" s="13">
        <f t="shared" si="2"/>
        <v>2502.29</v>
      </c>
      <c r="E523" s="13" t="str">
        <f t="shared" si="3"/>
        <v>LONG</v>
      </c>
      <c r="F523" s="3">
        <f t="shared" si="4"/>
        <v>0.005646756563</v>
      </c>
      <c r="G523" s="4">
        <f t="shared" si="5"/>
        <v>1.227334372</v>
      </c>
      <c r="H523" s="3">
        <f t="shared" si="6"/>
        <v>0.005646756563</v>
      </c>
      <c r="I523" s="5">
        <f t="shared" si="7"/>
        <v>1.153226253</v>
      </c>
    </row>
    <row r="524">
      <c r="A524" s="12">
        <f>IFERROR(__xludf.DUMMYFUNCTION("""COMPUTED_VALUE"""),43014.66666666667)</f>
        <v>43014.66667</v>
      </c>
      <c r="B524" s="13">
        <f>IFERROR(__xludf.DUMMYFUNCTION("""COMPUTED_VALUE"""),2549.33)</f>
        <v>2549.33</v>
      </c>
      <c r="C524" s="13">
        <f t="shared" si="1"/>
        <v>2525.775</v>
      </c>
      <c r="D524" s="13">
        <f t="shared" si="2"/>
        <v>2496.685</v>
      </c>
      <c r="E524" s="13" t="str">
        <f t="shared" si="3"/>
        <v>LONG</v>
      </c>
      <c r="F524" s="3">
        <f t="shared" si="4"/>
        <v>-0.001073638262</v>
      </c>
      <c r="G524" s="4">
        <f t="shared" si="5"/>
        <v>1.226016659</v>
      </c>
      <c r="H524" s="3">
        <f t="shared" si="6"/>
        <v>-0.001073638262</v>
      </c>
      <c r="I524" s="5">
        <f t="shared" si="7"/>
        <v>1.151988105</v>
      </c>
    </row>
    <row r="525">
      <c r="A525" s="12">
        <f>IFERROR(__xludf.DUMMYFUNCTION("""COMPUTED_VALUE"""),43017.66666666667)</f>
        <v>43017.66667</v>
      </c>
      <c r="B525" s="13">
        <f>IFERROR(__xludf.DUMMYFUNCTION("""COMPUTED_VALUE"""),2544.73)</f>
        <v>2544.73</v>
      </c>
      <c r="C525" s="13">
        <f t="shared" si="1"/>
        <v>2520.695</v>
      </c>
      <c r="D525" s="13">
        <f t="shared" si="2"/>
        <v>2491.85</v>
      </c>
      <c r="E525" s="13" t="str">
        <f t="shared" si="3"/>
        <v>LONG</v>
      </c>
      <c r="F525" s="3">
        <f t="shared" si="4"/>
        <v>-0.001804395665</v>
      </c>
      <c r="G525" s="4">
        <f t="shared" si="5"/>
        <v>1.22380444</v>
      </c>
      <c r="H525" s="3">
        <f t="shared" si="6"/>
        <v>-0.001804395665</v>
      </c>
      <c r="I525" s="5">
        <f t="shared" si="7"/>
        <v>1.149909462</v>
      </c>
    </row>
    <row r="526">
      <c r="A526" s="12">
        <f>IFERROR(__xludf.DUMMYFUNCTION("""COMPUTED_VALUE"""),43018.66666666667)</f>
        <v>43018.66667</v>
      </c>
      <c r="B526" s="13">
        <f>IFERROR(__xludf.DUMMYFUNCTION("""COMPUTED_VALUE"""),2550.64)</f>
        <v>2550.64</v>
      </c>
      <c r="C526" s="13">
        <f t="shared" si="1"/>
        <v>2523.74</v>
      </c>
      <c r="D526" s="13">
        <f t="shared" si="2"/>
        <v>2496.845</v>
      </c>
      <c r="E526" s="13" t="str">
        <f t="shared" si="3"/>
        <v>LONG</v>
      </c>
      <c r="F526" s="3">
        <f t="shared" si="4"/>
        <v>0.002322446782</v>
      </c>
      <c r="G526" s="4">
        <f t="shared" si="5"/>
        <v>1.226646661</v>
      </c>
      <c r="H526" s="3">
        <f t="shared" si="6"/>
        <v>0.002322446782</v>
      </c>
      <c r="I526" s="5">
        <f t="shared" si="7"/>
        <v>1.152580066</v>
      </c>
    </row>
    <row r="527">
      <c r="A527" s="12">
        <f>IFERROR(__xludf.DUMMYFUNCTION("""COMPUTED_VALUE"""),43019.66666666667)</f>
        <v>43019.66667</v>
      </c>
      <c r="B527" s="13">
        <f>IFERROR(__xludf.DUMMYFUNCTION("""COMPUTED_VALUE"""),2555.24)</f>
        <v>2555.24</v>
      </c>
      <c r="C527" s="13">
        <f t="shared" si="1"/>
        <v>2531.14</v>
      </c>
      <c r="D527" s="13">
        <f t="shared" si="2"/>
        <v>2499.74</v>
      </c>
      <c r="E527" s="13" t="str">
        <f t="shared" si="3"/>
        <v>LONG</v>
      </c>
      <c r="F527" s="3">
        <f t="shared" si="4"/>
        <v>0.001803468933</v>
      </c>
      <c r="G527" s="4">
        <f t="shared" si="5"/>
        <v>1.22885888</v>
      </c>
      <c r="H527" s="3">
        <f t="shared" si="6"/>
        <v>0.001803468933</v>
      </c>
      <c r="I527" s="5">
        <f t="shared" si="7"/>
        <v>1.154658708</v>
      </c>
    </row>
    <row r="528">
      <c r="A528" s="12">
        <f>IFERROR(__xludf.DUMMYFUNCTION("""COMPUTED_VALUE"""),43020.66666666667)</f>
        <v>43020.66667</v>
      </c>
      <c r="B528" s="13">
        <f>IFERROR(__xludf.DUMMYFUNCTION("""COMPUTED_VALUE"""),2550.93)</f>
        <v>2550.93</v>
      </c>
      <c r="C528" s="13">
        <f t="shared" si="1"/>
        <v>2530.495</v>
      </c>
      <c r="D528" s="13">
        <f t="shared" si="2"/>
        <v>2498.615</v>
      </c>
      <c r="E528" s="13" t="str">
        <f t="shared" si="3"/>
        <v>LONG</v>
      </c>
      <c r="F528" s="3">
        <f t="shared" si="4"/>
        <v>-0.001686730014</v>
      </c>
      <c r="G528" s="4">
        <f t="shared" si="5"/>
        <v>1.226786127</v>
      </c>
      <c r="H528" s="3">
        <f t="shared" si="6"/>
        <v>-0.001686730014</v>
      </c>
      <c r="I528" s="5">
        <f t="shared" si="7"/>
        <v>1.152711111</v>
      </c>
    </row>
    <row r="529">
      <c r="A529" s="12">
        <f>IFERROR(__xludf.DUMMYFUNCTION("""COMPUTED_VALUE"""),43021.66666666667)</f>
        <v>43021.66667</v>
      </c>
      <c r="B529" s="13">
        <f>IFERROR(__xludf.DUMMYFUNCTION("""COMPUTED_VALUE"""),2553.17)</f>
        <v>2553.17</v>
      </c>
      <c r="C529" s="13">
        <f t="shared" si="1"/>
        <v>2536.265</v>
      </c>
      <c r="D529" s="13">
        <f t="shared" si="2"/>
        <v>2505.38</v>
      </c>
      <c r="E529" s="13" t="str">
        <f t="shared" si="3"/>
        <v>LONG</v>
      </c>
      <c r="F529" s="3">
        <f t="shared" si="4"/>
        <v>0.0008781111203</v>
      </c>
      <c r="G529" s="4">
        <f t="shared" si="5"/>
        <v>1.227863381</v>
      </c>
      <c r="H529" s="3">
        <f t="shared" si="6"/>
        <v>0.0008781111203</v>
      </c>
      <c r="I529" s="5">
        <f t="shared" si="7"/>
        <v>1.153723319</v>
      </c>
    </row>
    <row r="530">
      <c r="A530" s="12">
        <f>IFERROR(__xludf.DUMMYFUNCTION("""COMPUTED_VALUE"""),43024.66666666667)</f>
        <v>43024.66667</v>
      </c>
      <c r="B530" s="13">
        <f>IFERROR(__xludf.DUMMYFUNCTION("""COMPUTED_VALUE"""),2557.64)</f>
        <v>2557.64</v>
      </c>
      <c r="C530" s="13">
        <f t="shared" si="1"/>
        <v>2543.38</v>
      </c>
      <c r="D530" s="13">
        <f t="shared" si="2"/>
        <v>2514.645</v>
      </c>
      <c r="E530" s="13" t="str">
        <f t="shared" si="3"/>
        <v>LONG</v>
      </c>
      <c r="F530" s="3">
        <f t="shared" si="4"/>
        <v>0.001750764736</v>
      </c>
      <c r="G530" s="4">
        <f t="shared" si="5"/>
        <v>1.230013081</v>
      </c>
      <c r="H530" s="3">
        <f t="shared" si="6"/>
        <v>0.001750764736</v>
      </c>
      <c r="I530" s="5">
        <f t="shared" si="7"/>
        <v>1.155743217</v>
      </c>
    </row>
    <row r="531">
      <c r="A531" s="12">
        <f>IFERROR(__xludf.DUMMYFUNCTION("""COMPUTED_VALUE"""),43025.66666666667)</f>
        <v>43025.66667</v>
      </c>
      <c r="B531" s="13">
        <f>IFERROR(__xludf.DUMMYFUNCTION("""COMPUTED_VALUE"""),2559.36)</f>
        <v>2559.36</v>
      </c>
      <c r="C531" s="13">
        <f t="shared" si="1"/>
        <v>2546.97</v>
      </c>
      <c r="D531" s="13">
        <f t="shared" si="2"/>
        <v>2517.955</v>
      </c>
      <c r="E531" s="13" t="str">
        <f t="shared" si="3"/>
        <v>LONG</v>
      </c>
      <c r="F531" s="3">
        <f t="shared" si="4"/>
        <v>0.0006724949563</v>
      </c>
      <c r="G531" s="4">
        <f t="shared" si="5"/>
        <v>1.230840259</v>
      </c>
      <c r="H531" s="3">
        <f t="shared" si="6"/>
        <v>0.0006724949563</v>
      </c>
      <c r="I531" s="5">
        <f t="shared" si="7"/>
        <v>1.156520449</v>
      </c>
    </row>
    <row r="532">
      <c r="A532" s="12">
        <f>IFERROR(__xludf.DUMMYFUNCTION("""COMPUTED_VALUE"""),43026.66666666667)</f>
        <v>43026.66667</v>
      </c>
      <c r="B532" s="13">
        <f>IFERROR(__xludf.DUMMYFUNCTION("""COMPUTED_VALUE"""),2561.26)</f>
        <v>2561.26</v>
      </c>
      <c r="C532" s="13">
        <f t="shared" si="1"/>
        <v>2549.5</v>
      </c>
      <c r="D532" s="13">
        <f t="shared" si="2"/>
        <v>2509.555</v>
      </c>
      <c r="E532" s="13" t="str">
        <f t="shared" si="3"/>
        <v>LONG</v>
      </c>
      <c r="F532" s="3">
        <f t="shared" si="4"/>
        <v>0.0007423730933</v>
      </c>
      <c r="G532" s="4">
        <f t="shared" si="5"/>
        <v>1.231754001</v>
      </c>
      <c r="H532" s="3">
        <f t="shared" si="6"/>
        <v>0.0007423730933</v>
      </c>
      <c r="I532" s="5">
        <f t="shared" si="7"/>
        <v>1.157379019</v>
      </c>
    </row>
    <row r="533">
      <c r="A533" s="12">
        <f>IFERROR(__xludf.DUMMYFUNCTION("""COMPUTED_VALUE"""),43027.66666666667)</f>
        <v>43027.66667</v>
      </c>
      <c r="B533" s="13">
        <f>IFERROR(__xludf.DUMMYFUNCTION("""COMPUTED_VALUE"""),2562.1)</f>
        <v>2562.1</v>
      </c>
      <c r="C533" s="13">
        <f t="shared" si="1"/>
        <v>2557.085</v>
      </c>
      <c r="D533" s="13">
        <f t="shared" si="2"/>
        <v>2513.82</v>
      </c>
      <c r="E533" s="13" t="str">
        <f t="shared" si="3"/>
        <v>LONG</v>
      </c>
      <c r="F533" s="3">
        <f t="shared" si="4"/>
        <v>0.0003279635804</v>
      </c>
      <c r="G533" s="4">
        <f t="shared" si="5"/>
        <v>1.232157972</v>
      </c>
      <c r="H533" s="3">
        <f t="shared" si="6"/>
        <v>0.0003279635804</v>
      </c>
      <c r="I533" s="5">
        <f t="shared" si="7"/>
        <v>1.157758597</v>
      </c>
    </row>
    <row r="534">
      <c r="A534" s="12">
        <f>IFERROR(__xludf.DUMMYFUNCTION("""COMPUTED_VALUE"""),43028.66666666667)</f>
        <v>43028.66667</v>
      </c>
      <c r="B534" s="13">
        <f>IFERROR(__xludf.DUMMYFUNCTION("""COMPUTED_VALUE"""),2575.21)</f>
        <v>2575.21</v>
      </c>
      <c r="C534" s="13">
        <f t="shared" si="1"/>
        <v>2562.27</v>
      </c>
      <c r="D534" s="13">
        <f t="shared" si="2"/>
        <v>2520.155</v>
      </c>
      <c r="E534" s="13" t="str">
        <f t="shared" si="3"/>
        <v>LONG</v>
      </c>
      <c r="F534" s="3">
        <f t="shared" si="4"/>
        <v>0.005116896296</v>
      </c>
      <c r="G534" s="4">
        <f t="shared" si="5"/>
        <v>1.238462796</v>
      </c>
      <c r="H534" s="3">
        <f t="shared" si="6"/>
        <v>0.005116896296</v>
      </c>
      <c r="I534" s="5">
        <f t="shared" si="7"/>
        <v>1.163682727</v>
      </c>
    </row>
    <row r="535">
      <c r="A535" s="12">
        <f>IFERROR(__xludf.DUMMYFUNCTION("""COMPUTED_VALUE"""),43031.66666666667)</f>
        <v>43031.66667</v>
      </c>
      <c r="B535" s="13">
        <f>IFERROR(__xludf.DUMMYFUNCTION("""COMPUTED_VALUE"""),2564.98)</f>
        <v>2564.98</v>
      </c>
      <c r="C535" s="13">
        <f t="shared" si="1"/>
        <v>2554.855</v>
      </c>
      <c r="D535" s="13">
        <f t="shared" si="2"/>
        <v>2513.205</v>
      </c>
      <c r="E535" s="13" t="str">
        <f t="shared" si="3"/>
        <v>LONG</v>
      </c>
      <c r="F535" s="3">
        <f t="shared" si="4"/>
        <v>-0.003972491564</v>
      </c>
      <c r="G535" s="4">
        <f t="shared" si="5"/>
        <v>1.233543013</v>
      </c>
      <c r="H535" s="3">
        <f t="shared" si="6"/>
        <v>-0.003972491564</v>
      </c>
      <c r="I535" s="5">
        <f t="shared" si="7"/>
        <v>1.159060008</v>
      </c>
    </row>
    <row r="536">
      <c r="A536" s="12">
        <f>IFERROR(__xludf.DUMMYFUNCTION("""COMPUTED_VALUE"""),43032.66666666667)</f>
        <v>43032.66667</v>
      </c>
      <c r="B536" s="13">
        <f>IFERROR(__xludf.DUMMYFUNCTION("""COMPUTED_VALUE"""),2569.13)</f>
        <v>2569.13</v>
      </c>
      <c r="C536" s="13">
        <f t="shared" si="1"/>
        <v>2559.885</v>
      </c>
      <c r="D536" s="13">
        <f t="shared" si="2"/>
        <v>2528.62</v>
      </c>
      <c r="E536" s="13" t="str">
        <f t="shared" si="3"/>
        <v>LONG</v>
      </c>
      <c r="F536" s="3">
        <f t="shared" si="4"/>
        <v>0.001617946339</v>
      </c>
      <c r="G536" s="4">
        <f t="shared" si="5"/>
        <v>1.23553882</v>
      </c>
      <c r="H536" s="3">
        <f t="shared" si="6"/>
        <v>0.001617946339</v>
      </c>
      <c r="I536" s="5">
        <f t="shared" si="7"/>
        <v>1.160935304</v>
      </c>
    </row>
    <row r="537">
      <c r="A537" s="12">
        <f>IFERROR(__xludf.DUMMYFUNCTION("""COMPUTED_VALUE"""),43033.66666666667)</f>
        <v>43033.66667</v>
      </c>
      <c r="B537" s="13">
        <f>IFERROR(__xludf.DUMMYFUNCTION("""COMPUTED_VALUE"""),2557.15)</f>
        <v>2557.15</v>
      </c>
      <c r="C537" s="13">
        <f t="shared" si="1"/>
        <v>2556.195</v>
      </c>
      <c r="D537" s="13">
        <f t="shared" si="2"/>
        <v>2526.815</v>
      </c>
      <c r="E537" s="13" t="str">
        <f t="shared" si="3"/>
        <v>LONG</v>
      </c>
      <c r="F537" s="3">
        <f t="shared" si="4"/>
        <v>-0.004663057144</v>
      </c>
      <c r="G537" s="4">
        <f t="shared" si="5"/>
        <v>1.229777432</v>
      </c>
      <c r="H537" s="3">
        <f t="shared" si="6"/>
        <v>-0.004663057144</v>
      </c>
      <c r="I537" s="5">
        <f t="shared" si="7"/>
        <v>1.155521797</v>
      </c>
    </row>
    <row r="538">
      <c r="A538" s="12">
        <f>IFERROR(__xludf.DUMMYFUNCTION("""COMPUTED_VALUE"""),43034.66666666667)</f>
        <v>43034.66667</v>
      </c>
      <c r="B538" s="13">
        <f>IFERROR(__xludf.DUMMYFUNCTION("""COMPUTED_VALUE"""),2560.4)</f>
        <v>2560.4</v>
      </c>
      <c r="C538" s="13">
        <f t="shared" si="1"/>
        <v>2555.665</v>
      </c>
      <c r="D538" s="13">
        <f t="shared" si="2"/>
        <v>2529.385</v>
      </c>
      <c r="E538" s="13" t="str">
        <f t="shared" si="3"/>
        <v>LONG</v>
      </c>
      <c r="F538" s="3">
        <f t="shared" si="4"/>
        <v>0.001270946171</v>
      </c>
      <c r="G538" s="4">
        <f t="shared" si="5"/>
        <v>1.231340412</v>
      </c>
      <c r="H538" s="3">
        <f t="shared" si="6"/>
        <v>0.001270946171</v>
      </c>
      <c r="I538" s="5">
        <f t="shared" si="7"/>
        <v>1.156990403</v>
      </c>
    </row>
    <row r="539">
      <c r="A539" s="12">
        <f>IFERROR(__xludf.DUMMYFUNCTION("""COMPUTED_VALUE"""),43035.66666666667)</f>
        <v>43035.66667</v>
      </c>
      <c r="B539" s="13">
        <f>IFERROR(__xludf.DUMMYFUNCTION("""COMPUTED_VALUE"""),2581.07)</f>
        <v>2581.07</v>
      </c>
      <c r="C539" s="13">
        <f t="shared" si="1"/>
        <v>2567.12</v>
      </c>
      <c r="D539" s="13">
        <f t="shared" si="2"/>
        <v>2538.345</v>
      </c>
      <c r="E539" s="13" t="str">
        <f t="shared" si="3"/>
        <v>LONG</v>
      </c>
      <c r="F539" s="3">
        <f t="shared" si="4"/>
        <v>0.00807295735</v>
      </c>
      <c r="G539" s="4">
        <f t="shared" si="5"/>
        <v>1.241280971</v>
      </c>
      <c r="H539" s="3">
        <f t="shared" si="6"/>
        <v>0.00807295735</v>
      </c>
      <c r="I539" s="5">
        <f t="shared" si="7"/>
        <v>1.166330737</v>
      </c>
    </row>
    <row r="540">
      <c r="A540" s="12">
        <f>IFERROR(__xludf.DUMMYFUNCTION("""COMPUTED_VALUE"""),43038.66666666667)</f>
        <v>43038.66667</v>
      </c>
      <c r="B540" s="13">
        <f>IFERROR(__xludf.DUMMYFUNCTION("""COMPUTED_VALUE"""),2572.83)</f>
        <v>2572.83</v>
      </c>
      <c r="C540" s="13">
        <f t="shared" si="1"/>
        <v>2565.235</v>
      </c>
      <c r="D540" s="13">
        <f t="shared" si="2"/>
        <v>2536.53</v>
      </c>
      <c r="E540" s="13" t="str">
        <f t="shared" si="3"/>
        <v>LONG</v>
      </c>
      <c r="F540" s="3">
        <f t="shared" si="4"/>
        <v>-0.003192474439</v>
      </c>
      <c r="G540" s="4">
        <f t="shared" si="5"/>
        <v>1.237318213</v>
      </c>
      <c r="H540" s="3">
        <f t="shared" si="6"/>
        <v>-0.003192474439</v>
      </c>
      <c r="I540" s="5">
        <f t="shared" si="7"/>
        <v>1.162607256</v>
      </c>
    </row>
    <row r="541">
      <c r="A541" s="12">
        <f>IFERROR(__xludf.DUMMYFUNCTION("""COMPUTED_VALUE"""),43039.66666666667)</f>
        <v>43039.66667</v>
      </c>
      <c r="B541" s="13">
        <f>IFERROR(__xludf.DUMMYFUNCTION("""COMPUTED_VALUE"""),2575.26)</f>
        <v>2575.26</v>
      </c>
      <c r="C541" s="13">
        <f t="shared" si="1"/>
        <v>2567.31</v>
      </c>
      <c r="D541" s="13">
        <f t="shared" si="2"/>
        <v>2539.565</v>
      </c>
      <c r="E541" s="13" t="str">
        <f t="shared" si="3"/>
        <v>LONG</v>
      </c>
      <c r="F541" s="3">
        <f t="shared" si="4"/>
        <v>0.0009444852555</v>
      </c>
      <c r="G541" s="4">
        <f t="shared" si="5"/>
        <v>1.238486842</v>
      </c>
      <c r="H541" s="3">
        <f t="shared" si="6"/>
        <v>0.0009444852555</v>
      </c>
      <c r="I541" s="5">
        <f t="shared" si="7"/>
        <v>1.163705321</v>
      </c>
    </row>
    <row r="542">
      <c r="A542" s="12">
        <f>IFERROR(__xludf.DUMMYFUNCTION("""COMPUTED_VALUE"""),43040.66666666667)</f>
        <v>43040.66667</v>
      </c>
      <c r="B542" s="13">
        <f>IFERROR(__xludf.DUMMYFUNCTION("""COMPUTED_VALUE"""),2579.36)</f>
        <v>2579.36</v>
      </c>
      <c r="C542" s="13">
        <f t="shared" si="1"/>
        <v>2570.31</v>
      </c>
      <c r="D542" s="13">
        <f t="shared" si="2"/>
        <v>2543.005</v>
      </c>
      <c r="E542" s="13" t="str">
        <f t="shared" si="3"/>
        <v>LONG</v>
      </c>
      <c r="F542" s="3">
        <f t="shared" si="4"/>
        <v>0.001592072257</v>
      </c>
      <c r="G542" s="4">
        <f t="shared" si="5"/>
        <v>1.240458603</v>
      </c>
      <c r="H542" s="3">
        <f t="shared" si="6"/>
        <v>0.001592072257</v>
      </c>
      <c r="I542" s="5">
        <f t="shared" si="7"/>
        <v>1.165558024</v>
      </c>
    </row>
    <row r="543">
      <c r="A543" s="12">
        <f>IFERROR(__xludf.DUMMYFUNCTION("""COMPUTED_VALUE"""),43041.66666666667)</f>
        <v>43041.66667</v>
      </c>
      <c r="B543" s="13">
        <f>IFERROR(__xludf.DUMMYFUNCTION("""COMPUTED_VALUE"""),2579.85)</f>
        <v>2579.85</v>
      </c>
      <c r="C543" s="13">
        <f t="shared" si="1"/>
        <v>2570.975</v>
      </c>
      <c r="D543" s="13">
        <f t="shared" si="2"/>
        <v>2544.045</v>
      </c>
      <c r="E543" s="13" t="str">
        <f t="shared" si="3"/>
        <v>LONG</v>
      </c>
      <c r="F543" s="3">
        <f t="shared" si="4"/>
        <v>0.0001899696049</v>
      </c>
      <c r="G543" s="4">
        <f t="shared" si="5"/>
        <v>1.240694252</v>
      </c>
      <c r="H543" s="3">
        <f t="shared" si="6"/>
        <v>0.0001899696049</v>
      </c>
      <c r="I543" s="5">
        <f t="shared" si="7"/>
        <v>1.165779445</v>
      </c>
    </row>
    <row r="544">
      <c r="A544" s="12">
        <f>IFERROR(__xludf.DUMMYFUNCTION("""COMPUTED_VALUE"""),43042.66666666667)</f>
        <v>43042.66667</v>
      </c>
      <c r="B544" s="13">
        <f>IFERROR(__xludf.DUMMYFUNCTION("""COMPUTED_VALUE"""),2587.84)</f>
        <v>2587.84</v>
      </c>
      <c r="C544" s="13">
        <f t="shared" si="1"/>
        <v>2581.525</v>
      </c>
      <c r="D544" s="13">
        <f t="shared" si="2"/>
        <v>2544.22</v>
      </c>
      <c r="E544" s="13" t="str">
        <f t="shared" si="3"/>
        <v>LONG</v>
      </c>
      <c r="F544" s="3">
        <f t="shared" si="4"/>
        <v>0.003097079288</v>
      </c>
      <c r="G544" s="4">
        <f t="shared" si="5"/>
        <v>1.244536781</v>
      </c>
      <c r="H544" s="3">
        <f t="shared" si="6"/>
        <v>0.003097079288</v>
      </c>
      <c r="I544" s="5">
        <f t="shared" si="7"/>
        <v>1.169389956</v>
      </c>
    </row>
    <row r="545">
      <c r="A545" s="12">
        <f>IFERROR(__xludf.DUMMYFUNCTION("""COMPUTED_VALUE"""),43045.66666666667)</f>
        <v>43045.66667</v>
      </c>
      <c r="B545" s="13">
        <f>IFERROR(__xludf.DUMMYFUNCTION("""COMPUTED_VALUE"""),2591.13)</f>
        <v>2591.13</v>
      </c>
      <c r="C545" s="13">
        <f t="shared" si="1"/>
        <v>2578.055</v>
      </c>
      <c r="D545" s="13">
        <f t="shared" si="2"/>
        <v>2546.675</v>
      </c>
      <c r="E545" s="13" t="str">
        <f t="shared" si="3"/>
        <v>LONG</v>
      </c>
      <c r="F545" s="3">
        <f t="shared" si="4"/>
        <v>0.00127133053</v>
      </c>
      <c r="G545" s="4">
        <f t="shared" si="5"/>
        <v>1.246118998</v>
      </c>
      <c r="H545" s="3">
        <f t="shared" si="6"/>
        <v>0.00127133053</v>
      </c>
      <c r="I545" s="5">
        <f t="shared" si="7"/>
        <v>1.170876637</v>
      </c>
    </row>
    <row r="546">
      <c r="A546" s="12">
        <f>IFERROR(__xludf.DUMMYFUNCTION("""COMPUTED_VALUE"""),43046.66666666667)</f>
        <v>43046.66667</v>
      </c>
      <c r="B546" s="13">
        <f>IFERROR(__xludf.DUMMYFUNCTION("""COMPUTED_VALUE"""),2590.64)</f>
        <v>2590.64</v>
      </c>
      <c r="C546" s="13">
        <f t="shared" si="1"/>
        <v>2579.885</v>
      </c>
      <c r="D546" s="13">
        <f t="shared" si="2"/>
        <v>2543.65</v>
      </c>
      <c r="E546" s="13" t="str">
        <f t="shared" si="3"/>
        <v>LONG</v>
      </c>
      <c r="F546" s="3">
        <f t="shared" si="4"/>
        <v>-0.0001891066832</v>
      </c>
      <c r="G546" s="4">
        <f t="shared" si="5"/>
        <v>1.245883349</v>
      </c>
      <c r="H546" s="3">
        <f t="shared" si="6"/>
        <v>-0.0001891066832</v>
      </c>
      <c r="I546" s="5">
        <f t="shared" si="7"/>
        <v>1.170655217</v>
      </c>
    </row>
    <row r="547">
      <c r="A547" s="12">
        <f>IFERROR(__xludf.DUMMYFUNCTION("""COMPUTED_VALUE"""),43047.66666666667)</f>
        <v>43047.66667</v>
      </c>
      <c r="B547" s="13">
        <f>IFERROR(__xludf.DUMMYFUNCTION("""COMPUTED_VALUE"""),2594.38)</f>
        <v>2594.38</v>
      </c>
      <c r="C547" s="13">
        <f t="shared" si="1"/>
        <v>2575.765</v>
      </c>
      <c r="D547" s="13">
        <f t="shared" si="2"/>
        <v>2545.61</v>
      </c>
      <c r="E547" s="13" t="str">
        <f t="shared" si="3"/>
        <v>LONG</v>
      </c>
      <c r="F547" s="3">
        <f t="shared" si="4"/>
        <v>0.00144365871</v>
      </c>
      <c r="G547" s="4">
        <f t="shared" si="5"/>
        <v>1.247681979</v>
      </c>
      <c r="H547" s="3">
        <f t="shared" si="6"/>
        <v>0.00144365871</v>
      </c>
      <c r="I547" s="5">
        <f t="shared" si="7"/>
        <v>1.172345243</v>
      </c>
    </row>
    <row r="548">
      <c r="A548" s="12">
        <f>IFERROR(__xludf.DUMMYFUNCTION("""COMPUTED_VALUE"""),43048.66666666667)</f>
        <v>43048.66667</v>
      </c>
      <c r="B548" s="13">
        <f>IFERROR(__xludf.DUMMYFUNCTION("""COMPUTED_VALUE"""),2584.62)</f>
        <v>2584.62</v>
      </c>
      <c r="C548" s="13">
        <f t="shared" si="1"/>
        <v>2572.51</v>
      </c>
      <c r="D548" s="13">
        <f t="shared" si="2"/>
        <v>2545.83</v>
      </c>
      <c r="E548" s="13" t="str">
        <f t="shared" si="3"/>
        <v>LONG</v>
      </c>
      <c r="F548" s="3">
        <f t="shared" si="4"/>
        <v>-0.003761977814</v>
      </c>
      <c r="G548" s="4">
        <f t="shared" si="5"/>
        <v>1.242988227</v>
      </c>
      <c r="H548" s="3">
        <f t="shared" si="6"/>
        <v>-0.003761977814</v>
      </c>
      <c r="I548" s="5">
        <f t="shared" si="7"/>
        <v>1.167934907</v>
      </c>
    </row>
    <row r="549">
      <c r="A549" s="12">
        <f>IFERROR(__xludf.DUMMYFUNCTION("""COMPUTED_VALUE"""),43049.66666666667)</f>
        <v>43049.66667</v>
      </c>
      <c r="B549" s="13">
        <f>IFERROR(__xludf.DUMMYFUNCTION("""COMPUTED_VALUE"""),2582.3)</f>
        <v>2582.3</v>
      </c>
      <c r="C549" s="13">
        <f t="shared" si="1"/>
        <v>2581.685</v>
      </c>
      <c r="D549" s="13">
        <f t="shared" si="2"/>
        <v>2546.18</v>
      </c>
      <c r="E549" s="13" t="str">
        <f t="shared" si="3"/>
        <v>LONG</v>
      </c>
      <c r="F549" s="3">
        <f t="shared" si="4"/>
        <v>-0.0008976174447</v>
      </c>
      <c r="G549" s="4">
        <f t="shared" si="5"/>
        <v>1.241872499</v>
      </c>
      <c r="H549" s="3">
        <f t="shared" si="6"/>
        <v>-0.0008976174447</v>
      </c>
      <c r="I549" s="5">
        <f t="shared" si="7"/>
        <v>1.166886548</v>
      </c>
    </row>
    <row r="550">
      <c r="A550" s="12">
        <f>IFERROR(__xludf.DUMMYFUNCTION("""COMPUTED_VALUE"""),43052.66666666667)</f>
        <v>43052.66667</v>
      </c>
      <c r="B550" s="13">
        <f>IFERROR(__xludf.DUMMYFUNCTION("""COMPUTED_VALUE"""),2584.84)</f>
        <v>2584.84</v>
      </c>
      <c r="C550" s="13">
        <f t="shared" si="1"/>
        <v>2578.835</v>
      </c>
      <c r="D550" s="13">
        <f t="shared" si="2"/>
        <v>2552.1</v>
      </c>
      <c r="E550" s="13" t="str">
        <f t="shared" si="3"/>
        <v>LONG</v>
      </c>
      <c r="F550" s="3">
        <f t="shared" si="4"/>
        <v>0.0009836192542</v>
      </c>
      <c r="G550" s="4">
        <f t="shared" si="5"/>
        <v>1.243094029</v>
      </c>
      <c r="H550" s="3">
        <f t="shared" si="6"/>
        <v>0.0009836192542</v>
      </c>
      <c r="I550" s="5">
        <f t="shared" si="7"/>
        <v>1.16803432</v>
      </c>
    </row>
    <row r="551">
      <c r="A551" s="12">
        <f>IFERROR(__xludf.DUMMYFUNCTION("""COMPUTED_VALUE"""),43053.66666666667)</f>
        <v>43053.66667</v>
      </c>
      <c r="B551" s="13">
        <f>IFERROR(__xludf.DUMMYFUNCTION("""COMPUTED_VALUE"""),2578.87)</f>
        <v>2578.87</v>
      </c>
      <c r="C551" s="13">
        <f t="shared" si="1"/>
        <v>2577.065</v>
      </c>
      <c r="D551" s="13">
        <f t="shared" si="2"/>
        <v>2553.995</v>
      </c>
      <c r="E551" s="13" t="str">
        <f t="shared" si="3"/>
        <v>LONG</v>
      </c>
      <c r="F551" s="3">
        <f t="shared" si="4"/>
        <v>-0.002309620712</v>
      </c>
      <c r="G551" s="4">
        <f t="shared" si="5"/>
        <v>1.240222953</v>
      </c>
      <c r="H551" s="3">
        <f t="shared" si="6"/>
        <v>-0.002309620712</v>
      </c>
      <c r="I551" s="5">
        <f t="shared" si="7"/>
        <v>1.165336604</v>
      </c>
    </row>
    <row r="552">
      <c r="A552" s="12">
        <f>IFERROR(__xludf.DUMMYFUNCTION("""COMPUTED_VALUE"""),43054.66666666667)</f>
        <v>43054.66667</v>
      </c>
      <c r="B552" s="13">
        <f>IFERROR(__xludf.DUMMYFUNCTION("""COMPUTED_VALUE"""),2564.62)</f>
        <v>2564.62</v>
      </c>
      <c r="C552" s="13">
        <f t="shared" si="1"/>
        <v>2571.99</v>
      </c>
      <c r="D552" s="13">
        <f t="shared" si="2"/>
        <v>2549.6</v>
      </c>
      <c r="E552" s="13" t="str">
        <f t="shared" si="3"/>
        <v>LONG</v>
      </c>
      <c r="F552" s="3">
        <f t="shared" si="4"/>
        <v>-0.005525675974</v>
      </c>
      <c r="G552" s="4">
        <f t="shared" si="5"/>
        <v>1.233369883</v>
      </c>
      <c r="H552" s="3">
        <f t="shared" si="6"/>
        <v>-0.005525675974</v>
      </c>
      <c r="I552" s="5">
        <f t="shared" si="7"/>
        <v>1.158897331</v>
      </c>
    </row>
    <row r="553">
      <c r="A553" s="12">
        <f>IFERROR(__xludf.DUMMYFUNCTION("""COMPUTED_VALUE"""),43055.66666666667)</f>
        <v>43055.66667</v>
      </c>
      <c r="B553" s="13">
        <f>IFERROR(__xludf.DUMMYFUNCTION("""COMPUTED_VALUE"""),2585.64)</f>
        <v>2585.64</v>
      </c>
      <c r="C553" s="13">
        <f t="shared" si="1"/>
        <v>2582.745</v>
      </c>
      <c r="D553" s="13">
        <f t="shared" si="2"/>
        <v>2561.69</v>
      </c>
      <c r="E553" s="13" t="str">
        <f t="shared" si="3"/>
        <v>LONG</v>
      </c>
      <c r="F553" s="3">
        <f t="shared" si="4"/>
        <v>0.008196146018</v>
      </c>
      <c r="G553" s="4">
        <f t="shared" si="5"/>
        <v>1.243478763</v>
      </c>
      <c r="H553" s="3">
        <f t="shared" si="6"/>
        <v>0.008196146018</v>
      </c>
      <c r="I553" s="5">
        <f t="shared" si="7"/>
        <v>1.168395823</v>
      </c>
    </row>
    <row r="554">
      <c r="A554" s="12">
        <f>IFERROR(__xludf.DUMMYFUNCTION("""COMPUTED_VALUE"""),43056.66666666667)</f>
        <v>43056.66667</v>
      </c>
      <c r="B554" s="13">
        <f>IFERROR(__xludf.DUMMYFUNCTION("""COMPUTED_VALUE"""),2578.85)</f>
        <v>2578.85</v>
      </c>
      <c r="C554" s="13">
        <f t="shared" si="1"/>
        <v>2583.345</v>
      </c>
      <c r="D554" s="13">
        <f t="shared" si="2"/>
        <v>2565.46</v>
      </c>
      <c r="E554" s="13" t="str">
        <f t="shared" si="3"/>
        <v>LONG</v>
      </c>
      <c r="F554" s="3">
        <f t="shared" si="4"/>
        <v>-0.002626042295</v>
      </c>
      <c r="G554" s="4">
        <f t="shared" si="5"/>
        <v>1.240213335</v>
      </c>
      <c r="H554" s="3">
        <f t="shared" si="6"/>
        <v>-0.002626042295</v>
      </c>
      <c r="I554" s="5">
        <f t="shared" si="7"/>
        <v>1.165327566</v>
      </c>
    </row>
    <row r="555">
      <c r="A555" s="12">
        <f>IFERROR(__xludf.DUMMYFUNCTION("""COMPUTED_VALUE"""),43059.66666666667)</f>
        <v>43059.66667</v>
      </c>
      <c r="B555" s="13">
        <f>IFERROR(__xludf.DUMMYFUNCTION("""COMPUTED_VALUE"""),2582.14)</f>
        <v>2582.14</v>
      </c>
      <c r="C555" s="13">
        <f t="shared" si="1"/>
        <v>2586.635</v>
      </c>
      <c r="D555" s="13">
        <f t="shared" si="2"/>
        <v>2565.735</v>
      </c>
      <c r="E555" s="13" t="str">
        <f t="shared" si="3"/>
        <v>LONG</v>
      </c>
      <c r="F555" s="3">
        <f t="shared" si="4"/>
        <v>0.001275762452</v>
      </c>
      <c r="G555" s="4">
        <f t="shared" si="5"/>
        <v>1.241795552</v>
      </c>
      <c r="H555" s="3">
        <f t="shared" si="6"/>
        <v>0.001275762452</v>
      </c>
      <c r="I555" s="5">
        <f t="shared" si="7"/>
        <v>1.166814247</v>
      </c>
    </row>
    <row r="556">
      <c r="A556" s="12">
        <f>IFERROR(__xludf.DUMMYFUNCTION("""COMPUTED_VALUE"""),43060.66666666667)</f>
        <v>43060.66667</v>
      </c>
      <c r="B556" s="13">
        <f>IFERROR(__xludf.DUMMYFUNCTION("""COMPUTED_VALUE"""),2599.03)</f>
        <v>2599.03</v>
      </c>
      <c r="C556" s="13">
        <f t="shared" si="1"/>
        <v>2594.835</v>
      </c>
      <c r="D556" s="13">
        <f t="shared" si="2"/>
        <v>2571.88</v>
      </c>
      <c r="E556" s="13" t="str">
        <f t="shared" si="3"/>
        <v>LONG</v>
      </c>
      <c r="F556" s="3">
        <f t="shared" si="4"/>
        <v>0.006541086076</v>
      </c>
      <c r="G556" s="4">
        <f t="shared" si="5"/>
        <v>1.249918244</v>
      </c>
      <c r="H556" s="3">
        <f t="shared" si="6"/>
        <v>0.006541086076</v>
      </c>
      <c r="I556" s="5">
        <f t="shared" si="7"/>
        <v>1.17444648</v>
      </c>
    </row>
    <row r="557">
      <c r="A557" s="12">
        <f>IFERROR(__xludf.DUMMYFUNCTION("""COMPUTED_VALUE"""),43061.66666666667)</f>
        <v>43061.66667</v>
      </c>
      <c r="B557" s="13">
        <f>IFERROR(__xludf.DUMMYFUNCTION("""COMPUTED_VALUE"""),2597.08)</f>
        <v>2597.08</v>
      </c>
      <c r="C557" s="13">
        <f t="shared" si="1"/>
        <v>2595.73</v>
      </c>
      <c r="D557" s="13">
        <f t="shared" si="2"/>
        <v>2573.86</v>
      </c>
      <c r="E557" s="13" t="str">
        <f t="shared" si="3"/>
        <v>LONG</v>
      </c>
      <c r="F557" s="3">
        <f t="shared" si="4"/>
        <v>-0.0007502799121</v>
      </c>
      <c r="G557" s="4">
        <f t="shared" si="5"/>
        <v>1.248980456</v>
      </c>
      <c r="H557" s="3">
        <f t="shared" si="6"/>
        <v>-0.0007502799121</v>
      </c>
      <c r="I557" s="5">
        <f t="shared" si="7"/>
        <v>1.173565316</v>
      </c>
    </row>
    <row r="558">
      <c r="A558" s="12">
        <f>IFERROR(__xludf.DUMMYFUNCTION("""COMPUTED_VALUE"""),43063.54166666667)</f>
        <v>43063.54167</v>
      </c>
      <c r="B558" s="13">
        <f>IFERROR(__xludf.DUMMYFUNCTION("""COMPUTED_VALUE"""),2602.42)</f>
        <v>2602.42</v>
      </c>
      <c r="C558" s="13">
        <f t="shared" si="1"/>
        <v>2593.52</v>
      </c>
      <c r="D558" s="13">
        <f t="shared" si="2"/>
        <v>2578.83</v>
      </c>
      <c r="E558" s="13" t="str">
        <f t="shared" si="3"/>
        <v>LONG</v>
      </c>
      <c r="F558" s="3">
        <f t="shared" si="4"/>
        <v>0.002056155374</v>
      </c>
      <c r="G558" s="4">
        <f t="shared" si="5"/>
        <v>1.251548553</v>
      </c>
      <c r="H558" s="3">
        <f t="shared" si="6"/>
        <v>0.002056155374</v>
      </c>
      <c r="I558" s="5">
        <f t="shared" si="7"/>
        <v>1.175978349</v>
      </c>
    </row>
    <row r="559">
      <c r="A559" s="12">
        <f>IFERROR(__xludf.DUMMYFUNCTION("""COMPUTED_VALUE"""),43066.66666666667)</f>
        <v>43066.66667</v>
      </c>
      <c r="B559" s="13">
        <f>IFERROR(__xludf.DUMMYFUNCTION("""COMPUTED_VALUE"""),2601.42)</f>
        <v>2601.42</v>
      </c>
      <c r="C559" s="13">
        <f t="shared" si="1"/>
        <v>2591.86</v>
      </c>
      <c r="D559" s="13">
        <f t="shared" si="2"/>
        <v>2576.175</v>
      </c>
      <c r="E559" s="13" t="str">
        <f t="shared" si="3"/>
        <v>LONG</v>
      </c>
      <c r="F559" s="3">
        <f t="shared" si="4"/>
        <v>-0.0003842577293</v>
      </c>
      <c r="G559" s="4">
        <f t="shared" si="5"/>
        <v>1.251067636</v>
      </c>
      <c r="H559" s="3">
        <f t="shared" si="6"/>
        <v>-0.0003842577293</v>
      </c>
      <c r="I559" s="5">
        <f t="shared" si="7"/>
        <v>1.17552647</v>
      </c>
    </row>
    <row r="560">
      <c r="A560" s="12">
        <f>IFERROR(__xludf.DUMMYFUNCTION("""COMPUTED_VALUE"""),43067.66666666667)</f>
        <v>43067.66667</v>
      </c>
      <c r="B560" s="13">
        <f>IFERROR(__xludf.DUMMYFUNCTION("""COMPUTED_VALUE"""),2627.04)</f>
        <v>2627.04</v>
      </c>
      <c r="C560" s="13">
        <f t="shared" si="1"/>
        <v>2605.94</v>
      </c>
      <c r="D560" s="13">
        <f t="shared" si="2"/>
        <v>2590.105</v>
      </c>
      <c r="E560" s="13" t="str">
        <f t="shared" si="3"/>
        <v>LONG</v>
      </c>
      <c r="F560" s="3">
        <f t="shared" si="4"/>
        <v>0.009848467376</v>
      </c>
      <c r="G560" s="4">
        <f t="shared" si="5"/>
        <v>1.263388735</v>
      </c>
      <c r="H560" s="3">
        <f t="shared" si="6"/>
        <v>0.009848467376</v>
      </c>
      <c r="I560" s="5">
        <f t="shared" si="7"/>
        <v>1.187103604</v>
      </c>
    </row>
    <row r="561">
      <c r="A561" s="12">
        <f>IFERROR(__xludf.DUMMYFUNCTION("""COMPUTED_VALUE"""),43068.66666666667)</f>
        <v>43068.66667</v>
      </c>
      <c r="B561" s="13">
        <f>IFERROR(__xludf.DUMMYFUNCTION("""COMPUTED_VALUE"""),2626.07)</f>
        <v>2626.07</v>
      </c>
      <c r="C561" s="13">
        <f t="shared" si="1"/>
        <v>2602.47</v>
      </c>
      <c r="D561" s="13">
        <f t="shared" si="2"/>
        <v>2591.855</v>
      </c>
      <c r="E561" s="13" t="str">
        <f t="shared" si="3"/>
        <v>LONG</v>
      </c>
      <c r="F561" s="3">
        <f t="shared" si="4"/>
        <v>-0.0003692368597</v>
      </c>
      <c r="G561" s="4">
        <f t="shared" si="5"/>
        <v>1.262922245</v>
      </c>
      <c r="H561" s="3">
        <f t="shared" si="6"/>
        <v>-0.0003692368597</v>
      </c>
      <c r="I561" s="5">
        <f t="shared" si="7"/>
        <v>1.186665282</v>
      </c>
    </row>
    <row r="562">
      <c r="A562" s="12">
        <f>IFERROR(__xludf.DUMMYFUNCTION("""COMPUTED_VALUE"""),43069.66666666667)</f>
        <v>43069.66667</v>
      </c>
      <c r="B562" s="13">
        <f>IFERROR(__xludf.DUMMYFUNCTION("""COMPUTED_VALUE"""),2647.58)</f>
        <v>2647.58</v>
      </c>
      <c r="C562" s="13">
        <f t="shared" si="1"/>
        <v>2606.1</v>
      </c>
      <c r="D562" s="13">
        <f t="shared" si="2"/>
        <v>2603.47</v>
      </c>
      <c r="E562" s="13" t="str">
        <f t="shared" si="3"/>
        <v>LONG</v>
      </c>
      <c r="F562" s="3">
        <f t="shared" si="4"/>
        <v>0.008190946928</v>
      </c>
      <c r="G562" s="4">
        <f t="shared" si="5"/>
        <v>1.273266774</v>
      </c>
      <c r="H562" s="3">
        <f t="shared" si="6"/>
        <v>0.008190946928</v>
      </c>
      <c r="I562" s="5">
        <f t="shared" si="7"/>
        <v>1.196385194</v>
      </c>
    </row>
    <row r="563">
      <c r="A563" s="12">
        <f>IFERROR(__xludf.DUMMYFUNCTION("""COMPUTED_VALUE"""),43070.66666666667)</f>
        <v>43070.66667</v>
      </c>
      <c r="B563" s="13">
        <f>IFERROR(__xludf.DUMMYFUNCTION("""COMPUTED_VALUE"""),2642.22)</f>
        <v>2642.22</v>
      </c>
      <c r="C563" s="13">
        <f t="shared" si="1"/>
        <v>2613.93</v>
      </c>
      <c r="D563" s="13">
        <f t="shared" si="2"/>
        <v>2601.74</v>
      </c>
      <c r="E563" s="13" t="str">
        <f t="shared" si="3"/>
        <v>LONG</v>
      </c>
      <c r="F563" s="3">
        <f t="shared" si="4"/>
        <v>-0.002024490289</v>
      </c>
      <c r="G563" s="4">
        <f t="shared" si="5"/>
        <v>1.270689058</v>
      </c>
      <c r="H563" s="3">
        <f t="shared" si="6"/>
        <v>-0.002024490289</v>
      </c>
      <c r="I563" s="5">
        <f t="shared" si="7"/>
        <v>1.193963124</v>
      </c>
    </row>
    <row r="564">
      <c r="A564" s="12">
        <f>IFERROR(__xludf.DUMMYFUNCTION("""COMPUTED_VALUE"""),43073.66666666667)</f>
        <v>43073.66667</v>
      </c>
      <c r="B564" s="13">
        <f>IFERROR(__xludf.DUMMYFUNCTION("""COMPUTED_VALUE"""),2639.44)</f>
        <v>2639.44</v>
      </c>
      <c r="C564" s="13">
        <f t="shared" si="1"/>
        <v>2609.145</v>
      </c>
      <c r="D564" s="13">
        <f t="shared" si="2"/>
        <v>2600.77</v>
      </c>
      <c r="E564" s="13" t="str">
        <f t="shared" si="3"/>
        <v>LONG</v>
      </c>
      <c r="F564" s="3">
        <f t="shared" si="4"/>
        <v>-0.001052145544</v>
      </c>
      <c r="G564" s="4">
        <f t="shared" si="5"/>
        <v>1.269352108</v>
      </c>
      <c r="H564" s="3">
        <f t="shared" si="6"/>
        <v>-0.001052145544</v>
      </c>
      <c r="I564" s="5">
        <f t="shared" si="7"/>
        <v>1.192706901</v>
      </c>
    </row>
    <row r="565">
      <c r="A565" s="12">
        <f>IFERROR(__xludf.DUMMYFUNCTION("""COMPUTED_VALUE"""),43074.66666666667)</f>
        <v>43074.66667</v>
      </c>
      <c r="B565" s="13">
        <f>IFERROR(__xludf.DUMMYFUNCTION("""COMPUTED_VALUE"""),2629.57)</f>
        <v>2629.57</v>
      </c>
      <c r="C565" s="13">
        <f t="shared" si="1"/>
        <v>2605.855</v>
      </c>
      <c r="D565" s="13">
        <f t="shared" si="2"/>
        <v>2602.39</v>
      </c>
      <c r="E565" s="13" t="str">
        <f t="shared" si="3"/>
        <v>LONG</v>
      </c>
      <c r="F565" s="3">
        <f t="shared" si="4"/>
        <v>-0.003739429576</v>
      </c>
      <c r="G565" s="4">
        <f t="shared" si="5"/>
        <v>1.264605456</v>
      </c>
      <c r="H565" s="3">
        <f t="shared" si="6"/>
        <v>-0.003739429576</v>
      </c>
      <c r="I565" s="5">
        <f t="shared" si="7"/>
        <v>1.188246857</v>
      </c>
    </row>
    <row r="566">
      <c r="A566" s="12">
        <f>IFERROR(__xludf.DUMMYFUNCTION("""COMPUTED_VALUE"""),43075.66666666667)</f>
        <v>43075.66667</v>
      </c>
      <c r="B566" s="13">
        <f>IFERROR(__xludf.DUMMYFUNCTION("""COMPUTED_VALUE"""),2629.27)</f>
        <v>2629.27</v>
      </c>
      <c r="C566" s="13">
        <f t="shared" si="1"/>
        <v>2614.15</v>
      </c>
      <c r="D566" s="13">
        <f t="shared" si="2"/>
        <v>2597.125</v>
      </c>
      <c r="E566" s="13" t="str">
        <f t="shared" si="3"/>
        <v>LONG</v>
      </c>
      <c r="F566" s="3">
        <f t="shared" si="4"/>
        <v>-0.0001140870941</v>
      </c>
      <c r="G566" s="4">
        <f t="shared" si="5"/>
        <v>1.26446118</v>
      </c>
      <c r="H566" s="3">
        <f t="shared" si="6"/>
        <v>-0.0001140870941</v>
      </c>
      <c r="I566" s="5">
        <f t="shared" si="7"/>
        <v>1.188111294</v>
      </c>
    </row>
    <row r="567">
      <c r="A567" s="12">
        <f>IFERROR(__xludf.DUMMYFUNCTION("""COMPUTED_VALUE"""),43076.66666666667)</f>
        <v>43076.66667</v>
      </c>
      <c r="B567" s="13">
        <f>IFERROR(__xludf.DUMMYFUNCTION("""COMPUTED_VALUE"""),2636.98)</f>
        <v>2636.98</v>
      </c>
      <c r="C567" s="13">
        <f t="shared" si="1"/>
        <v>2617.03</v>
      </c>
      <c r="D567" s="13">
        <f t="shared" si="2"/>
        <v>2603.055</v>
      </c>
      <c r="E567" s="13" t="str">
        <f t="shared" si="3"/>
        <v>LONG</v>
      </c>
      <c r="F567" s="3">
        <f t="shared" si="4"/>
        <v>0.002932372864</v>
      </c>
      <c r="G567" s="4">
        <f t="shared" si="5"/>
        <v>1.268169052</v>
      </c>
      <c r="H567" s="3">
        <f t="shared" si="6"/>
        <v>0.002932372864</v>
      </c>
      <c r="I567" s="5">
        <f t="shared" si="7"/>
        <v>1.191595279</v>
      </c>
    </row>
    <row r="568">
      <c r="A568" s="12">
        <f>IFERROR(__xludf.DUMMYFUNCTION("""COMPUTED_VALUE"""),43077.66666666667)</f>
        <v>43077.66667</v>
      </c>
      <c r="B568" s="13">
        <f>IFERROR(__xludf.DUMMYFUNCTION("""COMPUTED_VALUE"""),2651.5)</f>
        <v>2651.5</v>
      </c>
      <c r="C568" s="13">
        <f t="shared" si="1"/>
        <v>2626.96</v>
      </c>
      <c r="D568" s="13">
        <f t="shared" si="2"/>
        <v>2604.325</v>
      </c>
      <c r="E568" s="13" t="str">
        <f t="shared" si="3"/>
        <v>LONG</v>
      </c>
      <c r="F568" s="3">
        <f t="shared" si="4"/>
        <v>0.005506298872</v>
      </c>
      <c r="G568" s="4">
        <f t="shared" si="5"/>
        <v>1.27515197</v>
      </c>
      <c r="H568" s="3">
        <f t="shared" si="6"/>
        <v>0.005506298872</v>
      </c>
      <c r="I568" s="5">
        <f t="shared" si="7"/>
        <v>1.198156559</v>
      </c>
    </row>
    <row r="569">
      <c r="A569" s="12">
        <f>IFERROR(__xludf.DUMMYFUNCTION("""COMPUTED_VALUE"""),43080.66666666667)</f>
        <v>43080.66667</v>
      </c>
      <c r="B569" s="13">
        <f>IFERROR(__xludf.DUMMYFUNCTION("""COMPUTED_VALUE"""),2659.99)</f>
        <v>2659.99</v>
      </c>
      <c r="C569" s="13">
        <f t="shared" si="1"/>
        <v>2630.705</v>
      </c>
      <c r="D569" s="13">
        <f t="shared" si="2"/>
        <v>2610.195</v>
      </c>
      <c r="E569" s="13" t="str">
        <f t="shared" si="3"/>
        <v>LONG</v>
      </c>
      <c r="F569" s="3">
        <f t="shared" si="4"/>
        <v>0.003201961154</v>
      </c>
      <c r="G569" s="4">
        <f t="shared" si="5"/>
        <v>1.279234957</v>
      </c>
      <c r="H569" s="3">
        <f t="shared" si="6"/>
        <v>0.003201961154</v>
      </c>
      <c r="I569" s="5">
        <f t="shared" si="7"/>
        <v>1.20199301</v>
      </c>
    </row>
    <row r="570">
      <c r="A570" s="12">
        <f>IFERROR(__xludf.DUMMYFUNCTION("""COMPUTED_VALUE"""),43081.66666666667)</f>
        <v>43081.66667</v>
      </c>
      <c r="B570" s="13">
        <f>IFERROR(__xludf.DUMMYFUNCTION("""COMPUTED_VALUE"""),2664.11)</f>
        <v>2664.11</v>
      </c>
      <c r="C570" s="13">
        <f t="shared" si="1"/>
        <v>2645.575</v>
      </c>
      <c r="D570" s="13">
        <f t="shared" si="2"/>
        <v>2622.59</v>
      </c>
      <c r="E570" s="13" t="str">
        <f t="shared" si="3"/>
        <v>LONG</v>
      </c>
      <c r="F570" s="3">
        <f t="shared" si="4"/>
        <v>0.001548878003</v>
      </c>
      <c r="G570" s="4">
        <f t="shared" si="5"/>
        <v>1.281216336</v>
      </c>
      <c r="H570" s="3">
        <f t="shared" si="6"/>
        <v>0.001548878003</v>
      </c>
      <c r="I570" s="5">
        <f t="shared" si="7"/>
        <v>1.20385475</v>
      </c>
    </row>
    <row r="571">
      <c r="A571" s="12">
        <f>IFERROR(__xludf.DUMMYFUNCTION("""COMPUTED_VALUE"""),43082.66666666667)</f>
        <v>43082.66667</v>
      </c>
      <c r="B571" s="13">
        <f>IFERROR(__xludf.DUMMYFUNCTION("""COMPUTED_VALUE"""),2662.85)</f>
        <v>2662.85</v>
      </c>
      <c r="C571" s="13">
        <f t="shared" si="1"/>
        <v>2644.46</v>
      </c>
      <c r="D571" s="13">
        <f t="shared" si="2"/>
        <v>2617.84</v>
      </c>
      <c r="E571" s="13" t="str">
        <f t="shared" si="3"/>
        <v>LONG</v>
      </c>
      <c r="F571" s="3">
        <f t="shared" si="4"/>
        <v>-0.0004729534441</v>
      </c>
      <c r="G571" s="4">
        <f t="shared" si="5"/>
        <v>1.28061038</v>
      </c>
      <c r="H571" s="3">
        <f t="shared" si="6"/>
        <v>-0.0004729534441</v>
      </c>
      <c r="I571" s="5">
        <f t="shared" si="7"/>
        <v>1.203285383</v>
      </c>
    </row>
    <row r="572">
      <c r="A572" s="12">
        <f>IFERROR(__xludf.DUMMYFUNCTION("""COMPUTED_VALUE"""),43083.66666666667)</f>
        <v>43083.66667</v>
      </c>
      <c r="B572" s="13">
        <f>IFERROR(__xludf.DUMMYFUNCTION("""COMPUTED_VALUE"""),2652.01)</f>
        <v>2652.01</v>
      </c>
      <c r="C572" s="13">
        <f t="shared" si="1"/>
        <v>2649.795</v>
      </c>
      <c r="D572" s="13">
        <f t="shared" si="2"/>
        <v>2613.635</v>
      </c>
      <c r="E572" s="13" t="str">
        <f t="shared" si="3"/>
        <v>LONG</v>
      </c>
      <c r="F572" s="3">
        <f t="shared" si="4"/>
        <v>-0.00407082637</v>
      </c>
      <c r="G572" s="4">
        <f t="shared" si="5"/>
        <v>1.275397238</v>
      </c>
      <c r="H572" s="3">
        <f t="shared" si="6"/>
        <v>-0.00407082637</v>
      </c>
      <c r="I572" s="5">
        <f t="shared" si="7"/>
        <v>1.198387017</v>
      </c>
    </row>
    <row r="573">
      <c r="A573" s="12">
        <f>IFERROR(__xludf.DUMMYFUNCTION("""COMPUTED_VALUE"""),43084.66666666667)</f>
        <v>43084.66667</v>
      </c>
      <c r="B573" s="13">
        <f>IFERROR(__xludf.DUMMYFUNCTION("""COMPUTED_VALUE"""),2675.81)</f>
        <v>2675.81</v>
      </c>
      <c r="C573" s="13">
        <f t="shared" si="1"/>
        <v>2659.015</v>
      </c>
      <c r="D573" s="13">
        <f t="shared" si="2"/>
        <v>2627.585</v>
      </c>
      <c r="E573" s="13" t="str">
        <f t="shared" si="3"/>
        <v>LONG</v>
      </c>
      <c r="F573" s="3">
        <f t="shared" si="4"/>
        <v>0.008974325135</v>
      </c>
      <c r="G573" s="4">
        <f t="shared" si="5"/>
        <v>1.286843067</v>
      </c>
      <c r="H573" s="3">
        <f t="shared" si="6"/>
        <v>0.008974325135</v>
      </c>
      <c r="I573" s="5">
        <f t="shared" si="7"/>
        <v>1.209141732</v>
      </c>
    </row>
    <row r="574">
      <c r="A574" s="12">
        <f>IFERROR(__xludf.DUMMYFUNCTION("""COMPUTED_VALUE"""),43087.66666666667)</f>
        <v>43087.66667</v>
      </c>
      <c r="B574" s="13">
        <f>IFERROR(__xludf.DUMMYFUNCTION("""COMPUTED_VALUE"""),2690.16)</f>
        <v>2690.16</v>
      </c>
      <c r="C574" s="13">
        <f t="shared" si="1"/>
        <v>2664.8</v>
      </c>
      <c r="D574" s="13">
        <f t="shared" si="2"/>
        <v>2635.005</v>
      </c>
      <c r="E574" s="13" t="str">
        <f t="shared" si="3"/>
        <v>LONG</v>
      </c>
      <c r="F574" s="3">
        <f t="shared" si="4"/>
        <v>0.005362862087</v>
      </c>
      <c r="G574" s="4">
        <f t="shared" si="5"/>
        <v>1.293744229</v>
      </c>
      <c r="H574" s="3">
        <f t="shared" si="6"/>
        <v>0.005362862087</v>
      </c>
      <c r="I574" s="5">
        <f t="shared" si="7"/>
        <v>1.215626192</v>
      </c>
    </row>
    <row r="575">
      <c r="A575" s="12">
        <f>IFERROR(__xludf.DUMMYFUNCTION("""COMPUTED_VALUE"""),43088.66666666667)</f>
        <v>43088.66667</v>
      </c>
      <c r="B575" s="13">
        <f>IFERROR(__xludf.DUMMYFUNCTION("""COMPUTED_VALUE"""),2681.47)</f>
        <v>2681.47</v>
      </c>
      <c r="C575" s="13">
        <f t="shared" si="1"/>
        <v>2655.52</v>
      </c>
      <c r="D575" s="13">
        <f t="shared" si="2"/>
        <v>2634.655</v>
      </c>
      <c r="E575" s="13" t="str">
        <f t="shared" si="3"/>
        <v>LONG</v>
      </c>
      <c r="F575" s="3">
        <f t="shared" si="4"/>
        <v>-0.003230291135</v>
      </c>
      <c r="G575" s="4">
        <f t="shared" si="5"/>
        <v>1.289565058</v>
      </c>
      <c r="H575" s="3">
        <f t="shared" si="6"/>
        <v>-0.003230291135</v>
      </c>
      <c r="I575" s="5">
        <f t="shared" si="7"/>
        <v>1.211699365</v>
      </c>
    </row>
    <row r="576">
      <c r="A576" s="12">
        <f>IFERROR(__xludf.DUMMYFUNCTION("""COMPUTED_VALUE"""),43089.66666666667)</f>
        <v>43089.66667</v>
      </c>
      <c r="B576" s="13">
        <f>IFERROR(__xludf.DUMMYFUNCTION("""COMPUTED_VALUE"""),2679.25)</f>
        <v>2679.25</v>
      </c>
      <c r="C576" s="13">
        <f t="shared" si="1"/>
        <v>2654.26</v>
      </c>
      <c r="D576" s="13">
        <f t="shared" si="2"/>
        <v>2635.19</v>
      </c>
      <c r="E576" s="13" t="str">
        <f t="shared" si="3"/>
        <v>LONG</v>
      </c>
      <c r="F576" s="3">
        <f t="shared" si="4"/>
        <v>-0.0008279040974</v>
      </c>
      <c r="G576" s="4">
        <f t="shared" si="5"/>
        <v>1.288497422</v>
      </c>
      <c r="H576" s="3">
        <f t="shared" si="6"/>
        <v>-0.0008279040974</v>
      </c>
      <c r="I576" s="5">
        <f t="shared" si="7"/>
        <v>1.210696195</v>
      </c>
    </row>
    <row r="577">
      <c r="A577" s="12">
        <f>IFERROR(__xludf.DUMMYFUNCTION("""COMPUTED_VALUE"""),43090.66666666667)</f>
        <v>43090.66667</v>
      </c>
      <c r="B577" s="13">
        <f>IFERROR(__xludf.DUMMYFUNCTION("""COMPUTED_VALUE"""),2684.57)</f>
        <v>2684.57</v>
      </c>
      <c r="C577" s="13">
        <f t="shared" si="1"/>
        <v>2660.775</v>
      </c>
      <c r="D577" s="13">
        <f t="shared" si="2"/>
        <v>2637.605</v>
      </c>
      <c r="E577" s="13" t="str">
        <f t="shared" si="3"/>
        <v>LONG</v>
      </c>
      <c r="F577" s="3">
        <f t="shared" si="4"/>
        <v>0.001985630307</v>
      </c>
      <c r="G577" s="4">
        <f t="shared" si="5"/>
        <v>1.291055902</v>
      </c>
      <c r="H577" s="3">
        <f t="shared" si="6"/>
        <v>0.001985630307</v>
      </c>
      <c r="I577" s="5">
        <f t="shared" si="7"/>
        <v>1.21310019</v>
      </c>
    </row>
    <row r="578">
      <c r="A578" s="12">
        <f>IFERROR(__xludf.DUMMYFUNCTION("""COMPUTED_VALUE"""),43091.66666666667)</f>
        <v>43091.66667</v>
      </c>
      <c r="B578" s="13">
        <f>IFERROR(__xludf.DUMMYFUNCTION("""COMPUTED_VALUE"""),2683.34)</f>
        <v>2683.34</v>
      </c>
      <c r="C578" s="13">
        <f t="shared" si="1"/>
        <v>2667.42</v>
      </c>
      <c r="D578" s="13">
        <f t="shared" si="2"/>
        <v>2638.86</v>
      </c>
      <c r="E578" s="13" t="str">
        <f t="shared" si="3"/>
        <v>LONG</v>
      </c>
      <c r="F578" s="3">
        <f t="shared" si="4"/>
        <v>-0.0004581739347</v>
      </c>
      <c r="G578" s="4">
        <f t="shared" si="5"/>
        <v>1.290464374</v>
      </c>
      <c r="H578" s="3">
        <f t="shared" si="6"/>
        <v>-0.0004581739347</v>
      </c>
      <c r="I578" s="5">
        <f t="shared" si="7"/>
        <v>1.212544379</v>
      </c>
    </row>
    <row r="579">
      <c r="A579" s="12">
        <f>IFERROR(__xludf.DUMMYFUNCTION("""COMPUTED_VALUE"""),43095.66666666667)</f>
        <v>43095.66667</v>
      </c>
      <c r="B579" s="13">
        <f>IFERROR(__xludf.DUMMYFUNCTION("""COMPUTED_VALUE"""),2680.5)</f>
        <v>2680.5</v>
      </c>
      <c r="C579" s="13">
        <f t="shared" si="1"/>
        <v>2670.245</v>
      </c>
      <c r="D579" s="13">
        <f t="shared" si="2"/>
        <v>2632.56</v>
      </c>
      <c r="E579" s="13" t="str">
        <f t="shared" si="3"/>
        <v>LONG</v>
      </c>
      <c r="F579" s="3">
        <f t="shared" si="4"/>
        <v>-0.001058382464</v>
      </c>
      <c r="G579" s="4">
        <f t="shared" si="5"/>
        <v>1.289098569</v>
      </c>
      <c r="H579" s="3">
        <f t="shared" si="6"/>
        <v>-0.001058382464</v>
      </c>
      <c r="I579" s="5">
        <f t="shared" si="7"/>
        <v>1.211261043</v>
      </c>
    </row>
    <row r="580">
      <c r="A580" s="12">
        <f>IFERROR(__xludf.DUMMYFUNCTION("""COMPUTED_VALUE"""),43096.66666666667)</f>
        <v>43096.66667</v>
      </c>
      <c r="B580" s="13">
        <f>IFERROR(__xludf.DUMMYFUNCTION("""COMPUTED_VALUE"""),2682.62)</f>
        <v>2682.62</v>
      </c>
      <c r="C580" s="13">
        <f t="shared" si="1"/>
        <v>2673.365</v>
      </c>
      <c r="D580" s="13">
        <f t="shared" si="2"/>
        <v>2632.46</v>
      </c>
      <c r="E580" s="13" t="str">
        <f t="shared" si="3"/>
        <v>LONG</v>
      </c>
      <c r="F580" s="3">
        <f t="shared" si="4"/>
        <v>0.0007908972207</v>
      </c>
      <c r="G580" s="4">
        <f t="shared" si="5"/>
        <v>1.290118113</v>
      </c>
      <c r="H580" s="3">
        <f t="shared" si="6"/>
        <v>0.0007908972207</v>
      </c>
      <c r="I580" s="5">
        <f t="shared" si="7"/>
        <v>1.212219026</v>
      </c>
    </row>
    <row r="581">
      <c r="A581" s="12">
        <f>IFERROR(__xludf.DUMMYFUNCTION("""COMPUTED_VALUE"""),43097.66666666667)</f>
        <v>43097.66667</v>
      </c>
      <c r="B581" s="13">
        <f>IFERROR(__xludf.DUMMYFUNCTION("""COMPUTED_VALUE"""),2687.54)</f>
        <v>2687.54</v>
      </c>
      <c r="C581" s="13">
        <f t="shared" si="1"/>
        <v>2675.195</v>
      </c>
      <c r="D581" s="13">
        <f t="shared" si="2"/>
        <v>2636.19</v>
      </c>
      <c r="E581" s="13" t="str">
        <f t="shared" si="3"/>
        <v>LONG</v>
      </c>
      <c r="F581" s="3">
        <f t="shared" si="4"/>
        <v>0.001834027928</v>
      </c>
      <c r="G581" s="4">
        <f t="shared" si="5"/>
        <v>1.292484226</v>
      </c>
      <c r="H581" s="3">
        <f t="shared" si="6"/>
        <v>0.001834027928</v>
      </c>
      <c r="I581" s="5">
        <f t="shared" si="7"/>
        <v>1.21444227</v>
      </c>
    </row>
    <row r="582">
      <c r="A582" s="12">
        <f>IFERROR(__xludf.DUMMYFUNCTION("""COMPUTED_VALUE"""),43098.66666666667)</f>
        <v>43098.66667</v>
      </c>
      <c r="B582" s="13">
        <f>IFERROR(__xludf.DUMMYFUNCTION("""COMPUTED_VALUE"""),2673.61)</f>
        <v>2673.61</v>
      </c>
      <c r="C582" s="13">
        <f t="shared" si="1"/>
        <v>2662.81</v>
      </c>
      <c r="D582" s="13">
        <f t="shared" si="2"/>
        <v>2626.24</v>
      </c>
      <c r="E582" s="13" t="str">
        <f t="shared" si="3"/>
        <v>LONG</v>
      </c>
      <c r="F582" s="3">
        <f t="shared" si="4"/>
        <v>-0.005183178669</v>
      </c>
      <c r="G582" s="4">
        <f t="shared" si="5"/>
        <v>1.285785049</v>
      </c>
      <c r="H582" s="3">
        <f t="shared" si="6"/>
        <v>-0.005183178669</v>
      </c>
      <c r="I582" s="5">
        <f t="shared" si="7"/>
        <v>1.208147598</v>
      </c>
    </row>
    <row r="583">
      <c r="A583" s="12">
        <f>IFERROR(__xludf.DUMMYFUNCTION("""COMPUTED_VALUE"""),43102.66666666667)</f>
        <v>43102.66667</v>
      </c>
      <c r="B583" s="13">
        <f>IFERROR(__xludf.DUMMYFUNCTION("""COMPUTED_VALUE"""),2695.81)</f>
        <v>2695.81</v>
      </c>
      <c r="C583" s="13">
        <f t="shared" si="1"/>
        <v>2685.81</v>
      </c>
      <c r="D583" s="13">
        <f t="shared" si="2"/>
        <v>2630.215</v>
      </c>
      <c r="E583" s="13" t="str">
        <f t="shared" si="3"/>
        <v>LONG</v>
      </c>
      <c r="F583" s="3">
        <f t="shared" si="4"/>
        <v>0.008303380074</v>
      </c>
      <c r="G583" s="4">
        <f t="shared" si="5"/>
        <v>1.296461411</v>
      </c>
      <c r="H583" s="3">
        <f t="shared" si="6"/>
        <v>0.008303380074</v>
      </c>
      <c r="I583" s="5">
        <f t="shared" si="7"/>
        <v>1.218179307</v>
      </c>
    </row>
    <row r="584">
      <c r="A584" s="12">
        <f>IFERROR(__xludf.DUMMYFUNCTION("""COMPUTED_VALUE"""),43103.66666666667)</f>
        <v>43103.66667</v>
      </c>
      <c r="B584" s="13">
        <f>IFERROR(__xludf.DUMMYFUNCTION("""COMPUTED_VALUE"""),2713.06)</f>
        <v>2713.06</v>
      </c>
      <c r="C584" s="13">
        <f t="shared" si="1"/>
        <v>2701.61</v>
      </c>
      <c r="D584" s="13">
        <f t="shared" si="2"/>
        <v>2649.35</v>
      </c>
      <c r="E584" s="13" t="str">
        <f t="shared" si="3"/>
        <v>LONG</v>
      </c>
      <c r="F584" s="3">
        <f t="shared" si="4"/>
        <v>0.006398818908</v>
      </c>
      <c r="G584" s="4">
        <f t="shared" si="5"/>
        <v>1.304757233</v>
      </c>
      <c r="H584" s="3">
        <f t="shared" si="6"/>
        <v>0.006398818908</v>
      </c>
      <c r="I584" s="5">
        <f t="shared" si="7"/>
        <v>1.225974216</v>
      </c>
    </row>
    <row r="585">
      <c r="A585" s="12">
        <f>IFERROR(__xludf.DUMMYFUNCTION("""COMPUTED_VALUE"""),43104.66666666667)</f>
        <v>43104.66667</v>
      </c>
      <c r="B585" s="13">
        <f>IFERROR(__xludf.DUMMYFUNCTION("""COMPUTED_VALUE"""),2723.99)</f>
        <v>2723.99</v>
      </c>
      <c r="C585" s="13">
        <f t="shared" si="1"/>
        <v>2702.73</v>
      </c>
      <c r="D585" s="13">
        <f t="shared" si="2"/>
        <v>2651.42</v>
      </c>
      <c r="E585" s="13" t="str">
        <f t="shared" si="3"/>
        <v>LONG</v>
      </c>
      <c r="F585" s="3">
        <f t="shared" si="4"/>
        <v>0.004028661364</v>
      </c>
      <c r="G585" s="4">
        <f t="shared" si="5"/>
        <v>1.310013658</v>
      </c>
      <c r="H585" s="3">
        <f t="shared" si="6"/>
        <v>0.004028661364</v>
      </c>
      <c r="I585" s="5">
        <f t="shared" si="7"/>
        <v>1.230913251</v>
      </c>
    </row>
    <row r="586">
      <c r="A586" s="12">
        <f>IFERROR(__xludf.DUMMYFUNCTION("""COMPUTED_VALUE"""),43105.66666666667)</f>
        <v>43105.66667</v>
      </c>
      <c r="B586" s="13">
        <f>IFERROR(__xludf.DUMMYFUNCTION("""COMPUTED_VALUE"""),2743.15)</f>
        <v>2743.15</v>
      </c>
      <c r="C586" s="13">
        <f t="shared" si="1"/>
        <v>2711.2</v>
      </c>
      <c r="D586" s="13">
        <f t="shared" si="2"/>
        <v>2662.645</v>
      </c>
      <c r="E586" s="13" t="str">
        <f t="shared" si="3"/>
        <v>LONG</v>
      </c>
      <c r="F586" s="3">
        <f t="shared" si="4"/>
        <v>0.007033799684</v>
      </c>
      <c r="G586" s="4">
        <f t="shared" si="5"/>
        <v>1.319228032</v>
      </c>
      <c r="H586" s="3">
        <f t="shared" si="6"/>
        <v>0.007033799684</v>
      </c>
      <c r="I586" s="5">
        <f t="shared" si="7"/>
        <v>1.239571248</v>
      </c>
    </row>
    <row r="587">
      <c r="A587" s="12">
        <f>IFERROR(__xludf.DUMMYFUNCTION("""COMPUTED_VALUE"""),43108.66666666667)</f>
        <v>43108.66667</v>
      </c>
      <c r="B587" s="13">
        <f>IFERROR(__xludf.DUMMYFUNCTION("""COMPUTED_VALUE"""),2747.71)</f>
        <v>2747.71</v>
      </c>
      <c r="C587" s="13">
        <f t="shared" si="1"/>
        <v>2716.14</v>
      </c>
      <c r="D587" s="13">
        <f t="shared" si="2"/>
        <v>2673.37</v>
      </c>
      <c r="E587" s="13" t="str">
        <f t="shared" si="3"/>
        <v>LONG</v>
      </c>
      <c r="F587" s="3">
        <f t="shared" si="4"/>
        <v>0.001662322512</v>
      </c>
      <c r="G587" s="4">
        <f t="shared" si="5"/>
        <v>1.321421014</v>
      </c>
      <c r="H587" s="3">
        <f t="shared" si="6"/>
        <v>0.001662322512</v>
      </c>
      <c r="I587" s="5">
        <f t="shared" si="7"/>
        <v>1.241631815</v>
      </c>
    </row>
    <row r="588">
      <c r="A588" s="12">
        <f>IFERROR(__xludf.DUMMYFUNCTION("""COMPUTED_VALUE"""),43109.66666666667)</f>
        <v>43109.66667</v>
      </c>
      <c r="B588" s="13">
        <f>IFERROR(__xludf.DUMMYFUNCTION("""COMPUTED_VALUE"""),2751.29)</f>
        <v>2751.29</v>
      </c>
      <c r="C588" s="13">
        <f t="shared" si="1"/>
        <v>2717.315</v>
      </c>
      <c r="D588" s="13">
        <f t="shared" si="2"/>
        <v>2674.185</v>
      </c>
      <c r="E588" s="13" t="str">
        <f t="shared" si="3"/>
        <v>LONG</v>
      </c>
      <c r="F588" s="3">
        <f t="shared" si="4"/>
        <v>0.001302903145</v>
      </c>
      <c r="G588" s="4">
        <f t="shared" si="5"/>
        <v>1.323142698</v>
      </c>
      <c r="H588" s="3">
        <f t="shared" si="6"/>
        <v>0.001302903145</v>
      </c>
      <c r="I588" s="5">
        <f t="shared" si="7"/>
        <v>1.243249541</v>
      </c>
    </row>
    <row r="589">
      <c r="A589" s="12">
        <f>IFERROR(__xludf.DUMMYFUNCTION("""COMPUTED_VALUE"""),43110.66666666667)</f>
        <v>43110.66667</v>
      </c>
      <c r="B589" s="13">
        <f>IFERROR(__xludf.DUMMYFUNCTION("""COMPUTED_VALUE"""),2748.23)</f>
        <v>2748.23</v>
      </c>
      <c r="C589" s="13">
        <f t="shared" si="1"/>
        <v>2714.365</v>
      </c>
      <c r="D589" s="13">
        <f t="shared" si="2"/>
        <v>2675.325</v>
      </c>
      <c r="E589" s="13" t="str">
        <f t="shared" si="3"/>
        <v>LONG</v>
      </c>
      <c r="F589" s="3">
        <f t="shared" si="4"/>
        <v>-0.001112205547</v>
      </c>
      <c r="G589" s="4">
        <f t="shared" si="5"/>
        <v>1.321671091</v>
      </c>
      <c r="H589" s="3">
        <f t="shared" si="6"/>
        <v>-0.001112205547</v>
      </c>
      <c r="I589" s="5">
        <f t="shared" si="7"/>
        <v>1.241866792</v>
      </c>
    </row>
    <row r="590">
      <c r="A590" s="12">
        <f>IFERROR(__xludf.DUMMYFUNCTION("""COMPUTED_VALUE"""),43111.66666666667)</f>
        <v>43111.66667</v>
      </c>
      <c r="B590" s="13">
        <f>IFERROR(__xludf.DUMMYFUNCTION("""COMPUTED_VALUE"""),2767.56)</f>
        <v>2767.56</v>
      </c>
      <c r="C590" s="13">
        <f t="shared" si="1"/>
        <v>2725.09</v>
      </c>
      <c r="D590" s="13">
        <f t="shared" si="2"/>
        <v>2684.49</v>
      </c>
      <c r="E590" s="13" t="str">
        <f t="shared" si="3"/>
        <v>LONG</v>
      </c>
      <c r="F590" s="3">
        <f t="shared" si="4"/>
        <v>0.007033618001</v>
      </c>
      <c r="G590" s="4">
        <f t="shared" si="5"/>
        <v>1.330967221</v>
      </c>
      <c r="H590" s="3">
        <f t="shared" si="6"/>
        <v>0.007033618001</v>
      </c>
      <c r="I590" s="5">
        <f t="shared" si="7"/>
        <v>1.250601609</v>
      </c>
    </row>
    <row r="591">
      <c r="A591" s="12">
        <f>IFERROR(__xludf.DUMMYFUNCTION("""COMPUTED_VALUE"""),43112.66666666667)</f>
        <v>43112.66667</v>
      </c>
      <c r="B591" s="13">
        <f>IFERROR(__xludf.DUMMYFUNCTION("""COMPUTED_VALUE"""),2786.24)</f>
        <v>2786.24</v>
      </c>
      <c r="C591" s="13">
        <f t="shared" si="1"/>
        <v>2736.89</v>
      </c>
      <c r="D591" s="13">
        <f t="shared" si="2"/>
        <v>2706.64</v>
      </c>
      <c r="E591" s="13" t="str">
        <f t="shared" si="3"/>
        <v>LONG</v>
      </c>
      <c r="F591" s="3">
        <f t="shared" si="4"/>
        <v>0.006749627831</v>
      </c>
      <c r="G591" s="4">
        <f t="shared" si="5"/>
        <v>1.339950754</v>
      </c>
      <c r="H591" s="3">
        <f t="shared" si="6"/>
        <v>0.006749627831</v>
      </c>
      <c r="I591" s="5">
        <f t="shared" si="7"/>
        <v>1.259042704</v>
      </c>
    </row>
    <row r="592">
      <c r="A592" s="12">
        <f>IFERROR(__xludf.DUMMYFUNCTION("""COMPUTED_VALUE"""),43116.66666666667)</f>
        <v>43116.66667</v>
      </c>
      <c r="B592" s="13">
        <f>IFERROR(__xludf.DUMMYFUNCTION("""COMPUTED_VALUE"""),2776.42)</f>
        <v>2776.42</v>
      </c>
      <c r="C592" s="13">
        <f t="shared" si="1"/>
        <v>2725.015</v>
      </c>
      <c r="D592" s="13">
        <f t="shared" si="2"/>
        <v>2701.245</v>
      </c>
      <c r="E592" s="13" t="str">
        <f t="shared" si="3"/>
        <v>LONG</v>
      </c>
      <c r="F592" s="3">
        <f t="shared" si="4"/>
        <v>-0.003524463076</v>
      </c>
      <c r="G592" s="4">
        <f t="shared" si="5"/>
        <v>1.335228147</v>
      </c>
      <c r="H592" s="3">
        <f t="shared" si="6"/>
        <v>-0.003524463076</v>
      </c>
      <c r="I592" s="5">
        <f t="shared" si="7"/>
        <v>1.254605255</v>
      </c>
    </row>
    <row r="593">
      <c r="A593" s="12">
        <f>IFERROR(__xludf.DUMMYFUNCTION("""COMPUTED_VALUE"""),43117.66666666667)</f>
        <v>43117.66667</v>
      </c>
      <c r="B593" s="13">
        <f>IFERROR(__xludf.DUMMYFUNCTION("""COMPUTED_VALUE"""),2802.56)</f>
        <v>2802.56</v>
      </c>
      <c r="C593" s="13">
        <f t="shared" si="1"/>
        <v>2749.185</v>
      </c>
      <c r="D593" s="13">
        <f t="shared" si="2"/>
        <v>2725.07</v>
      </c>
      <c r="E593" s="13" t="str">
        <f t="shared" si="3"/>
        <v>LONG</v>
      </c>
      <c r="F593" s="3">
        <f t="shared" si="4"/>
        <v>0.009415002053</v>
      </c>
      <c r="G593" s="4">
        <f t="shared" si="5"/>
        <v>1.347799323</v>
      </c>
      <c r="H593" s="3">
        <f t="shared" si="6"/>
        <v>0.009415002053</v>
      </c>
      <c r="I593" s="5">
        <f t="shared" si="7"/>
        <v>1.266417366</v>
      </c>
    </row>
    <row r="594">
      <c r="A594" s="12">
        <f>IFERROR(__xludf.DUMMYFUNCTION("""COMPUTED_VALUE"""),43118.66666666667)</f>
        <v>43118.66667</v>
      </c>
      <c r="B594" s="13">
        <f>IFERROR(__xludf.DUMMYFUNCTION("""COMPUTED_VALUE"""),2798.03)</f>
        <v>2798.03</v>
      </c>
      <c r="C594" s="13">
        <f t="shared" si="1"/>
        <v>2755.545</v>
      </c>
      <c r="D594" s="13">
        <f t="shared" si="2"/>
        <v>2720.125</v>
      </c>
      <c r="E594" s="13" t="str">
        <f t="shared" si="3"/>
        <v>LONG</v>
      </c>
      <c r="F594" s="3">
        <f t="shared" si="4"/>
        <v>-0.00161637931</v>
      </c>
      <c r="G594" s="4">
        <f t="shared" si="5"/>
        <v>1.345620768</v>
      </c>
      <c r="H594" s="3">
        <f t="shared" si="6"/>
        <v>-0.00161637931</v>
      </c>
      <c r="I594" s="5">
        <f t="shared" si="7"/>
        <v>1.264370355</v>
      </c>
    </row>
    <row r="595">
      <c r="A595" s="12">
        <f>IFERROR(__xludf.DUMMYFUNCTION("""COMPUTED_VALUE"""),43119.66666666667)</f>
        <v>43119.66667</v>
      </c>
      <c r="B595" s="13">
        <f>IFERROR(__xludf.DUMMYFUNCTION("""COMPUTED_VALUE"""),2810.3)</f>
        <v>2810.3</v>
      </c>
      <c r="C595" s="13">
        <f t="shared" si="1"/>
        <v>2767.145</v>
      </c>
      <c r="D595" s="13">
        <f t="shared" si="2"/>
        <v>2724.87</v>
      </c>
      <c r="E595" s="13" t="str">
        <f t="shared" si="3"/>
        <v>LONG</v>
      </c>
      <c r="F595" s="3">
        <f t="shared" si="4"/>
        <v>0.004385228178</v>
      </c>
      <c r="G595" s="4">
        <f t="shared" si="5"/>
        <v>1.351521622</v>
      </c>
      <c r="H595" s="3">
        <f t="shared" si="6"/>
        <v>0.004385228178</v>
      </c>
      <c r="I595" s="5">
        <f t="shared" si="7"/>
        <v>1.269914907</v>
      </c>
    </row>
    <row r="596">
      <c r="A596" s="12">
        <f>IFERROR(__xludf.DUMMYFUNCTION("""COMPUTED_VALUE"""),43122.66666666667)</f>
        <v>43122.66667</v>
      </c>
      <c r="B596" s="13">
        <f>IFERROR(__xludf.DUMMYFUNCTION("""COMPUTED_VALUE"""),2832.97)</f>
        <v>2832.97</v>
      </c>
      <c r="C596" s="13">
        <f t="shared" si="1"/>
        <v>2788.06</v>
      </c>
      <c r="D596" s="13">
        <f t="shared" si="2"/>
        <v>2731.27</v>
      </c>
      <c r="E596" s="13" t="str">
        <f t="shared" si="3"/>
        <v>LONG</v>
      </c>
      <c r="F596" s="3">
        <f t="shared" si="4"/>
        <v>0.008066754439</v>
      </c>
      <c r="G596" s="4">
        <f t="shared" si="5"/>
        <v>1.362424015</v>
      </c>
      <c r="H596" s="3">
        <f t="shared" si="6"/>
        <v>0.008066754439</v>
      </c>
      <c r="I596" s="5">
        <f t="shared" si="7"/>
        <v>1.280158999</v>
      </c>
    </row>
    <row r="597">
      <c r="A597" s="12">
        <f>IFERROR(__xludf.DUMMYFUNCTION("""COMPUTED_VALUE"""),43123.66666666667)</f>
        <v>43123.66667</v>
      </c>
      <c r="B597" s="13">
        <f>IFERROR(__xludf.DUMMYFUNCTION("""COMPUTED_VALUE"""),2839.13)</f>
        <v>2839.13</v>
      </c>
      <c r="C597" s="13">
        <f t="shared" si="1"/>
        <v>2793.42</v>
      </c>
      <c r="D597" s="13">
        <f t="shared" si="2"/>
        <v>2734.2</v>
      </c>
      <c r="E597" s="13" t="str">
        <f t="shared" si="3"/>
        <v>LONG</v>
      </c>
      <c r="F597" s="3">
        <f t="shared" si="4"/>
        <v>0.002174396481</v>
      </c>
      <c r="G597" s="4">
        <f t="shared" si="5"/>
        <v>1.365386465</v>
      </c>
      <c r="H597" s="3">
        <f t="shared" si="6"/>
        <v>0.002174396481</v>
      </c>
      <c r="I597" s="5">
        <f t="shared" si="7"/>
        <v>1.282942572</v>
      </c>
    </row>
    <row r="598">
      <c r="A598" s="12">
        <f>IFERROR(__xludf.DUMMYFUNCTION("""COMPUTED_VALUE"""),43124.66666666667)</f>
        <v>43124.66667</v>
      </c>
      <c r="B598" s="13">
        <f>IFERROR(__xludf.DUMMYFUNCTION("""COMPUTED_VALUE"""),2837.54)</f>
        <v>2837.54</v>
      </c>
      <c r="C598" s="13">
        <f t="shared" si="1"/>
        <v>2794.415</v>
      </c>
      <c r="D598" s="13">
        <f t="shared" si="2"/>
        <v>2737.26</v>
      </c>
      <c r="E598" s="13" t="str">
        <f t="shared" si="3"/>
        <v>LONG</v>
      </c>
      <c r="F598" s="3">
        <f t="shared" si="4"/>
        <v>-0.0005600307136</v>
      </c>
      <c r="G598" s="4">
        <f t="shared" si="5"/>
        <v>1.364621807</v>
      </c>
      <c r="H598" s="3">
        <f t="shared" si="6"/>
        <v>-0.0005600307136</v>
      </c>
      <c r="I598" s="5">
        <f t="shared" si="7"/>
        <v>1.282224085</v>
      </c>
    </row>
    <row r="599">
      <c r="A599" s="12">
        <f>IFERROR(__xludf.DUMMYFUNCTION("""COMPUTED_VALUE"""),43125.66666666667)</f>
        <v>43125.66667</v>
      </c>
      <c r="B599" s="13">
        <f>IFERROR(__xludf.DUMMYFUNCTION("""COMPUTED_VALUE"""),2839.25)</f>
        <v>2839.25</v>
      </c>
      <c r="C599" s="13">
        <f t="shared" si="1"/>
        <v>2793.74</v>
      </c>
      <c r="D599" s="13">
        <f t="shared" si="2"/>
        <v>2745.375</v>
      </c>
      <c r="E599" s="13" t="str">
        <f t="shared" si="3"/>
        <v>LONG</v>
      </c>
      <c r="F599" s="3">
        <f t="shared" si="4"/>
        <v>0.0006026346765</v>
      </c>
      <c r="G599" s="4">
        <f t="shared" si="5"/>
        <v>1.365444175</v>
      </c>
      <c r="H599" s="3">
        <f t="shared" si="6"/>
        <v>0.0006026346765</v>
      </c>
      <c r="I599" s="5">
        <f t="shared" si="7"/>
        <v>1.282996798</v>
      </c>
    </row>
    <row r="600">
      <c r="A600" s="12">
        <f>IFERROR(__xludf.DUMMYFUNCTION("""COMPUTED_VALUE"""),43126.66666666667)</f>
        <v>43126.66667</v>
      </c>
      <c r="B600" s="13">
        <f>IFERROR(__xludf.DUMMYFUNCTION("""COMPUTED_VALUE"""),2872.87)</f>
        <v>2872.87</v>
      </c>
      <c r="C600" s="13">
        <f t="shared" si="1"/>
        <v>2820.215</v>
      </c>
      <c r="D600" s="13">
        <f t="shared" si="2"/>
        <v>2766.43</v>
      </c>
      <c r="E600" s="13" t="str">
        <f t="shared" si="3"/>
        <v>LONG</v>
      </c>
      <c r="F600" s="3">
        <f t="shared" si="4"/>
        <v>0.01184115523</v>
      </c>
      <c r="G600" s="4">
        <f t="shared" si="5"/>
        <v>1.381612612</v>
      </c>
      <c r="H600" s="3">
        <f t="shared" si="6"/>
        <v>0.01184115523</v>
      </c>
      <c r="I600" s="5">
        <f t="shared" si="7"/>
        <v>1.298188962</v>
      </c>
    </row>
    <row r="601">
      <c r="A601" s="12">
        <f>IFERROR(__xludf.DUMMYFUNCTION("""COMPUTED_VALUE"""),43129.66666666667)</f>
        <v>43129.66667</v>
      </c>
      <c r="B601" s="13">
        <f>IFERROR(__xludf.DUMMYFUNCTION("""COMPUTED_VALUE"""),2853.53)</f>
        <v>2853.53</v>
      </c>
      <c r="C601" s="13">
        <f t="shared" si="1"/>
        <v>2819.885</v>
      </c>
      <c r="D601" s="13">
        <f t="shared" si="2"/>
        <v>2758.82</v>
      </c>
      <c r="E601" s="13" t="str">
        <f t="shared" si="3"/>
        <v>LONG</v>
      </c>
      <c r="F601" s="3">
        <f t="shared" si="4"/>
        <v>-0.006731944014</v>
      </c>
      <c r="G601" s="4">
        <f t="shared" si="5"/>
        <v>1.372311673</v>
      </c>
      <c r="H601" s="3">
        <f t="shared" si="6"/>
        <v>-0.006731944014</v>
      </c>
      <c r="I601" s="5">
        <f t="shared" si="7"/>
        <v>1.289449627</v>
      </c>
    </row>
    <row r="602">
      <c r="A602" s="12">
        <f>IFERROR(__xludf.DUMMYFUNCTION("""COMPUTED_VALUE"""),43130.66666666667)</f>
        <v>43130.66667</v>
      </c>
      <c r="B602" s="13">
        <f>IFERROR(__xludf.DUMMYFUNCTION("""COMPUTED_VALUE"""),2822.43)</f>
        <v>2822.43</v>
      </c>
      <c r="C602" s="13">
        <f t="shared" si="1"/>
        <v>2799.425</v>
      </c>
      <c r="D602" s="13">
        <f t="shared" si="2"/>
        <v>2742.64</v>
      </c>
      <c r="E602" s="13" t="str">
        <f t="shared" si="3"/>
        <v>LONG</v>
      </c>
      <c r="F602" s="3">
        <f t="shared" si="4"/>
        <v>-0.01089878151</v>
      </c>
      <c r="G602" s="4">
        <f t="shared" si="5"/>
        <v>1.357355148</v>
      </c>
      <c r="H602" s="3">
        <f t="shared" si="6"/>
        <v>-0.01089878151</v>
      </c>
      <c r="I602" s="5">
        <f t="shared" si="7"/>
        <v>1.275396197</v>
      </c>
    </row>
    <row r="603">
      <c r="A603" s="12">
        <f>IFERROR(__xludf.DUMMYFUNCTION("""COMPUTED_VALUE"""),43131.66666666667)</f>
        <v>43131.66667</v>
      </c>
      <c r="B603" s="13">
        <f>IFERROR(__xludf.DUMMYFUNCTION("""COMPUTED_VALUE"""),2823.81)</f>
        <v>2823.81</v>
      </c>
      <c r="C603" s="13">
        <f t="shared" si="1"/>
        <v>2813.185</v>
      </c>
      <c r="D603" s="13">
        <f t="shared" si="2"/>
        <v>2737.91</v>
      </c>
      <c r="E603" s="13" t="str">
        <f t="shared" si="3"/>
        <v>LONG</v>
      </c>
      <c r="F603" s="3">
        <f t="shared" si="4"/>
        <v>0.0004889403812</v>
      </c>
      <c r="G603" s="4">
        <f t="shared" si="5"/>
        <v>1.358018813</v>
      </c>
      <c r="H603" s="3">
        <f t="shared" si="6"/>
        <v>0.0004889403812</v>
      </c>
      <c r="I603" s="5">
        <f t="shared" si="7"/>
        <v>1.27601979</v>
      </c>
    </row>
    <row r="604">
      <c r="A604" s="12">
        <f>IFERROR(__xludf.DUMMYFUNCTION("""COMPUTED_VALUE"""),43132.66666666667)</f>
        <v>43132.66667</v>
      </c>
      <c r="B604" s="13">
        <f>IFERROR(__xludf.DUMMYFUNCTION("""COMPUTED_VALUE"""),2821.98)</f>
        <v>2821.98</v>
      </c>
      <c r="C604" s="13">
        <f t="shared" si="1"/>
        <v>2810.005</v>
      </c>
      <c r="D604" s="13">
        <f t="shared" si="2"/>
        <v>2748.895</v>
      </c>
      <c r="E604" s="13" t="str">
        <f t="shared" si="3"/>
        <v>LONG</v>
      </c>
      <c r="F604" s="3">
        <f t="shared" si="4"/>
        <v>-0.000648060599</v>
      </c>
      <c r="G604" s="4">
        <f t="shared" si="5"/>
        <v>1.357138735</v>
      </c>
      <c r="H604" s="3">
        <f t="shared" si="6"/>
        <v>-0.000648060599</v>
      </c>
      <c r="I604" s="5">
        <f t="shared" si="7"/>
        <v>1.275192851</v>
      </c>
    </row>
    <row r="605">
      <c r="A605" s="12">
        <f>IFERROR(__xludf.DUMMYFUNCTION("""COMPUTED_VALUE"""),43133.66666666667)</f>
        <v>43133.66667</v>
      </c>
      <c r="B605" s="13">
        <f>IFERROR(__xludf.DUMMYFUNCTION("""COMPUTED_VALUE"""),2762.13)</f>
        <v>2762.13</v>
      </c>
      <c r="C605" s="13">
        <f t="shared" si="1"/>
        <v>2786.215</v>
      </c>
      <c r="D605" s="13">
        <f t="shared" si="2"/>
        <v>2726.145</v>
      </c>
      <c r="E605" s="13" t="str">
        <f t="shared" si="3"/>
        <v>LONG</v>
      </c>
      <c r="F605" s="3">
        <f t="shared" si="4"/>
        <v>-0.02120851317</v>
      </c>
      <c r="G605" s="4">
        <f t="shared" si="5"/>
        <v>1.32835584</v>
      </c>
      <c r="H605" s="3">
        <f t="shared" si="6"/>
        <v>-0.02120851317</v>
      </c>
      <c r="I605" s="5">
        <f t="shared" si="7"/>
        <v>1.248147907</v>
      </c>
    </row>
    <row r="606">
      <c r="A606" s="12">
        <f>IFERROR(__xludf.DUMMYFUNCTION("""COMPUTED_VALUE"""),43136.66666666667)</f>
        <v>43136.66667</v>
      </c>
      <c r="B606" s="13">
        <f>IFERROR(__xludf.DUMMYFUNCTION("""COMPUTED_VALUE"""),2648.94)</f>
        <v>2648.94</v>
      </c>
      <c r="C606" s="13">
        <f t="shared" si="1"/>
        <v>2740.955</v>
      </c>
      <c r="D606" s="13">
        <f t="shared" si="2"/>
        <v>2665.205</v>
      </c>
      <c r="E606" s="13" t="str">
        <f t="shared" si="3"/>
        <v>LONG</v>
      </c>
      <c r="F606" s="3">
        <f t="shared" si="4"/>
        <v>-0.04097924428</v>
      </c>
      <c r="G606" s="4">
        <f t="shared" si="5"/>
        <v>1.273920822</v>
      </c>
      <c r="H606" s="3">
        <f t="shared" si="6"/>
        <v>-0.04097924428</v>
      </c>
      <c r="I606" s="5">
        <f t="shared" si="7"/>
        <v>1.196999749</v>
      </c>
    </row>
    <row r="607">
      <c r="A607" s="12">
        <f>IFERROR(__xludf.DUMMYFUNCTION("""COMPUTED_VALUE"""),43137.66666666667)</f>
        <v>43137.66667</v>
      </c>
      <c r="B607" s="13">
        <f>IFERROR(__xludf.DUMMYFUNCTION("""COMPUTED_VALUE"""),2695.14)</f>
        <v>2695.14</v>
      </c>
      <c r="C607" s="13">
        <f t="shared" si="1"/>
        <v>2767.135</v>
      </c>
      <c r="D607" s="13">
        <f t="shared" si="2"/>
        <v>2687.195</v>
      </c>
      <c r="E607" s="13" t="str">
        <f t="shared" si="3"/>
        <v>LONG</v>
      </c>
      <c r="F607" s="3">
        <f t="shared" si="4"/>
        <v>0.01744093864</v>
      </c>
      <c r="G607" s="4">
        <f t="shared" si="5"/>
        <v>1.296139197</v>
      </c>
      <c r="H607" s="3">
        <f t="shared" si="6"/>
        <v>0.01744093864</v>
      </c>
      <c r="I607" s="5">
        <f t="shared" si="7"/>
        <v>1.217876548</v>
      </c>
    </row>
    <row r="608">
      <c r="A608" s="12">
        <f>IFERROR(__xludf.DUMMYFUNCTION("""COMPUTED_VALUE"""),43138.66666666667)</f>
        <v>43138.66667</v>
      </c>
      <c r="B608" s="13">
        <f>IFERROR(__xludf.DUMMYFUNCTION("""COMPUTED_VALUE"""),2681.66)</f>
        <v>2681.66</v>
      </c>
      <c r="C608" s="13">
        <f t="shared" si="1"/>
        <v>2759.6</v>
      </c>
      <c r="D608" s="13">
        <f t="shared" si="2"/>
        <v>2683.115</v>
      </c>
      <c r="E608" s="13" t="str">
        <f t="shared" si="3"/>
        <v>LONG</v>
      </c>
      <c r="F608" s="3">
        <f t="shared" si="4"/>
        <v>-0.005001595464</v>
      </c>
      <c r="G608" s="4">
        <f t="shared" si="5"/>
        <v>1.289656433</v>
      </c>
      <c r="H608" s="3">
        <f t="shared" si="6"/>
        <v>-0.005001595464</v>
      </c>
      <c r="I608" s="5">
        <f t="shared" si="7"/>
        <v>1.211785222</v>
      </c>
    </row>
    <row r="609">
      <c r="A609" s="12">
        <f>IFERROR(__xludf.DUMMYFUNCTION("""COMPUTED_VALUE"""),43139.66666666667)</f>
        <v>43139.66667</v>
      </c>
      <c r="B609" s="13">
        <f>IFERROR(__xludf.DUMMYFUNCTION("""COMPUTED_VALUE"""),2581.0)</f>
        <v>2581</v>
      </c>
      <c r="C609" s="13">
        <f t="shared" si="1"/>
        <v>2710.125</v>
      </c>
      <c r="D609" s="13">
        <f t="shared" si="2"/>
        <v>2632.17</v>
      </c>
      <c r="E609" s="13" t="str">
        <f t="shared" si="3"/>
        <v>LONG</v>
      </c>
      <c r="F609" s="3">
        <f t="shared" si="4"/>
        <v>-0.0375364513</v>
      </c>
      <c r="G609" s="4">
        <f t="shared" si="5"/>
        <v>1.241247307</v>
      </c>
      <c r="H609" s="3">
        <f t="shared" si="6"/>
        <v>-0.0375364513</v>
      </c>
      <c r="I609" s="5">
        <f t="shared" si="7"/>
        <v>1.166299105</v>
      </c>
    </row>
    <row r="610">
      <c r="A610" s="12">
        <f>IFERROR(__xludf.DUMMYFUNCTION("""COMPUTED_VALUE"""),43140.66666666667)</f>
        <v>43140.66667</v>
      </c>
      <c r="B610" s="13">
        <f>IFERROR(__xludf.DUMMYFUNCTION("""COMPUTED_VALUE"""),2619.55)</f>
        <v>2619.55</v>
      </c>
      <c r="C610" s="13">
        <f t="shared" si="1"/>
        <v>2746.21</v>
      </c>
      <c r="D610" s="13">
        <f t="shared" si="2"/>
        <v>2650.025</v>
      </c>
      <c r="E610" s="13" t="str">
        <f t="shared" si="3"/>
        <v>LONG</v>
      </c>
      <c r="F610" s="3">
        <f t="shared" si="4"/>
        <v>0.01493607129</v>
      </c>
      <c r="G610" s="4">
        <f t="shared" si="5"/>
        <v>1.259786665</v>
      </c>
      <c r="H610" s="3">
        <f t="shared" si="6"/>
        <v>0.01493607129</v>
      </c>
      <c r="I610" s="5">
        <f t="shared" si="7"/>
        <v>1.183719032</v>
      </c>
    </row>
    <row r="611">
      <c r="A611" s="12">
        <f>IFERROR(__xludf.DUMMYFUNCTION("""COMPUTED_VALUE"""),43143.66666666667)</f>
        <v>43143.66667</v>
      </c>
      <c r="B611" s="13">
        <f>IFERROR(__xludf.DUMMYFUNCTION("""COMPUTED_VALUE"""),2656.0)</f>
        <v>2656</v>
      </c>
      <c r="C611" s="13">
        <f t="shared" si="1"/>
        <v>2754.765</v>
      </c>
      <c r="D611" s="13">
        <f t="shared" si="2"/>
        <v>2669.31</v>
      </c>
      <c r="E611" s="13" t="str">
        <f t="shared" si="3"/>
        <v>LONG</v>
      </c>
      <c r="F611" s="3">
        <f t="shared" si="4"/>
        <v>0.01391460365</v>
      </c>
      <c r="G611" s="4">
        <f t="shared" si="5"/>
        <v>1.277316097</v>
      </c>
      <c r="H611" s="3">
        <f t="shared" si="6"/>
        <v>0.01391460365</v>
      </c>
      <c r="I611" s="5">
        <f t="shared" si="7"/>
        <v>1.200190013</v>
      </c>
    </row>
    <row r="612">
      <c r="A612" s="12">
        <f>IFERROR(__xludf.DUMMYFUNCTION("""COMPUTED_VALUE"""),43144.66666666667)</f>
        <v>43144.66667</v>
      </c>
      <c r="B612" s="13">
        <f>IFERROR(__xludf.DUMMYFUNCTION("""COMPUTED_VALUE"""),2662.94)</f>
        <v>2662.94</v>
      </c>
      <c r="C612" s="13">
        <f t="shared" si="1"/>
        <v>2742.685</v>
      </c>
      <c r="D612" s="13">
        <f t="shared" si="2"/>
        <v>2675.24</v>
      </c>
      <c r="E612" s="13" t="str">
        <f t="shared" si="3"/>
        <v>LONG</v>
      </c>
      <c r="F612" s="3">
        <f t="shared" si="4"/>
        <v>0.002612951807</v>
      </c>
      <c r="G612" s="4">
        <f t="shared" si="5"/>
        <v>1.280653663</v>
      </c>
      <c r="H612" s="3">
        <f t="shared" si="6"/>
        <v>0.002612951807</v>
      </c>
      <c r="I612" s="5">
        <f t="shared" si="7"/>
        <v>1.203326052</v>
      </c>
    </row>
    <row r="613">
      <c r="A613" s="12">
        <f>IFERROR(__xludf.DUMMYFUNCTION("""COMPUTED_VALUE"""),43145.66666666667)</f>
        <v>43145.66667</v>
      </c>
      <c r="B613" s="13">
        <f>IFERROR(__xludf.DUMMYFUNCTION("""COMPUTED_VALUE"""),2698.63)</f>
        <v>2698.63</v>
      </c>
      <c r="C613" s="13">
        <f t="shared" si="1"/>
        <v>2761.22</v>
      </c>
      <c r="D613" s="13">
        <f t="shared" si="2"/>
        <v>2686.12</v>
      </c>
      <c r="E613" s="13" t="str">
        <f t="shared" si="3"/>
        <v>LONG</v>
      </c>
      <c r="F613" s="3">
        <f t="shared" si="4"/>
        <v>0.01340247997</v>
      </c>
      <c r="G613" s="4">
        <f t="shared" si="5"/>
        <v>1.297817598</v>
      </c>
      <c r="H613" s="3">
        <f t="shared" si="6"/>
        <v>0.01340247997</v>
      </c>
      <c r="I613" s="5">
        <f t="shared" si="7"/>
        <v>1.219453605</v>
      </c>
    </row>
    <row r="614">
      <c r="A614" s="12">
        <f>IFERROR(__xludf.DUMMYFUNCTION("""COMPUTED_VALUE"""),43146.66666666667)</f>
        <v>43146.66667</v>
      </c>
      <c r="B614" s="13">
        <f>IFERROR(__xludf.DUMMYFUNCTION("""COMPUTED_VALUE"""),2731.2)</f>
        <v>2731.2</v>
      </c>
      <c r="C614" s="13">
        <f t="shared" si="1"/>
        <v>2776.59</v>
      </c>
      <c r="D614" s="13">
        <f t="shared" si="2"/>
        <v>2713.505</v>
      </c>
      <c r="E614" s="13" t="str">
        <f t="shared" si="3"/>
        <v>LONG</v>
      </c>
      <c r="F614" s="3">
        <f t="shared" si="4"/>
        <v>0.01206908691</v>
      </c>
      <c r="G614" s="4">
        <f t="shared" si="5"/>
        <v>1.313481071</v>
      </c>
      <c r="H614" s="3">
        <f t="shared" si="6"/>
        <v>0.01206908691</v>
      </c>
      <c r="I614" s="5">
        <f t="shared" si="7"/>
        <v>1.234171297</v>
      </c>
    </row>
    <row r="615">
      <c r="A615" s="12">
        <f>IFERROR(__xludf.DUMMYFUNCTION("""COMPUTED_VALUE"""),43147.66666666667)</f>
        <v>43147.66667</v>
      </c>
      <c r="B615" s="13">
        <f>IFERROR(__xludf.DUMMYFUNCTION("""COMPUTED_VALUE"""),2732.22)</f>
        <v>2732.22</v>
      </c>
      <c r="C615" s="13">
        <f t="shared" si="1"/>
        <v>2747.175</v>
      </c>
      <c r="D615" s="13">
        <f t="shared" si="2"/>
        <v>2722.64</v>
      </c>
      <c r="E615" s="13" t="str">
        <f t="shared" si="3"/>
        <v>LONG</v>
      </c>
      <c r="F615" s="3">
        <f t="shared" si="4"/>
        <v>0.0003734622144</v>
      </c>
      <c r="G615" s="4">
        <f t="shared" si="5"/>
        <v>1.313971607</v>
      </c>
      <c r="H615" s="3">
        <f t="shared" si="6"/>
        <v>0.0003734622144</v>
      </c>
      <c r="I615" s="5">
        <f t="shared" si="7"/>
        <v>1.234632213</v>
      </c>
    </row>
    <row r="616">
      <c r="A616" s="12">
        <f>IFERROR(__xludf.DUMMYFUNCTION("""COMPUTED_VALUE"""),43151.66666666667)</f>
        <v>43151.66667</v>
      </c>
      <c r="B616" s="13">
        <f>IFERROR(__xludf.DUMMYFUNCTION("""COMPUTED_VALUE"""),2716.26)</f>
        <v>2716.26</v>
      </c>
      <c r="C616" s="13">
        <f t="shared" si="1"/>
        <v>2682.6</v>
      </c>
      <c r="D616" s="13">
        <f t="shared" si="2"/>
        <v>2720.125</v>
      </c>
      <c r="E616" s="13" t="str">
        <f t="shared" si="3"/>
        <v/>
      </c>
      <c r="F616" s="3">
        <f t="shared" si="4"/>
        <v>-0.005841403694</v>
      </c>
      <c r="G616" s="4">
        <f t="shared" si="5"/>
        <v>1.306296168</v>
      </c>
      <c r="H616" s="5">
        <f t="shared" si="6"/>
        <v>0</v>
      </c>
      <c r="I616" s="5">
        <f t="shared" si="7"/>
        <v>1.234632213</v>
      </c>
    </row>
    <row r="617">
      <c r="A617" s="12">
        <f>IFERROR(__xludf.DUMMYFUNCTION("""COMPUTED_VALUE"""),43152.66666666667)</f>
        <v>43152.66667</v>
      </c>
      <c r="B617" s="13">
        <f>IFERROR(__xludf.DUMMYFUNCTION("""COMPUTED_VALUE"""),2701.33)</f>
        <v>2701.33</v>
      </c>
      <c r="C617" s="13">
        <f t="shared" si="1"/>
        <v>2698.235</v>
      </c>
      <c r="D617" s="13">
        <f t="shared" si="2"/>
        <v>2722.24</v>
      </c>
      <c r="E617" s="13" t="str">
        <f t="shared" si="3"/>
        <v/>
      </c>
      <c r="F617" s="3">
        <f t="shared" si="4"/>
        <v>-0.005496528315</v>
      </c>
      <c r="G617" s="4">
        <f t="shared" si="5"/>
        <v>1.299116074</v>
      </c>
      <c r="H617" s="5">
        <f t="shared" si="6"/>
        <v>0</v>
      </c>
      <c r="I617" s="5">
        <f t="shared" si="7"/>
        <v>1.234632213</v>
      </c>
    </row>
    <row r="618">
      <c r="A618" s="12">
        <f>IFERROR(__xludf.DUMMYFUNCTION("""COMPUTED_VALUE"""),43153.66666666667)</f>
        <v>43153.66667</v>
      </c>
      <c r="B618" s="13">
        <f>IFERROR(__xludf.DUMMYFUNCTION("""COMPUTED_VALUE"""),2703.96)</f>
        <v>2703.96</v>
      </c>
      <c r="C618" s="13">
        <f t="shared" si="1"/>
        <v>2692.81</v>
      </c>
      <c r="D618" s="13">
        <f t="shared" si="2"/>
        <v>2725.835</v>
      </c>
      <c r="E618" s="13" t="str">
        <f t="shared" si="3"/>
        <v/>
      </c>
      <c r="F618" s="3">
        <f t="shared" si="4"/>
        <v>0.0009735944886</v>
      </c>
      <c r="G618" s="4">
        <f t="shared" si="5"/>
        <v>1.300380886</v>
      </c>
      <c r="H618" s="5">
        <f t="shared" si="6"/>
        <v>0</v>
      </c>
      <c r="I618" s="5">
        <f t="shared" si="7"/>
        <v>1.234632213</v>
      </c>
    </row>
    <row r="619">
      <c r="A619" s="12">
        <f>IFERROR(__xludf.DUMMYFUNCTION("""COMPUTED_VALUE"""),43154.66666666667)</f>
        <v>43154.66667</v>
      </c>
      <c r="B619" s="13">
        <f>IFERROR(__xludf.DUMMYFUNCTION("""COMPUTED_VALUE"""),2747.3)</f>
        <v>2747.3</v>
      </c>
      <c r="C619" s="13">
        <f t="shared" si="1"/>
        <v>2664.15</v>
      </c>
      <c r="D619" s="13">
        <f t="shared" si="2"/>
        <v>2749.295</v>
      </c>
      <c r="E619" s="13" t="str">
        <f t="shared" si="3"/>
        <v/>
      </c>
      <c r="F619" s="3">
        <f t="shared" si="4"/>
        <v>0.01602834361</v>
      </c>
      <c r="G619" s="4">
        <f t="shared" si="5"/>
        <v>1.321223838</v>
      </c>
      <c r="H619" s="5">
        <f t="shared" si="6"/>
        <v>0</v>
      </c>
      <c r="I619" s="5">
        <f t="shared" si="7"/>
        <v>1.234632213</v>
      </c>
    </row>
    <row r="620">
      <c r="A620" s="12">
        <f>IFERROR(__xludf.DUMMYFUNCTION("""COMPUTED_VALUE"""),43157.66666666667)</f>
        <v>43157.66667</v>
      </c>
      <c r="B620" s="13">
        <f>IFERROR(__xludf.DUMMYFUNCTION("""COMPUTED_VALUE"""),2779.6)</f>
        <v>2779.6</v>
      </c>
      <c r="C620" s="13">
        <f t="shared" si="1"/>
        <v>2699.575</v>
      </c>
      <c r="D620" s="13">
        <f t="shared" si="2"/>
        <v>2763.915</v>
      </c>
      <c r="E620" s="13" t="str">
        <f t="shared" si="3"/>
        <v/>
      </c>
      <c r="F620" s="3">
        <f t="shared" si="4"/>
        <v>0.01175699778</v>
      </c>
      <c r="G620" s="4">
        <f t="shared" si="5"/>
        <v>1.336757464</v>
      </c>
      <c r="H620" s="5">
        <f t="shared" si="6"/>
        <v>0</v>
      </c>
      <c r="I620" s="5">
        <f t="shared" si="7"/>
        <v>1.234632213</v>
      </c>
    </row>
    <row r="621">
      <c r="A621" s="12">
        <f>IFERROR(__xludf.DUMMYFUNCTION("""COMPUTED_VALUE"""),43158.66666666667)</f>
        <v>43158.66667</v>
      </c>
      <c r="B621" s="13">
        <f>IFERROR(__xludf.DUMMYFUNCTION("""COMPUTED_VALUE"""),2744.28)</f>
        <v>2744.28</v>
      </c>
      <c r="C621" s="13">
        <f t="shared" si="1"/>
        <v>2700.14</v>
      </c>
      <c r="D621" s="13">
        <f t="shared" si="2"/>
        <v>2755.92</v>
      </c>
      <c r="E621" s="13" t="str">
        <f t="shared" si="3"/>
        <v/>
      </c>
      <c r="F621" s="3">
        <f t="shared" si="4"/>
        <v>-0.0127068643</v>
      </c>
      <c r="G621" s="4">
        <f t="shared" si="5"/>
        <v>1.319771468</v>
      </c>
      <c r="H621" s="5">
        <f t="shared" si="6"/>
        <v>0</v>
      </c>
      <c r="I621" s="5">
        <f t="shared" si="7"/>
        <v>1.234632213</v>
      </c>
    </row>
    <row r="622">
      <c r="A622" s="12">
        <f>IFERROR(__xludf.DUMMYFUNCTION("""COMPUTED_VALUE"""),43159.66666666667)</f>
        <v>43159.66667</v>
      </c>
      <c r="B622" s="13">
        <f>IFERROR(__xludf.DUMMYFUNCTION("""COMPUTED_VALUE"""),2713.83)</f>
        <v>2713.83</v>
      </c>
      <c r="C622" s="13">
        <f t="shared" si="1"/>
        <v>2688.385</v>
      </c>
      <c r="D622" s="13">
        <f t="shared" si="2"/>
        <v>2750.035</v>
      </c>
      <c r="E622" s="13" t="str">
        <f t="shared" si="3"/>
        <v/>
      </c>
      <c r="F622" s="3">
        <f t="shared" si="4"/>
        <v>-0.01109580655</v>
      </c>
      <c r="G622" s="4">
        <f t="shared" si="5"/>
        <v>1.305127539</v>
      </c>
      <c r="H622" s="5">
        <f t="shared" si="6"/>
        <v>0</v>
      </c>
      <c r="I622" s="5">
        <f t="shared" si="7"/>
        <v>1.234632213</v>
      </c>
    </row>
    <row r="623">
      <c r="A623" s="12">
        <f>IFERROR(__xludf.DUMMYFUNCTION("""COMPUTED_VALUE"""),43160.66666666667)</f>
        <v>43160.66667</v>
      </c>
      <c r="B623" s="13">
        <f>IFERROR(__xludf.DUMMYFUNCTION("""COMPUTED_VALUE"""),2677.67)</f>
        <v>2677.67</v>
      </c>
      <c r="C623" s="13">
        <f t="shared" si="1"/>
        <v>2688.15</v>
      </c>
      <c r="D623" s="13">
        <f t="shared" si="2"/>
        <v>2727.045</v>
      </c>
      <c r="E623" s="13" t="str">
        <f t="shared" si="3"/>
        <v/>
      </c>
      <c r="F623" s="3">
        <f t="shared" si="4"/>
        <v>-0.01332434235</v>
      </c>
      <c r="G623" s="4">
        <f t="shared" si="5"/>
        <v>1.287737573</v>
      </c>
      <c r="H623" s="5">
        <f t="shared" si="6"/>
        <v>0</v>
      </c>
      <c r="I623" s="5">
        <f t="shared" si="7"/>
        <v>1.234632213</v>
      </c>
    </row>
    <row r="624">
      <c r="A624" s="12">
        <f>IFERROR(__xludf.DUMMYFUNCTION("""COMPUTED_VALUE"""),43161.66666666667)</f>
        <v>43161.66667</v>
      </c>
      <c r="B624" s="13">
        <f>IFERROR(__xludf.DUMMYFUNCTION("""COMPUTED_VALUE"""),2691.25)</f>
        <v>2691.25</v>
      </c>
      <c r="C624" s="13">
        <f t="shared" si="1"/>
        <v>2711.225</v>
      </c>
      <c r="D624" s="13">
        <f t="shared" si="2"/>
        <v>2746.905</v>
      </c>
      <c r="E624" s="13" t="str">
        <f t="shared" si="3"/>
        <v/>
      </c>
      <c r="F624" s="3">
        <f t="shared" si="4"/>
        <v>0.00507157342</v>
      </c>
      <c r="G624" s="4">
        <f t="shared" si="5"/>
        <v>1.294268429</v>
      </c>
      <c r="H624" s="5">
        <f t="shared" si="6"/>
        <v>0</v>
      </c>
      <c r="I624" s="5">
        <f t="shared" si="7"/>
        <v>1.234632213</v>
      </c>
    </row>
    <row r="625">
      <c r="A625" s="12">
        <f>IFERROR(__xludf.DUMMYFUNCTION("""COMPUTED_VALUE"""),43164.66666666667)</f>
        <v>43164.66667</v>
      </c>
      <c r="B625" s="13">
        <f>IFERROR(__xludf.DUMMYFUNCTION("""COMPUTED_VALUE"""),2720.94)</f>
        <v>2720.94</v>
      </c>
      <c r="C625" s="13">
        <f t="shared" si="1"/>
        <v>2726.58</v>
      </c>
      <c r="D625" s="13">
        <f t="shared" si="2"/>
        <v>2759.485</v>
      </c>
      <c r="E625" s="13" t="str">
        <f t="shared" si="3"/>
        <v/>
      </c>
      <c r="F625" s="3">
        <f t="shared" si="4"/>
        <v>0.0110320483</v>
      </c>
      <c r="G625" s="4">
        <f t="shared" si="5"/>
        <v>1.308546861</v>
      </c>
      <c r="H625" s="5">
        <f t="shared" si="6"/>
        <v>0</v>
      </c>
      <c r="I625" s="5">
        <f t="shared" si="7"/>
        <v>1.234632213</v>
      </c>
    </row>
    <row r="626">
      <c r="A626" s="12">
        <f>IFERROR(__xludf.DUMMYFUNCTION("""COMPUTED_VALUE"""),43165.66666666667)</f>
        <v>43165.66667</v>
      </c>
      <c r="B626" s="13">
        <f>IFERROR(__xludf.DUMMYFUNCTION("""COMPUTED_VALUE"""),2728.12)</f>
        <v>2728.12</v>
      </c>
      <c r="C626" s="13">
        <f t="shared" si="1"/>
        <v>2722.19</v>
      </c>
      <c r="D626" s="13">
        <f t="shared" si="2"/>
        <v>2769.21</v>
      </c>
      <c r="E626" s="13" t="str">
        <f t="shared" si="3"/>
        <v/>
      </c>
      <c r="F626" s="3">
        <f t="shared" si="4"/>
        <v>0.002638793946</v>
      </c>
      <c r="G626" s="4">
        <f t="shared" si="5"/>
        <v>1.311999846</v>
      </c>
      <c r="H626" s="5">
        <f t="shared" si="6"/>
        <v>0</v>
      </c>
      <c r="I626" s="5">
        <f t="shared" si="7"/>
        <v>1.234632213</v>
      </c>
    </row>
    <row r="627">
      <c r="A627" s="12">
        <f>IFERROR(__xludf.DUMMYFUNCTION("""COMPUTED_VALUE"""),43166.66666666667)</f>
        <v>43166.66667</v>
      </c>
      <c r="B627" s="13">
        <f>IFERROR(__xludf.DUMMYFUNCTION("""COMPUTED_VALUE"""),2726.8)</f>
        <v>2726.8</v>
      </c>
      <c r="C627" s="13">
        <f t="shared" si="1"/>
        <v>2714.065</v>
      </c>
      <c r="D627" s="13">
        <f t="shared" si="2"/>
        <v>2779.885</v>
      </c>
      <c r="E627" s="13" t="str">
        <f t="shared" si="3"/>
        <v/>
      </c>
      <c r="F627" s="3">
        <f t="shared" si="4"/>
        <v>-0.000483849684</v>
      </c>
      <c r="G627" s="4">
        <f t="shared" si="5"/>
        <v>1.311365035</v>
      </c>
      <c r="H627" s="5">
        <f t="shared" si="6"/>
        <v>0</v>
      </c>
      <c r="I627" s="5">
        <f t="shared" si="7"/>
        <v>1.234632213</v>
      </c>
    </row>
    <row r="628">
      <c r="A628" s="12">
        <f>IFERROR(__xludf.DUMMYFUNCTION("""COMPUTED_VALUE"""),43167.66666666667)</f>
        <v>43167.66667</v>
      </c>
      <c r="B628" s="13">
        <f>IFERROR(__xludf.DUMMYFUNCTION("""COMPUTED_VALUE"""),2738.97)</f>
        <v>2738.97</v>
      </c>
      <c r="C628" s="13">
        <f t="shared" si="1"/>
        <v>2721.465</v>
      </c>
      <c r="D628" s="13">
        <f t="shared" si="2"/>
        <v>2789.05</v>
      </c>
      <c r="E628" s="13" t="str">
        <f t="shared" si="3"/>
        <v/>
      </c>
      <c r="F628" s="3">
        <f t="shared" si="4"/>
        <v>0.004463106939</v>
      </c>
      <c r="G628" s="4">
        <f t="shared" si="5"/>
        <v>1.317217798</v>
      </c>
      <c r="H628" s="5">
        <f t="shared" si="6"/>
        <v>0</v>
      </c>
      <c r="I628" s="5">
        <f t="shared" si="7"/>
        <v>1.234632213</v>
      </c>
    </row>
    <row r="629">
      <c r="A629" s="12">
        <f>IFERROR(__xludf.DUMMYFUNCTION("""COMPUTED_VALUE"""),43168.66666666667)</f>
        <v>43168.66667</v>
      </c>
      <c r="B629" s="13">
        <f>IFERROR(__xludf.DUMMYFUNCTION("""COMPUTED_VALUE"""),2786.57)</f>
        <v>2786.57</v>
      </c>
      <c r="C629" s="13">
        <f t="shared" si="1"/>
        <v>2766.935</v>
      </c>
      <c r="D629" s="13">
        <f t="shared" si="2"/>
        <v>2812.055</v>
      </c>
      <c r="E629" s="13" t="str">
        <f t="shared" si="3"/>
        <v/>
      </c>
      <c r="F629" s="3">
        <f t="shared" si="4"/>
        <v>0.01737879568</v>
      </c>
      <c r="G629" s="4">
        <f t="shared" si="5"/>
        <v>1.340109457</v>
      </c>
      <c r="H629" s="5">
        <f t="shared" si="6"/>
        <v>0</v>
      </c>
      <c r="I629" s="5">
        <f t="shared" si="7"/>
        <v>1.234632213</v>
      </c>
    </row>
    <row r="630">
      <c r="A630" s="12">
        <f>IFERROR(__xludf.DUMMYFUNCTION("""COMPUTED_VALUE"""),43171.66666666667)</f>
        <v>43171.66667</v>
      </c>
      <c r="B630" s="13">
        <f>IFERROR(__xludf.DUMMYFUNCTION("""COMPUTED_VALUE"""),2783.02)</f>
        <v>2783.02</v>
      </c>
      <c r="C630" s="13">
        <f t="shared" si="1"/>
        <v>2781.31</v>
      </c>
      <c r="D630" s="13">
        <f t="shared" si="2"/>
        <v>2811.135</v>
      </c>
      <c r="E630" s="13" t="str">
        <f t="shared" si="3"/>
        <v/>
      </c>
      <c r="F630" s="3">
        <f t="shared" si="4"/>
        <v>-0.001273967638</v>
      </c>
      <c r="G630" s="4">
        <f t="shared" si="5"/>
        <v>1.338402201</v>
      </c>
      <c r="H630" s="5">
        <f t="shared" si="6"/>
        <v>0</v>
      </c>
      <c r="I630" s="5">
        <f t="shared" si="7"/>
        <v>1.234632213</v>
      </c>
    </row>
    <row r="631">
      <c r="A631" s="12">
        <f>IFERROR(__xludf.DUMMYFUNCTION("""COMPUTED_VALUE"""),43172.66666666667)</f>
        <v>43172.66667</v>
      </c>
      <c r="B631" s="13">
        <f>IFERROR(__xludf.DUMMYFUNCTION("""COMPUTED_VALUE"""),2765.31)</f>
        <v>2765.31</v>
      </c>
      <c r="C631" s="13">
        <f t="shared" si="1"/>
        <v>2754.795</v>
      </c>
      <c r="D631" s="13">
        <f t="shared" si="2"/>
        <v>2819.09</v>
      </c>
      <c r="E631" s="13" t="str">
        <f t="shared" si="3"/>
        <v/>
      </c>
      <c r="F631" s="3">
        <f t="shared" si="4"/>
        <v>-0.006363590632</v>
      </c>
      <c r="G631" s="4">
        <f t="shared" si="5"/>
        <v>1.329885157</v>
      </c>
      <c r="H631" s="5">
        <f t="shared" si="6"/>
        <v>0</v>
      </c>
      <c r="I631" s="5">
        <f t="shared" si="7"/>
        <v>1.234632213</v>
      </c>
    </row>
    <row r="632">
      <c r="A632" s="12">
        <f>IFERROR(__xludf.DUMMYFUNCTION("""COMPUTED_VALUE"""),43173.66666666667)</f>
        <v>43173.66667</v>
      </c>
      <c r="B632" s="13">
        <f>IFERROR(__xludf.DUMMYFUNCTION("""COMPUTED_VALUE"""),2749.48)</f>
        <v>2749.48</v>
      </c>
      <c r="C632" s="13">
        <f t="shared" si="1"/>
        <v>2731.655</v>
      </c>
      <c r="D632" s="13">
        <f t="shared" si="2"/>
        <v>2801.505</v>
      </c>
      <c r="E632" s="13" t="str">
        <f t="shared" si="3"/>
        <v/>
      </c>
      <c r="F632" s="3">
        <f t="shared" si="4"/>
        <v>-0.005724493818</v>
      </c>
      <c r="G632" s="4">
        <f t="shared" si="5"/>
        <v>1.322272238</v>
      </c>
      <c r="H632" s="5">
        <f t="shared" si="6"/>
        <v>0</v>
      </c>
      <c r="I632" s="5">
        <f t="shared" si="7"/>
        <v>1.234632213</v>
      </c>
    </row>
    <row r="633">
      <c r="A633" s="12">
        <f>IFERROR(__xludf.DUMMYFUNCTION("""COMPUTED_VALUE"""),43174.66666666667)</f>
        <v>43174.66667</v>
      </c>
      <c r="B633" s="13">
        <f>IFERROR(__xludf.DUMMYFUNCTION("""COMPUTED_VALUE"""),2747.33)</f>
        <v>2747.33</v>
      </c>
      <c r="C633" s="13">
        <f t="shared" si="1"/>
        <v>2712.5</v>
      </c>
      <c r="D633" s="13">
        <f t="shared" si="2"/>
        <v>2784.88</v>
      </c>
      <c r="E633" s="13" t="str">
        <f t="shared" si="3"/>
        <v/>
      </c>
      <c r="F633" s="3">
        <f t="shared" si="4"/>
        <v>-0.0007819660445</v>
      </c>
      <c r="G633" s="4">
        <f t="shared" si="5"/>
        <v>1.321238266</v>
      </c>
      <c r="H633" s="5">
        <f t="shared" si="6"/>
        <v>0</v>
      </c>
      <c r="I633" s="5">
        <f t="shared" si="7"/>
        <v>1.234632213</v>
      </c>
    </row>
    <row r="634">
      <c r="A634" s="12">
        <f>IFERROR(__xludf.DUMMYFUNCTION("""COMPUTED_VALUE"""),43175.66666666667)</f>
        <v>43175.66667</v>
      </c>
      <c r="B634" s="13">
        <f>IFERROR(__xludf.DUMMYFUNCTION("""COMPUTED_VALUE"""),2752.01)</f>
        <v>2752.01</v>
      </c>
      <c r="C634" s="13">
        <f t="shared" si="1"/>
        <v>2721.63</v>
      </c>
      <c r="D634" s="13">
        <f t="shared" si="2"/>
        <v>2787.91</v>
      </c>
      <c r="E634" s="13" t="str">
        <f t="shared" si="3"/>
        <v/>
      </c>
      <c r="F634" s="3">
        <f t="shared" si="4"/>
        <v>0.001703472098</v>
      </c>
      <c r="G634" s="4">
        <f t="shared" si="5"/>
        <v>1.323488958</v>
      </c>
      <c r="H634" s="5">
        <f t="shared" si="6"/>
        <v>0</v>
      </c>
      <c r="I634" s="5">
        <f t="shared" si="7"/>
        <v>1.234632213</v>
      </c>
    </row>
    <row r="635">
      <c r="A635" s="12">
        <f>IFERROR(__xludf.DUMMYFUNCTION("""COMPUTED_VALUE"""),43178.66666666667)</f>
        <v>43178.66667</v>
      </c>
      <c r="B635" s="13">
        <f>IFERROR(__xludf.DUMMYFUNCTION("""COMPUTED_VALUE"""),2712.92)</f>
        <v>2712.92</v>
      </c>
      <c r="C635" s="13">
        <f t="shared" si="1"/>
        <v>2716.93</v>
      </c>
      <c r="D635" s="13">
        <f t="shared" si="2"/>
        <v>2767.45</v>
      </c>
      <c r="E635" s="13" t="str">
        <f t="shared" si="3"/>
        <v/>
      </c>
      <c r="F635" s="3">
        <f t="shared" si="4"/>
        <v>-0.0142041635</v>
      </c>
      <c r="G635" s="4">
        <f t="shared" si="5"/>
        <v>1.304689905</v>
      </c>
      <c r="H635" s="5">
        <f t="shared" si="6"/>
        <v>0</v>
      </c>
      <c r="I635" s="5">
        <f t="shared" si="7"/>
        <v>1.234632213</v>
      </c>
    </row>
    <row r="636">
      <c r="A636" s="12">
        <f>IFERROR(__xludf.DUMMYFUNCTION("""COMPUTED_VALUE"""),43179.66666666667)</f>
        <v>43179.66667</v>
      </c>
      <c r="B636" s="13">
        <f>IFERROR(__xludf.DUMMYFUNCTION("""COMPUTED_VALUE"""),2716.94)</f>
        <v>2716.94</v>
      </c>
      <c r="C636" s="13">
        <f t="shared" si="1"/>
        <v>2722.53</v>
      </c>
      <c r="D636" s="13">
        <f t="shared" si="2"/>
        <v>2739.535</v>
      </c>
      <c r="E636" s="13" t="str">
        <f t="shared" si="3"/>
        <v/>
      </c>
      <c r="F636" s="3">
        <f t="shared" si="4"/>
        <v>0.00148179821</v>
      </c>
      <c r="G636" s="4">
        <f t="shared" si="5"/>
        <v>1.306623192</v>
      </c>
      <c r="H636" s="5">
        <f t="shared" si="6"/>
        <v>0</v>
      </c>
      <c r="I636" s="5">
        <f t="shared" si="7"/>
        <v>1.234632213</v>
      </c>
    </row>
    <row r="637">
      <c r="A637" s="12">
        <f>IFERROR(__xludf.DUMMYFUNCTION("""COMPUTED_VALUE"""),43180.66666666667)</f>
        <v>43180.66667</v>
      </c>
      <c r="B637" s="13">
        <f>IFERROR(__xludf.DUMMYFUNCTION("""COMPUTED_VALUE"""),2711.93)</f>
        <v>2711.93</v>
      </c>
      <c r="C637" s="13">
        <f t="shared" si="1"/>
        <v>2719.365</v>
      </c>
      <c r="D637" s="13">
        <f t="shared" si="2"/>
        <v>2680.435</v>
      </c>
      <c r="E637" s="13" t="str">
        <f t="shared" si="3"/>
        <v>LONG</v>
      </c>
      <c r="F637" s="3">
        <f t="shared" si="4"/>
        <v>-0.001843986249</v>
      </c>
      <c r="G637" s="4">
        <f t="shared" si="5"/>
        <v>1.304213797</v>
      </c>
      <c r="H637" s="3">
        <f t="shared" si="6"/>
        <v>-0.001843986249</v>
      </c>
      <c r="I637" s="5">
        <f t="shared" si="7"/>
        <v>1.232355568</v>
      </c>
    </row>
    <row r="638">
      <c r="A638" s="12">
        <f>IFERROR(__xludf.DUMMYFUNCTION("""COMPUTED_VALUE"""),43181.66666666667)</f>
        <v>43181.66667</v>
      </c>
      <c r="B638" s="13">
        <f>IFERROR(__xludf.DUMMYFUNCTION("""COMPUTED_VALUE"""),2643.69)</f>
        <v>2643.69</v>
      </c>
      <c r="C638" s="13">
        <f t="shared" si="1"/>
        <v>2691.33</v>
      </c>
      <c r="D638" s="13">
        <f t="shared" si="2"/>
        <v>2669.415</v>
      </c>
      <c r="E638" s="13" t="str">
        <f t="shared" si="3"/>
        <v>LONG</v>
      </c>
      <c r="F638" s="3">
        <f t="shared" si="4"/>
        <v>-0.02516289137</v>
      </c>
      <c r="G638" s="4">
        <f t="shared" si="5"/>
        <v>1.271396006</v>
      </c>
      <c r="H638" s="3">
        <f t="shared" si="6"/>
        <v>-0.02516289137</v>
      </c>
      <c r="I638" s="5">
        <f t="shared" si="7"/>
        <v>1.201345939</v>
      </c>
    </row>
    <row r="639">
      <c r="A639" s="12">
        <f>IFERROR(__xludf.DUMMYFUNCTION("""COMPUTED_VALUE"""),43182.66666666667)</f>
        <v>43182.66667</v>
      </c>
      <c r="B639" s="13">
        <f>IFERROR(__xludf.DUMMYFUNCTION("""COMPUTED_VALUE"""),2588.26)</f>
        <v>2588.26</v>
      </c>
      <c r="C639" s="13">
        <f t="shared" si="1"/>
        <v>2687.415</v>
      </c>
      <c r="D639" s="13">
        <f t="shared" si="2"/>
        <v>2634.96</v>
      </c>
      <c r="E639" s="13" t="str">
        <f t="shared" si="3"/>
        <v>LONG</v>
      </c>
      <c r="F639" s="3">
        <f t="shared" si="4"/>
        <v>-0.0209669061</v>
      </c>
      <c r="G639" s="4">
        <f t="shared" si="5"/>
        <v>1.244738766</v>
      </c>
      <c r="H639" s="3">
        <f t="shared" si="6"/>
        <v>-0.0209669061</v>
      </c>
      <c r="I639" s="5">
        <f t="shared" si="7"/>
        <v>1.176157431</v>
      </c>
    </row>
    <row r="640">
      <c r="A640" s="12">
        <f>IFERROR(__xludf.DUMMYFUNCTION("""COMPUTED_VALUE"""),43185.66666666667)</f>
        <v>43185.66667</v>
      </c>
      <c r="B640" s="13">
        <f>IFERROR(__xludf.DUMMYFUNCTION("""COMPUTED_VALUE"""),2658.55)</f>
        <v>2658.55</v>
      </c>
      <c r="C640" s="13">
        <f t="shared" si="1"/>
        <v>2720.785</v>
      </c>
      <c r="D640" s="13">
        <f t="shared" si="2"/>
        <v>2619.775</v>
      </c>
      <c r="E640" s="13" t="str">
        <f t="shared" si="3"/>
        <v>LONG</v>
      </c>
      <c r="F640" s="3">
        <f t="shared" si="4"/>
        <v>0.02715724077</v>
      </c>
      <c r="G640" s="4">
        <f t="shared" si="5"/>
        <v>1.278542436</v>
      </c>
      <c r="H640" s="3">
        <f t="shared" si="6"/>
        <v>0.02715724077</v>
      </c>
      <c r="I640" s="5">
        <f t="shared" si="7"/>
        <v>1.208098622</v>
      </c>
    </row>
    <row r="641">
      <c r="A641" s="12">
        <f>IFERROR(__xludf.DUMMYFUNCTION("""COMPUTED_VALUE"""),43186.66666666667)</f>
        <v>43186.66667</v>
      </c>
      <c r="B641" s="13">
        <f>IFERROR(__xludf.DUMMYFUNCTION("""COMPUTED_VALUE"""),2612.62)</f>
        <v>2612.62</v>
      </c>
      <c r="C641" s="13">
        <f t="shared" si="1"/>
        <v>2688.965</v>
      </c>
      <c r="D641" s="13">
        <f t="shared" si="2"/>
        <v>2616.085</v>
      </c>
      <c r="E641" s="13" t="str">
        <f t="shared" si="3"/>
        <v>LONG</v>
      </c>
      <c r="F641" s="3">
        <f t="shared" si="4"/>
        <v>-0.01727633484</v>
      </c>
      <c r="G641" s="4">
        <f t="shared" si="5"/>
        <v>1.256453909</v>
      </c>
      <c r="H641" s="3">
        <f t="shared" si="6"/>
        <v>-0.01727633484</v>
      </c>
      <c r="I641" s="5">
        <f t="shared" si="7"/>
        <v>1.187227106</v>
      </c>
    </row>
    <row r="642">
      <c r="A642" s="12">
        <f>IFERROR(__xludf.DUMMYFUNCTION("""COMPUTED_VALUE"""),43187.66666666667)</f>
        <v>43187.66667</v>
      </c>
      <c r="B642" s="13">
        <f>IFERROR(__xludf.DUMMYFUNCTION("""COMPUTED_VALUE"""),2605.0)</f>
        <v>2605</v>
      </c>
      <c r="C642" s="13">
        <f t="shared" si="1"/>
        <v>2677.24</v>
      </c>
      <c r="D642" s="13">
        <f t="shared" si="2"/>
        <v>2630.5</v>
      </c>
      <c r="E642" s="13" t="str">
        <f t="shared" si="3"/>
        <v>LONG</v>
      </c>
      <c r="F642" s="3">
        <f t="shared" si="4"/>
        <v>-0.002916612443</v>
      </c>
      <c r="G642" s="4">
        <f t="shared" si="5"/>
        <v>1.25278932</v>
      </c>
      <c r="H642" s="3">
        <f t="shared" si="6"/>
        <v>-0.002916612443</v>
      </c>
      <c r="I642" s="5">
        <f t="shared" si="7"/>
        <v>1.183764424</v>
      </c>
    </row>
    <row r="643">
      <c r="A643" s="12">
        <f>IFERROR(__xludf.DUMMYFUNCTION("""COMPUTED_VALUE"""),43188.66666666667)</f>
        <v>43188.66667</v>
      </c>
      <c r="B643" s="13">
        <f>IFERROR(__xludf.DUMMYFUNCTION("""COMPUTED_VALUE"""),2640.87)</f>
        <v>2640.87</v>
      </c>
      <c r="C643" s="13">
        <f t="shared" si="1"/>
        <v>2694.1</v>
      </c>
      <c r="D643" s="13">
        <f t="shared" si="2"/>
        <v>2651.905</v>
      </c>
      <c r="E643" s="13" t="str">
        <f t="shared" si="3"/>
        <v>LONG</v>
      </c>
      <c r="F643" s="3">
        <f t="shared" si="4"/>
        <v>0.0137696737</v>
      </c>
      <c r="G643" s="4">
        <f t="shared" si="5"/>
        <v>1.27003982</v>
      </c>
      <c r="H643" s="3">
        <f t="shared" si="6"/>
        <v>0.0137696737</v>
      </c>
      <c r="I643" s="5">
        <f t="shared" si="7"/>
        <v>1.200064474</v>
      </c>
    </row>
    <row r="644">
      <c r="A644" s="12">
        <f>IFERROR(__xludf.DUMMYFUNCTION("""COMPUTED_VALUE"""),43192.66666666667)</f>
        <v>43192.66667</v>
      </c>
      <c r="B644" s="13">
        <f>IFERROR(__xludf.DUMMYFUNCTION("""COMPUTED_VALUE"""),2581.88)</f>
        <v>2581.88</v>
      </c>
      <c r="C644" s="13">
        <f t="shared" si="1"/>
        <v>2666.945</v>
      </c>
      <c r="D644" s="13">
        <f t="shared" si="2"/>
        <v>2640.255</v>
      </c>
      <c r="E644" s="13" t="str">
        <f t="shared" si="3"/>
        <v>LONG</v>
      </c>
      <c r="F644" s="3">
        <f t="shared" si="4"/>
        <v>-0.0223373358</v>
      </c>
      <c r="G644" s="4">
        <f t="shared" si="5"/>
        <v>1.241670514</v>
      </c>
      <c r="H644" s="3">
        <f t="shared" si="6"/>
        <v>-0.0223373358</v>
      </c>
      <c r="I644" s="5">
        <f t="shared" si="7"/>
        <v>1.173258231</v>
      </c>
    </row>
    <row r="645">
      <c r="A645" s="12">
        <f>IFERROR(__xludf.DUMMYFUNCTION("""COMPUTED_VALUE"""),43193.66666666667)</f>
        <v>43193.66667</v>
      </c>
      <c r="B645" s="13">
        <f>IFERROR(__xludf.DUMMYFUNCTION("""COMPUTED_VALUE"""),2614.45)</f>
        <v>2614.45</v>
      </c>
      <c r="C645" s="13">
        <f t="shared" si="1"/>
        <v>2663.685</v>
      </c>
      <c r="D645" s="13">
        <f t="shared" si="2"/>
        <v>2672.825</v>
      </c>
      <c r="E645" s="13" t="str">
        <f t="shared" si="3"/>
        <v/>
      </c>
      <c r="F645" s="3">
        <f t="shared" si="4"/>
        <v>0.0126148388</v>
      </c>
      <c r="G645" s="4">
        <f t="shared" si="5"/>
        <v>1.257333987</v>
      </c>
      <c r="H645" s="5">
        <f t="shared" si="6"/>
        <v>0</v>
      </c>
      <c r="I645" s="5">
        <f t="shared" si="7"/>
        <v>1.173258231</v>
      </c>
    </row>
    <row r="646">
      <c r="A646" s="12">
        <f>IFERROR(__xludf.DUMMYFUNCTION("""COMPUTED_VALUE"""),43194.66666666667)</f>
        <v>43194.66667</v>
      </c>
      <c r="B646" s="13">
        <f>IFERROR(__xludf.DUMMYFUNCTION("""COMPUTED_VALUE"""),2644.69)</f>
        <v>2644.69</v>
      </c>
      <c r="C646" s="13">
        <f t="shared" si="1"/>
        <v>2680.815</v>
      </c>
      <c r="D646" s="13">
        <f t="shared" si="2"/>
        <v>2688.455</v>
      </c>
      <c r="E646" s="13" t="str">
        <f t="shared" si="3"/>
        <v/>
      </c>
      <c r="F646" s="3">
        <f t="shared" si="4"/>
        <v>0.01156648626</v>
      </c>
      <c r="G646" s="4">
        <f t="shared" si="5"/>
        <v>1.271876924</v>
      </c>
      <c r="H646" s="5">
        <f t="shared" si="6"/>
        <v>0</v>
      </c>
      <c r="I646" s="5">
        <f t="shared" si="7"/>
        <v>1.173258231</v>
      </c>
    </row>
    <row r="647">
      <c r="A647" s="12">
        <f>IFERROR(__xludf.DUMMYFUNCTION("""COMPUTED_VALUE"""),43195.66666666667)</f>
        <v>43195.66667</v>
      </c>
      <c r="B647" s="13">
        <f>IFERROR(__xludf.DUMMYFUNCTION("""COMPUTED_VALUE"""),2662.84)</f>
        <v>2662.84</v>
      </c>
      <c r="C647" s="13">
        <f t="shared" si="1"/>
        <v>2687.385</v>
      </c>
      <c r="D647" s="13">
        <f t="shared" si="2"/>
        <v>2689.55</v>
      </c>
      <c r="E647" s="13" t="str">
        <f t="shared" si="3"/>
        <v/>
      </c>
      <c r="F647" s="3">
        <f t="shared" si="4"/>
        <v>0.006862808117</v>
      </c>
      <c r="G647" s="4">
        <f t="shared" si="5"/>
        <v>1.280605571</v>
      </c>
      <c r="H647" s="5">
        <f t="shared" si="6"/>
        <v>0</v>
      </c>
      <c r="I647" s="5">
        <f t="shared" si="7"/>
        <v>1.173258231</v>
      </c>
    </row>
    <row r="648">
      <c r="A648" s="12">
        <f>IFERROR(__xludf.DUMMYFUNCTION("""COMPUTED_VALUE"""),43196.66666666667)</f>
        <v>43196.66667</v>
      </c>
      <c r="B648" s="13">
        <f>IFERROR(__xludf.DUMMYFUNCTION("""COMPUTED_VALUE"""),2604.47)</f>
        <v>2604.47</v>
      </c>
      <c r="C648" s="13">
        <f t="shared" si="1"/>
        <v>2624.08</v>
      </c>
      <c r="D648" s="13">
        <f t="shared" si="2"/>
        <v>2652.9</v>
      </c>
      <c r="E648" s="13" t="str">
        <f t="shared" si="3"/>
        <v/>
      </c>
      <c r="F648" s="3">
        <f t="shared" si="4"/>
        <v>-0.02192020549</v>
      </c>
      <c r="G648" s="4">
        <f t="shared" si="5"/>
        <v>1.252534434</v>
      </c>
      <c r="H648" s="5">
        <f t="shared" si="6"/>
        <v>0</v>
      </c>
      <c r="I648" s="5">
        <f t="shared" si="7"/>
        <v>1.173258231</v>
      </c>
    </row>
    <row r="649">
      <c r="A649" s="12">
        <f>IFERROR(__xludf.DUMMYFUNCTION("""COMPUTED_VALUE"""),43199.66666666667)</f>
        <v>43199.66667</v>
      </c>
      <c r="B649" s="13">
        <f>IFERROR(__xludf.DUMMYFUNCTION("""COMPUTED_VALUE"""),2613.16)</f>
        <v>2613.16</v>
      </c>
      <c r="C649" s="13">
        <f t="shared" si="1"/>
        <v>2600.71</v>
      </c>
      <c r="D649" s="13">
        <f t="shared" si="2"/>
        <v>2658.56</v>
      </c>
      <c r="E649" s="13" t="str">
        <f t="shared" si="3"/>
        <v/>
      </c>
      <c r="F649" s="3">
        <f t="shared" si="4"/>
        <v>0.003336571356</v>
      </c>
      <c r="G649" s="4">
        <f t="shared" si="5"/>
        <v>1.256713604</v>
      </c>
      <c r="H649" s="5">
        <f t="shared" si="6"/>
        <v>0</v>
      </c>
      <c r="I649" s="5">
        <f t="shared" si="7"/>
        <v>1.173258231</v>
      </c>
    </row>
    <row r="650">
      <c r="A650" s="12">
        <f>IFERROR(__xludf.DUMMYFUNCTION("""COMPUTED_VALUE"""),43200.66666666667)</f>
        <v>43200.66667</v>
      </c>
      <c r="B650" s="13">
        <f>IFERROR(__xludf.DUMMYFUNCTION("""COMPUTED_VALUE"""),2656.87)</f>
        <v>2656.87</v>
      </c>
      <c r="C650" s="13">
        <f t="shared" si="1"/>
        <v>2657.71</v>
      </c>
      <c r="D650" s="13">
        <f t="shared" si="2"/>
        <v>2702.085</v>
      </c>
      <c r="E650" s="13" t="str">
        <f t="shared" si="3"/>
        <v/>
      </c>
      <c r="F650" s="3">
        <f t="shared" si="4"/>
        <v>0.01672687474</v>
      </c>
      <c r="G650" s="4">
        <f t="shared" si="5"/>
        <v>1.277734495</v>
      </c>
      <c r="H650" s="5">
        <f t="shared" si="6"/>
        <v>0</v>
      </c>
      <c r="I650" s="5">
        <f t="shared" si="7"/>
        <v>1.173258231</v>
      </c>
    </row>
    <row r="651">
      <c r="A651" s="12">
        <f>IFERROR(__xludf.DUMMYFUNCTION("""COMPUTED_VALUE"""),43201.66666666667)</f>
        <v>43201.66667</v>
      </c>
      <c r="B651" s="13">
        <f>IFERROR(__xludf.DUMMYFUNCTION("""COMPUTED_VALUE"""),2642.19)</f>
        <v>2642.19</v>
      </c>
      <c r="C651" s="13">
        <f t="shared" si="1"/>
        <v>2627.405</v>
      </c>
      <c r="D651" s="13">
        <f t="shared" si="2"/>
        <v>2710.895</v>
      </c>
      <c r="E651" s="13" t="str">
        <f t="shared" si="3"/>
        <v/>
      </c>
      <c r="F651" s="3">
        <f t="shared" si="4"/>
        <v>-0.005525298566</v>
      </c>
      <c r="G651" s="4">
        <f t="shared" si="5"/>
        <v>1.270674631</v>
      </c>
      <c r="H651" s="5">
        <f t="shared" si="6"/>
        <v>0</v>
      </c>
      <c r="I651" s="5">
        <f t="shared" si="7"/>
        <v>1.173258231</v>
      </c>
    </row>
    <row r="652">
      <c r="A652" s="12">
        <f>IFERROR(__xludf.DUMMYFUNCTION("""COMPUTED_VALUE"""),43202.66666666667)</f>
        <v>43202.66667</v>
      </c>
      <c r="B652" s="13">
        <f>IFERROR(__xludf.DUMMYFUNCTION("""COMPUTED_VALUE"""),2663.99)</f>
        <v>2663.99</v>
      </c>
      <c r="C652" s="13">
        <f t="shared" si="1"/>
        <v>2634.495</v>
      </c>
      <c r="D652" s="13">
        <f t="shared" si="2"/>
        <v>2704.135</v>
      </c>
      <c r="E652" s="13" t="str">
        <f t="shared" si="3"/>
        <v/>
      </c>
      <c r="F652" s="3">
        <f t="shared" si="4"/>
        <v>0.008250731401</v>
      </c>
      <c r="G652" s="4">
        <f t="shared" si="5"/>
        <v>1.281158626</v>
      </c>
      <c r="H652" s="5">
        <f t="shared" si="6"/>
        <v>0</v>
      </c>
      <c r="I652" s="5">
        <f t="shared" si="7"/>
        <v>1.173258231</v>
      </c>
    </row>
    <row r="653">
      <c r="A653" s="12">
        <f>IFERROR(__xludf.DUMMYFUNCTION("""COMPUTED_VALUE"""),43203.66666666667)</f>
        <v>43203.66667</v>
      </c>
      <c r="B653" s="13">
        <f>IFERROR(__xludf.DUMMYFUNCTION("""COMPUTED_VALUE"""),2656.3)</f>
        <v>2656.3</v>
      </c>
      <c r="C653" s="13">
        <f t="shared" si="1"/>
        <v>2648.585</v>
      </c>
      <c r="D653" s="13">
        <f t="shared" si="2"/>
        <v>2685.065</v>
      </c>
      <c r="E653" s="13" t="str">
        <f t="shared" si="3"/>
        <v/>
      </c>
      <c r="F653" s="3">
        <f t="shared" si="4"/>
        <v>-0.002886647472</v>
      </c>
      <c r="G653" s="4">
        <f t="shared" si="5"/>
        <v>1.277460372</v>
      </c>
      <c r="H653" s="5">
        <f t="shared" si="6"/>
        <v>0</v>
      </c>
      <c r="I653" s="5">
        <f t="shared" si="7"/>
        <v>1.173258231</v>
      </c>
    </row>
    <row r="654">
      <c r="A654" s="12">
        <f>IFERROR(__xludf.DUMMYFUNCTION("""COMPUTED_VALUE"""),43206.66666666667)</f>
        <v>43206.66667</v>
      </c>
      <c r="B654" s="13">
        <f>IFERROR(__xludf.DUMMYFUNCTION("""COMPUTED_VALUE"""),2677.84)</f>
        <v>2677.84</v>
      </c>
      <c r="C654" s="13">
        <f t="shared" si="1"/>
        <v>2629.86</v>
      </c>
      <c r="D654" s="13">
        <f t="shared" si="2"/>
        <v>2677.755</v>
      </c>
      <c r="E654" s="13" t="str">
        <f t="shared" si="3"/>
        <v/>
      </c>
      <c r="F654" s="3">
        <f t="shared" si="4"/>
        <v>0.00810902383</v>
      </c>
      <c r="G654" s="4">
        <f t="shared" si="5"/>
        <v>1.287819329</v>
      </c>
      <c r="H654" s="5">
        <f t="shared" si="6"/>
        <v>0</v>
      </c>
      <c r="I654" s="5">
        <f t="shared" si="7"/>
        <v>1.173258231</v>
      </c>
    </row>
    <row r="655">
      <c r="A655" s="12">
        <f>IFERROR(__xludf.DUMMYFUNCTION("""COMPUTED_VALUE"""),43207.66666666667)</f>
        <v>43207.66667</v>
      </c>
      <c r="B655" s="13">
        <f>IFERROR(__xludf.DUMMYFUNCTION("""COMPUTED_VALUE"""),2706.39)</f>
        <v>2706.39</v>
      </c>
      <c r="C655" s="13">
        <f t="shared" si="1"/>
        <v>2660.42</v>
      </c>
      <c r="D655" s="13">
        <f t="shared" si="2"/>
        <v>2698.82</v>
      </c>
      <c r="E655" s="13" t="str">
        <f t="shared" si="3"/>
        <v/>
      </c>
      <c r="F655" s="3">
        <f t="shared" si="4"/>
        <v>0.01066157799</v>
      </c>
      <c r="G655" s="4">
        <f t="shared" si="5"/>
        <v>1.301549515</v>
      </c>
      <c r="H655" s="5">
        <f t="shared" si="6"/>
        <v>0</v>
      </c>
      <c r="I655" s="5">
        <f t="shared" si="7"/>
        <v>1.173258231</v>
      </c>
    </row>
    <row r="656">
      <c r="A656" s="12">
        <f>IFERROR(__xludf.DUMMYFUNCTION("""COMPUTED_VALUE"""),43208.66666666667)</f>
        <v>43208.66667</v>
      </c>
      <c r="B656" s="13">
        <f>IFERROR(__xludf.DUMMYFUNCTION("""COMPUTED_VALUE"""),2708.64)</f>
        <v>2708.64</v>
      </c>
      <c r="C656" s="13">
        <f t="shared" si="1"/>
        <v>2676.665</v>
      </c>
      <c r="D656" s="13">
        <f t="shared" si="2"/>
        <v>2714.79</v>
      </c>
      <c r="E656" s="13" t="str">
        <f t="shared" si="3"/>
        <v/>
      </c>
      <c r="F656" s="3">
        <f t="shared" si="4"/>
        <v>0.0008313657677</v>
      </c>
      <c r="G656" s="4">
        <f t="shared" si="5"/>
        <v>1.302631579</v>
      </c>
      <c r="H656" s="5">
        <f t="shared" si="6"/>
        <v>0</v>
      </c>
      <c r="I656" s="5">
        <f t="shared" si="7"/>
        <v>1.173258231</v>
      </c>
    </row>
    <row r="657">
      <c r="A657" s="12">
        <f>IFERROR(__xludf.DUMMYFUNCTION("""COMPUTED_VALUE"""),43209.66666666667)</f>
        <v>43209.66667</v>
      </c>
      <c r="B657" s="13">
        <f>IFERROR(__xludf.DUMMYFUNCTION("""COMPUTED_VALUE"""),2693.13)</f>
        <v>2693.13</v>
      </c>
      <c r="C657" s="13">
        <f t="shared" si="1"/>
        <v>2677.985</v>
      </c>
      <c r="D657" s="13">
        <f t="shared" si="2"/>
        <v>2710.625</v>
      </c>
      <c r="E657" s="13" t="str">
        <f t="shared" si="3"/>
        <v/>
      </c>
      <c r="F657" s="3">
        <f t="shared" si="4"/>
        <v>-0.005726120858</v>
      </c>
      <c r="G657" s="4">
        <f t="shared" si="5"/>
        <v>1.295172553</v>
      </c>
      <c r="H657" s="5">
        <f t="shared" si="6"/>
        <v>0</v>
      </c>
      <c r="I657" s="5">
        <f t="shared" si="7"/>
        <v>1.173258231</v>
      </c>
    </row>
    <row r="658">
      <c r="A658" s="12">
        <f>IFERROR(__xludf.DUMMYFUNCTION("""COMPUTED_VALUE"""),43210.66666666667)</f>
        <v>43210.66667</v>
      </c>
      <c r="B658" s="13">
        <f>IFERROR(__xludf.DUMMYFUNCTION("""COMPUTED_VALUE"""),2670.14)</f>
        <v>2670.14</v>
      </c>
      <c r="C658" s="13">
        <f t="shared" si="1"/>
        <v>2637.305</v>
      </c>
      <c r="D658" s="13">
        <f t="shared" si="2"/>
        <v>2698.47</v>
      </c>
      <c r="E658" s="13" t="str">
        <f t="shared" si="3"/>
        <v/>
      </c>
      <c r="F658" s="3">
        <f t="shared" si="4"/>
        <v>-0.008536535555</v>
      </c>
      <c r="G658" s="4">
        <f t="shared" si="5"/>
        <v>1.284116267</v>
      </c>
      <c r="H658" s="5">
        <f t="shared" si="6"/>
        <v>0</v>
      </c>
      <c r="I658" s="5">
        <f t="shared" si="7"/>
        <v>1.173258231</v>
      </c>
    </row>
    <row r="659">
      <c r="A659" s="12">
        <f>IFERROR(__xludf.DUMMYFUNCTION("""COMPUTED_VALUE"""),43213.66666666667)</f>
        <v>43213.66667</v>
      </c>
      <c r="B659" s="13">
        <f>IFERROR(__xludf.DUMMYFUNCTION("""COMPUTED_VALUE"""),2670.29)</f>
        <v>2670.29</v>
      </c>
      <c r="C659" s="13">
        <f t="shared" si="1"/>
        <v>2641.725</v>
      </c>
      <c r="D659" s="13">
        <f t="shared" si="2"/>
        <v>2704.63</v>
      </c>
      <c r="E659" s="13" t="str">
        <f t="shared" si="3"/>
        <v/>
      </c>
      <c r="F659" s="3">
        <f t="shared" si="4"/>
        <v>0.00005617682968</v>
      </c>
      <c r="G659" s="4">
        <f t="shared" si="5"/>
        <v>1.284188404</v>
      </c>
      <c r="H659" s="5">
        <f t="shared" si="6"/>
        <v>0</v>
      </c>
      <c r="I659" s="5">
        <f t="shared" si="7"/>
        <v>1.173258231</v>
      </c>
    </row>
    <row r="660">
      <c r="A660" s="12">
        <f>IFERROR(__xludf.DUMMYFUNCTION("""COMPUTED_VALUE"""),43214.66666666667)</f>
        <v>43214.66667</v>
      </c>
      <c r="B660" s="13">
        <f>IFERROR(__xludf.DUMMYFUNCTION("""COMPUTED_VALUE"""),2634.56)</f>
        <v>2634.56</v>
      </c>
      <c r="C660" s="13">
        <f t="shared" si="1"/>
        <v>2645.715</v>
      </c>
      <c r="D660" s="13">
        <f t="shared" si="2"/>
        <v>2710.565</v>
      </c>
      <c r="E660" s="13" t="str">
        <f t="shared" si="3"/>
        <v/>
      </c>
      <c r="F660" s="3">
        <f t="shared" si="4"/>
        <v>-0.01338056915</v>
      </c>
      <c r="G660" s="4">
        <f t="shared" si="5"/>
        <v>1.267005232</v>
      </c>
      <c r="H660" s="5">
        <f t="shared" si="6"/>
        <v>0</v>
      </c>
      <c r="I660" s="5">
        <f t="shared" si="7"/>
        <v>1.173258231</v>
      </c>
    </row>
    <row r="661">
      <c r="A661" s="12">
        <f>IFERROR(__xludf.DUMMYFUNCTION("""COMPUTED_VALUE"""),43215.66666666667)</f>
        <v>43215.66667</v>
      </c>
      <c r="B661" s="13">
        <f>IFERROR(__xludf.DUMMYFUNCTION("""COMPUTED_VALUE"""),2639.4)</f>
        <v>2639.4</v>
      </c>
      <c r="C661" s="13">
        <f t="shared" si="1"/>
        <v>2640.795</v>
      </c>
      <c r="D661" s="13">
        <f t="shared" si="2"/>
        <v>2711.21</v>
      </c>
      <c r="E661" s="13" t="str">
        <f t="shared" si="3"/>
        <v/>
      </c>
      <c r="F661" s="3">
        <f t="shared" si="4"/>
        <v>0.001837118912</v>
      </c>
      <c r="G661" s="4">
        <f t="shared" si="5"/>
        <v>1.269332872</v>
      </c>
      <c r="H661" s="5">
        <f t="shared" si="6"/>
        <v>0</v>
      </c>
      <c r="I661" s="5">
        <f t="shared" si="7"/>
        <v>1.173258231</v>
      </c>
    </row>
    <row r="662">
      <c r="A662" s="12">
        <f>IFERROR(__xludf.DUMMYFUNCTION("""COMPUTED_VALUE"""),43216.66666666667)</f>
        <v>43216.66667</v>
      </c>
      <c r="B662" s="13">
        <f>IFERROR(__xludf.DUMMYFUNCTION("""COMPUTED_VALUE"""),2666.94)</f>
        <v>2666.94</v>
      </c>
      <c r="C662" s="13">
        <f t="shared" si="1"/>
        <v>2665.465</v>
      </c>
      <c r="D662" s="13">
        <f t="shared" si="2"/>
        <v>2716.125</v>
      </c>
      <c r="E662" s="13" t="str">
        <f t="shared" si="3"/>
        <v/>
      </c>
      <c r="F662" s="3">
        <f t="shared" si="4"/>
        <v>0.01043418959</v>
      </c>
      <c r="G662" s="4">
        <f t="shared" si="5"/>
        <v>1.282577331</v>
      </c>
      <c r="H662" s="5">
        <f t="shared" si="6"/>
        <v>0</v>
      </c>
      <c r="I662" s="5">
        <f t="shared" si="7"/>
        <v>1.173258231</v>
      </c>
    </row>
    <row r="663">
      <c r="A663" s="12">
        <f>IFERROR(__xludf.DUMMYFUNCTION("""COMPUTED_VALUE"""),43217.66666666667)</f>
        <v>43217.66667</v>
      </c>
      <c r="B663" s="13">
        <f>IFERROR(__xludf.DUMMYFUNCTION("""COMPUTED_VALUE"""),2669.91)</f>
        <v>2669.91</v>
      </c>
      <c r="C663" s="13">
        <f t="shared" si="1"/>
        <v>2663.105</v>
      </c>
      <c r="D663" s="13">
        <f t="shared" si="2"/>
        <v>2709.695</v>
      </c>
      <c r="E663" s="13" t="str">
        <f t="shared" si="3"/>
        <v/>
      </c>
      <c r="F663" s="3">
        <f t="shared" si="4"/>
        <v>0.001113635852</v>
      </c>
      <c r="G663" s="4">
        <f t="shared" si="5"/>
        <v>1.284005656</v>
      </c>
      <c r="H663" s="5">
        <f t="shared" si="6"/>
        <v>0</v>
      </c>
      <c r="I663" s="5">
        <f t="shared" si="7"/>
        <v>1.173258231</v>
      </c>
    </row>
    <row r="664">
      <c r="A664" s="12">
        <f>IFERROR(__xludf.DUMMYFUNCTION("""COMPUTED_VALUE"""),43220.66666666667)</f>
        <v>43220.66667</v>
      </c>
      <c r="B664" s="13">
        <f>IFERROR(__xludf.DUMMYFUNCTION("""COMPUTED_VALUE"""),2648.05)</f>
        <v>2648.05</v>
      </c>
      <c r="C664" s="13">
        <f t="shared" si="1"/>
        <v>2662.945</v>
      </c>
      <c r="D664" s="13">
        <f t="shared" si="2"/>
        <v>2697.69</v>
      </c>
      <c r="E664" s="13" t="str">
        <f t="shared" si="3"/>
        <v/>
      </c>
      <c r="F664" s="3">
        <f t="shared" si="4"/>
        <v>-0.008187541902</v>
      </c>
      <c r="G664" s="4">
        <f t="shared" si="5"/>
        <v>1.273492805</v>
      </c>
      <c r="H664" s="5">
        <f t="shared" si="6"/>
        <v>0</v>
      </c>
      <c r="I664" s="5">
        <f t="shared" si="7"/>
        <v>1.173258231</v>
      </c>
    </row>
    <row r="665">
      <c r="A665" s="12">
        <f>IFERROR(__xludf.DUMMYFUNCTION("""COMPUTED_VALUE"""),43221.66666666667)</f>
        <v>43221.66667</v>
      </c>
      <c r="B665" s="13">
        <f>IFERROR(__xludf.DUMMYFUNCTION("""COMPUTED_VALUE"""),2654.8)</f>
        <v>2654.8</v>
      </c>
      <c r="C665" s="13">
        <f t="shared" si="1"/>
        <v>2680.595</v>
      </c>
      <c r="D665" s="13">
        <f t="shared" si="2"/>
        <v>2703.405</v>
      </c>
      <c r="E665" s="13" t="str">
        <f t="shared" si="3"/>
        <v/>
      </c>
      <c r="F665" s="3">
        <f t="shared" si="4"/>
        <v>0.002549045524</v>
      </c>
      <c r="G665" s="4">
        <f t="shared" si="5"/>
        <v>1.276738997</v>
      </c>
      <c r="H665" s="5">
        <f t="shared" si="6"/>
        <v>0</v>
      </c>
      <c r="I665" s="5">
        <f t="shared" si="7"/>
        <v>1.173258231</v>
      </c>
    </row>
    <row r="666">
      <c r="A666" s="12">
        <f>IFERROR(__xludf.DUMMYFUNCTION("""COMPUTED_VALUE"""),43222.66666666667)</f>
        <v>43222.66667</v>
      </c>
      <c r="B666" s="13">
        <f>IFERROR(__xludf.DUMMYFUNCTION("""COMPUTED_VALUE"""),2635.67)</f>
        <v>2635.67</v>
      </c>
      <c r="C666" s="13">
        <f t="shared" si="1"/>
        <v>2672.155</v>
      </c>
      <c r="D666" s="13">
        <f t="shared" si="2"/>
        <v>2674.295</v>
      </c>
      <c r="E666" s="13" t="str">
        <f t="shared" si="3"/>
        <v/>
      </c>
      <c r="F666" s="3">
        <f t="shared" si="4"/>
        <v>-0.007205815881</v>
      </c>
      <c r="G666" s="4">
        <f t="shared" si="5"/>
        <v>1.26753905</v>
      </c>
      <c r="H666" s="5">
        <f t="shared" si="6"/>
        <v>0</v>
      </c>
      <c r="I666" s="5">
        <f t="shared" si="7"/>
        <v>1.173258231</v>
      </c>
    </row>
    <row r="667">
      <c r="A667" s="12">
        <f>IFERROR(__xludf.DUMMYFUNCTION("""COMPUTED_VALUE"""),43223.66666666667)</f>
        <v>43223.66667</v>
      </c>
      <c r="B667" s="13">
        <f>IFERROR(__xludf.DUMMYFUNCTION("""COMPUTED_VALUE"""),2629.73)</f>
        <v>2629.73</v>
      </c>
      <c r="C667" s="13">
        <f t="shared" si="1"/>
        <v>2661.43</v>
      </c>
      <c r="D667" s="13">
        <f t="shared" si="2"/>
        <v>2673.335</v>
      </c>
      <c r="E667" s="13" t="str">
        <f t="shared" si="3"/>
        <v/>
      </c>
      <c r="F667" s="3">
        <f t="shared" si="4"/>
        <v>-0.002253696404</v>
      </c>
      <c r="G667" s="4">
        <f t="shared" si="5"/>
        <v>1.264682402</v>
      </c>
      <c r="H667" s="5">
        <f t="shared" si="6"/>
        <v>0</v>
      </c>
      <c r="I667" s="5">
        <f t="shared" si="7"/>
        <v>1.173258231</v>
      </c>
    </row>
    <row r="668">
      <c r="A668" s="12">
        <f>IFERROR(__xludf.DUMMYFUNCTION("""COMPUTED_VALUE"""),43224.66666666667)</f>
        <v>43224.66667</v>
      </c>
      <c r="B668" s="13">
        <f>IFERROR(__xludf.DUMMYFUNCTION("""COMPUTED_VALUE"""),2663.42)</f>
        <v>2663.42</v>
      </c>
      <c r="C668" s="13">
        <f t="shared" si="1"/>
        <v>2666.78</v>
      </c>
      <c r="D668" s="13">
        <f t="shared" si="2"/>
        <v>2687.675</v>
      </c>
      <c r="E668" s="13" t="str">
        <f t="shared" si="3"/>
        <v/>
      </c>
      <c r="F668" s="3">
        <f t="shared" si="4"/>
        <v>0.01281120115</v>
      </c>
      <c r="G668" s="4">
        <f t="shared" si="5"/>
        <v>1.280884503</v>
      </c>
      <c r="H668" s="5">
        <f t="shared" si="6"/>
        <v>0</v>
      </c>
      <c r="I668" s="5">
        <f t="shared" si="7"/>
        <v>1.173258231</v>
      </c>
    </row>
    <row r="669">
      <c r="A669" s="12">
        <f>IFERROR(__xludf.DUMMYFUNCTION("""COMPUTED_VALUE"""),43227.66666666667)</f>
        <v>43227.66667</v>
      </c>
      <c r="B669" s="13">
        <f>IFERROR(__xludf.DUMMYFUNCTION("""COMPUTED_VALUE"""),2672.63)</f>
        <v>2672.63</v>
      </c>
      <c r="C669" s="13">
        <f t="shared" si="1"/>
        <v>2671.46</v>
      </c>
      <c r="D669" s="13">
        <f t="shared" si="2"/>
        <v>2658.16</v>
      </c>
      <c r="E669" s="13" t="str">
        <f t="shared" si="3"/>
        <v>LONG</v>
      </c>
      <c r="F669" s="3">
        <f t="shared" si="4"/>
        <v>0.003457960066</v>
      </c>
      <c r="G669" s="4">
        <f t="shared" si="5"/>
        <v>1.28531375</v>
      </c>
      <c r="H669" s="3">
        <f t="shared" si="6"/>
        <v>0.003457960066</v>
      </c>
      <c r="I669" s="5">
        <f t="shared" si="7"/>
        <v>1.177315311</v>
      </c>
    </row>
    <row r="670">
      <c r="A670" s="12">
        <f>IFERROR(__xludf.DUMMYFUNCTION("""COMPUTED_VALUE"""),43228.66666666667)</f>
        <v>43228.66667</v>
      </c>
      <c r="B670" s="13">
        <f>IFERROR(__xludf.DUMMYFUNCTION("""COMPUTED_VALUE"""),2671.92)</f>
        <v>2671.92</v>
      </c>
      <c r="C670" s="13">
        <f t="shared" si="1"/>
        <v>2653.24</v>
      </c>
      <c r="D670" s="13">
        <f t="shared" si="2"/>
        <v>2630.09</v>
      </c>
      <c r="E670" s="13" t="str">
        <f t="shared" si="3"/>
        <v>LONG</v>
      </c>
      <c r="F670" s="3">
        <f t="shared" si="4"/>
        <v>-0.0002656559269</v>
      </c>
      <c r="G670" s="4">
        <f t="shared" si="5"/>
        <v>1.284972299</v>
      </c>
      <c r="H670" s="3">
        <f t="shared" si="6"/>
        <v>-0.0002656559269</v>
      </c>
      <c r="I670" s="5">
        <f t="shared" si="7"/>
        <v>1.17700255</v>
      </c>
    </row>
    <row r="671">
      <c r="A671" s="12">
        <f>IFERROR(__xludf.DUMMYFUNCTION("""COMPUTED_VALUE"""),43229.66666666667)</f>
        <v>43229.66667</v>
      </c>
      <c r="B671" s="13">
        <f>IFERROR(__xludf.DUMMYFUNCTION("""COMPUTED_VALUE"""),2697.79)</f>
        <v>2697.79</v>
      </c>
      <c r="C671" s="13">
        <f t="shared" si="1"/>
        <v>2668.595</v>
      </c>
      <c r="D671" s="13">
        <f t="shared" si="2"/>
        <v>2678.17</v>
      </c>
      <c r="E671" s="13" t="str">
        <f t="shared" si="3"/>
        <v/>
      </c>
      <c r="F671" s="3">
        <f t="shared" si="4"/>
        <v>0.009682176113</v>
      </c>
      <c r="G671" s="4">
        <f t="shared" si="5"/>
        <v>1.297413627</v>
      </c>
      <c r="H671" s="5">
        <f t="shared" si="6"/>
        <v>0</v>
      </c>
      <c r="I671" s="5">
        <f t="shared" si="7"/>
        <v>1.17700255</v>
      </c>
    </row>
    <row r="672">
      <c r="A672" s="12">
        <f>IFERROR(__xludf.DUMMYFUNCTION("""COMPUTED_VALUE"""),43230.66666666667)</f>
        <v>43230.66667</v>
      </c>
      <c r="B672" s="13">
        <f>IFERROR(__xludf.DUMMYFUNCTION("""COMPUTED_VALUE"""),2723.07)</f>
        <v>2723.07</v>
      </c>
      <c r="C672" s="13">
        <f t="shared" si="1"/>
        <v>2695.005</v>
      </c>
      <c r="D672" s="13">
        <f t="shared" si="2"/>
        <v>2667.845</v>
      </c>
      <c r="E672" s="13" t="str">
        <f t="shared" si="3"/>
        <v>LONG</v>
      </c>
      <c r="F672" s="3">
        <f t="shared" si="4"/>
        <v>0.009370633</v>
      </c>
      <c r="G672" s="4">
        <f t="shared" si="5"/>
        <v>1.309571214</v>
      </c>
      <c r="H672" s="3">
        <f t="shared" si="6"/>
        <v>0.009370633</v>
      </c>
      <c r="I672" s="5">
        <f t="shared" si="7"/>
        <v>1.188031809</v>
      </c>
    </row>
    <row r="673">
      <c r="A673" s="12">
        <f>IFERROR(__xludf.DUMMYFUNCTION("""COMPUTED_VALUE"""),43231.66666666667)</f>
        <v>43231.66667</v>
      </c>
      <c r="B673" s="13">
        <f>IFERROR(__xludf.DUMMYFUNCTION("""COMPUTED_VALUE"""),2727.72)</f>
        <v>2727.72</v>
      </c>
      <c r="C673" s="13">
        <f t="shared" si="1"/>
        <v>2698.815</v>
      </c>
      <c r="D673" s="13">
        <f t="shared" si="2"/>
        <v>2666.36</v>
      </c>
      <c r="E673" s="13" t="str">
        <f t="shared" si="3"/>
        <v>LONG</v>
      </c>
      <c r="F673" s="3">
        <f t="shared" si="4"/>
        <v>0.00170763146</v>
      </c>
      <c r="G673" s="4">
        <f t="shared" si="5"/>
        <v>1.311807479</v>
      </c>
      <c r="H673" s="3">
        <f t="shared" si="6"/>
        <v>0.00170763146</v>
      </c>
      <c r="I673" s="5">
        <f t="shared" si="7"/>
        <v>1.19006053</v>
      </c>
    </row>
    <row r="674">
      <c r="A674" s="12">
        <f>IFERROR(__xludf.DUMMYFUNCTION("""COMPUTED_VALUE"""),43234.66666666667)</f>
        <v>43234.66667</v>
      </c>
      <c r="B674" s="13">
        <f>IFERROR(__xludf.DUMMYFUNCTION("""COMPUTED_VALUE"""),2730.13)</f>
        <v>2730.13</v>
      </c>
      <c r="C674" s="13">
        <f t="shared" si="1"/>
        <v>2689.09</v>
      </c>
      <c r="D674" s="13">
        <f t="shared" si="2"/>
        <v>2685.5</v>
      </c>
      <c r="E674" s="13" t="str">
        <f t="shared" si="3"/>
        <v>LONG</v>
      </c>
      <c r="F674" s="3">
        <f t="shared" si="4"/>
        <v>0.0008835217691</v>
      </c>
      <c r="G674" s="4">
        <f t="shared" si="5"/>
        <v>1.31296649</v>
      </c>
      <c r="H674" s="3">
        <f t="shared" si="6"/>
        <v>0.0008835217691</v>
      </c>
      <c r="I674" s="5">
        <f t="shared" si="7"/>
        <v>1.191111974</v>
      </c>
    </row>
    <row r="675">
      <c r="A675" s="12">
        <f>IFERROR(__xludf.DUMMYFUNCTION("""COMPUTED_VALUE"""),43235.66666666667)</f>
        <v>43235.66667</v>
      </c>
      <c r="B675" s="13">
        <f>IFERROR(__xludf.DUMMYFUNCTION("""COMPUTED_VALUE"""),2711.45)</f>
        <v>2711.45</v>
      </c>
      <c r="C675" s="13">
        <f t="shared" si="1"/>
        <v>2683.125</v>
      </c>
      <c r="D675" s="13">
        <f t="shared" si="2"/>
        <v>2646.665</v>
      </c>
      <c r="E675" s="13" t="str">
        <f t="shared" si="3"/>
        <v>LONG</v>
      </c>
      <c r="F675" s="3">
        <f t="shared" si="4"/>
        <v>-0.006842165025</v>
      </c>
      <c r="G675" s="4">
        <f t="shared" si="5"/>
        <v>1.303982956</v>
      </c>
      <c r="H675" s="3">
        <f t="shared" si="6"/>
        <v>-0.006842165025</v>
      </c>
      <c r="I675" s="5">
        <f t="shared" si="7"/>
        <v>1.18296219</v>
      </c>
    </row>
    <row r="676">
      <c r="A676" s="12">
        <f>IFERROR(__xludf.DUMMYFUNCTION("""COMPUTED_VALUE"""),43236.66666666667)</f>
        <v>43236.66667</v>
      </c>
      <c r="B676" s="13">
        <f>IFERROR(__xludf.DUMMYFUNCTION("""COMPUTED_VALUE"""),2722.46)</f>
        <v>2722.46</v>
      </c>
      <c r="C676" s="13">
        <f t="shared" si="1"/>
        <v>2679.065</v>
      </c>
      <c r="D676" s="13">
        <f t="shared" si="2"/>
        <v>2668.455</v>
      </c>
      <c r="E676" s="13" t="str">
        <f t="shared" si="3"/>
        <v>LONG</v>
      </c>
      <c r="F676" s="3">
        <f t="shared" si="4"/>
        <v>0.004060558004</v>
      </c>
      <c r="G676" s="4">
        <f t="shared" si="5"/>
        <v>1.309277855</v>
      </c>
      <c r="H676" s="3">
        <f t="shared" si="6"/>
        <v>0.004060558004</v>
      </c>
      <c r="I676" s="5">
        <f t="shared" si="7"/>
        <v>1.187765676</v>
      </c>
    </row>
    <row r="677">
      <c r="A677" s="12">
        <f>IFERROR(__xludf.DUMMYFUNCTION("""COMPUTED_VALUE"""),43237.66666666667)</f>
        <v>43237.66667</v>
      </c>
      <c r="B677" s="13">
        <f>IFERROR(__xludf.DUMMYFUNCTION("""COMPUTED_VALUE"""),2720.13)</f>
        <v>2720.13</v>
      </c>
      <c r="C677" s="13">
        <f t="shared" si="1"/>
        <v>2674.93</v>
      </c>
      <c r="D677" s="13">
        <f t="shared" si="2"/>
        <v>2682.41</v>
      </c>
      <c r="E677" s="13" t="str">
        <f t="shared" si="3"/>
        <v/>
      </c>
      <c r="F677" s="3">
        <f t="shared" si="4"/>
        <v>-0.000855843612</v>
      </c>
      <c r="G677" s="4">
        <f t="shared" si="5"/>
        <v>1.308157318</v>
      </c>
      <c r="H677" s="5">
        <f t="shared" si="6"/>
        <v>0</v>
      </c>
      <c r="I677" s="5">
        <f t="shared" si="7"/>
        <v>1.187765676</v>
      </c>
    </row>
    <row r="678">
      <c r="A678" s="12">
        <f>IFERROR(__xludf.DUMMYFUNCTION("""COMPUTED_VALUE"""),43238.66666666667)</f>
        <v>43238.66667</v>
      </c>
      <c r="B678" s="13">
        <f>IFERROR(__xludf.DUMMYFUNCTION("""COMPUTED_VALUE"""),2712.97)</f>
        <v>2712.97</v>
      </c>
      <c r="C678" s="13">
        <f t="shared" si="1"/>
        <v>2688.195</v>
      </c>
      <c r="D678" s="13">
        <f t="shared" si="2"/>
        <v>2687.905</v>
      </c>
      <c r="E678" s="13" t="str">
        <f t="shared" si="3"/>
        <v>LONG</v>
      </c>
      <c r="F678" s="3">
        <f t="shared" si="4"/>
        <v>-0.002632227136</v>
      </c>
      <c r="G678" s="4">
        <f t="shared" si="5"/>
        <v>1.30471395</v>
      </c>
      <c r="H678" s="3">
        <f t="shared" si="6"/>
        <v>-0.002632227136</v>
      </c>
      <c r="I678" s="5">
        <f t="shared" si="7"/>
        <v>1.184639207</v>
      </c>
    </row>
    <row r="679">
      <c r="A679" s="12">
        <f>IFERROR(__xludf.DUMMYFUNCTION("""COMPUTED_VALUE"""),43241.66666666667)</f>
        <v>43241.66667</v>
      </c>
      <c r="B679" s="13">
        <f>IFERROR(__xludf.DUMMYFUNCTION("""COMPUTED_VALUE"""),2733.01)</f>
        <v>2733.01</v>
      </c>
      <c r="C679" s="13">
        <f t="shared" si="1"/>
        <v>2702.82</v>
      </c>
      <c r="D679" s="13">
        <f t="shared" si="2"/>
        <v>2668.74</v>
      </c>
      <c r="E679" s="13" t="str">
        <f t="shared" si="3"/>
        <v>LONG</v>
      </c>
      <c r="F679" s="3">
        <f t="shared" si="4"/>
        <v>0.007386738519</v>
      </c>
      <c r="G679" s="4">
        <f t="shared" si="5"/>
        <v>1.314351531</v>
      </c>
      <c r="H679" s="3">
        <f t="shared" si="6"/>
        <v>0.007386738519</v>
      </c>
      <c r="I679" s="5">
        <f t="shared" si="7"/>
        <v>1.193389827</v>
      </c>
    </row>
    <row r="680">
      <c r="A680" s="12">
        <f>IFERROR(__xludf.DUMMYFUNCTION("""COMPUTED_VALUE"""),43242.66666666667)</f>
        <v>43242.66667</v>
      </c>
      <c r="B680" s="13">
        <f>IFERROR(__xludf.DUMMYFUNCTION("""COMPUTED_VALUE"""),2724.44)</f>
        <v>2724.44</v>
      </c>
      <c r="C680" s="13">
        <f t="shared" si="1"/>
        <v>2698.18</v>
      </c>
      <c r="D680" s="13">
        <f t="shared" si="2"/>
        <v>2668.8</v>
      </c>
      <c r="E680" s="13" t="str">
        <f t="shared" si="3"/>
        <v>LONG</v>
      </c>
      <c r="F680" s="3">
        <f t="shared" si="4"/>
        <v>-0.003135736788</v>
      </c>
      <c r="G680" s="4">
        <f t="shared" si="5"/>
        <v>1.310230071</v>
      </c>
      <c r="H680" s="3">
        <f t="shared" si="6"/>
        <v>-0.003135736788</v>
      </c>
      <c r="I680" s="5">
        <f t="shared" si="7"/>
        <v>1.189647671</v>
      </c>
    </row>
    <row r="681">
      <c r="A681" s="12">
        <f>IFERROR(__xludf.DUMMYFUNCTION("""COMPUTED_VALUE"""),43243.66666666667)</f>
        <v>43243.66667</v>
      </c>
      <c r="B681" s="13">
        <f>IFERROR(__xludf.DUMMYFUNCTION("""COMPUTED_VALUE"""),2733.29)</f>
        <v>2733.29</v>
      </c>
      <c r="C681" s="13">
        <f t="shared" si="1"/>
        <v>2715.54</v>
      </c>
      <c r="D681" s="13">
        <f t="shared" si="2"/>
        <v>2695.08</v>
      </c>
      <c r="E681" s="13" t="str">
        <f t="shared" si="3"/>
        <v>LONG</v>
      </c>
      <c r="F681" s="3">
        <f t="shared" si="4"/>
        <v>0.003248373978</v>
      </c>
      <c r="G681" s="4">
        <f t="shared" si="5"/>
        <v>1.314486188</v>
      </c>
      <c r="H681" s="3">
        <f t="shared" si="6"/>
        <v>0.003248373978</v>
      </c>
      <c r="I681" s="5">
        <f t="shared" si="7"/>
        <v>1.193512091</v>
      </c>
    </row>
    <row r="682">
      <c r="A682" s="12">
        <f>IFERROR(__xludf.DUMMYFUNCTION("""COMPUTED_VALUE"""),43244.66666666667)</f>
        <v>43244.66667</v>
      </c>
      <c r="B682" s="13">
        <f>IFERROR(__xludf.DUMMYFUNCTION("""COMPUTED_VALUE"""),2727.76)</f>
        <v>2727.76</v>
      </c>
      <c r="C682" s="13">
        <f t="shared" si="1"/>
        <v>2725.415</v>
      </c>
      <c r="D682" s="13">
        <f t="shared" si="2"/>
        <v>2684.975</v>
      </c>
      <c r="E682" s="13" t="str">
        <f t="shared" si="3"/>
        <v>LONG</v>
      </c>
      <c r="F682" s="3">
        <f t="shared" si="4"/>
        <v>-0.002023202807</v>
      </c>
      <c r="G682" s="4">
        <f t="shared" si="5"/>
        <v>1.311826716</v>
      </c>
      <c r="H682" s="3">
        <f t="shared" si="6"/>
        <v>-0.002023202807</v>
      </c>
      <c r="I682" s="5">
        <f t="shared" si="7"/>
        <v>1.191097374</v>
      </c>
    </row>
    <row r="683">
      <c r="A683" s="12">
        <f>IFERROR(__xludf.DUMMYFUNCTION("""COMPUTED_VALUE"""),43245.66666666667)</f>
        <v>43245.66667</v>
      </c>
      <c r="B683" s="13">
        <f>IFERROR(__xludf.DUMMYFUNCTION("""COMPUTED_VALUE"""),2721.33)</f>
        <v>2721.33</v>
      </c>
      <c r="C683" s="13">
        <f t="shared" si="1"/>
        <v>2724.525</v>
      </c>
      <c r="D683" s="13">
        <f t="shared" si="2"/>
        <v>2692.66</v>
      </c>
      <c r="E683" s="13" t="str">
        <f t="shared" si="3"/>
        <v>LONG</v>
      </c>
      <c r="F683" s="3">
        <f t="shared" si="4"/>
        <v>-0.002357245505</v>
      </c>
      <c r="G683" s="4">
        <f t="shared" si="5"/>
        <v>1.308734418</v>
      </c>
      <c r="H683" s="3">
        <f t="shared" si="6"/>
        <v>-0.002357245505</v>
      </c>
      <c r="I683" s="5">
        <f t="shared" si="7"/>
        <v>1.188289665</v>
      </c>
    </row>
    <row r="684">
      <c r="A684" s="12">
        <f>IFERROR(__xludf.DUMMYFUNCTION("""COMPUTED_VALUE"""),43249.66666666667)</f>
        <v>43249.66667</v>
      </c>
      <c r="B684" s="13">
        <f>IFERROR(__xludf.DUMMYFUNCTION("""COMPUTED_VALUE"""),2689.86)</f>
        <v>2689.86</v>
      </c>
      <c r="C684" s="13">
        <f t="shared" si="1"/>
        <v>2709.995</v>
      </c>
      <c r="D684" s="13">
        <f t="shared" si="2"/>
        <v>2673.08</v>
      </c>
      <c r="E684" s="13" t="str">
        <f t="shared" si="3"/>
        <v>LONG</v>
      </c>
      <c r="F684" s="3">
        <f t="shared" si="4"/>
        <v>-0.01156419839</v>
      </c>
      <c r="G684" s="4">
        <f t="shared" si="5"/>
        <v>1.293599954</v>
      </c>
      <c r="H684" s="3">
        <f t="shared" si="6"/>
        <v>-0.01156419839</v>
      </c>
      <c r="I684" s="5">
        <f t="shared" si="7"/>
        <v>1.174548048</v>
      </c>
    </row>
    <row r="685">
      <c r="A685" s="12">
        <f>IFERROR(__xludf.DUMMYFUNCTION("""COMPUTED_VALUE"""),43250.66666666667)</f>
        <v>43250.66667</v>
      </c>
      <c r="B685" s="13">
        <f>IFERROR(__xludf.DUMMYFUNCTION("""COMPUTED_VALUE"""),2724.01)</f>
        <v>2724.01</v>
      </c>
      <c r="C685" s="13">
        <f t="shared" si="1"/>
        <v>2717.73</v>
      </c>
      <c r="D685" s="13">
        <f t="shared" si="2"/>
        <v>2700.925</v>
      </c>
      <c r="E685" s="13" t="str">
        <f t="shared" si="3"/>
        <v>LONG</v>
      </c>
      <c r="F685" s="3">
        <f t="shared" si="4"/>
        <v>0.01269582804</v>
      </c>
      <c r="G685" s="4">
        <f t="shared" si="5"/>
        <v>1.310023276</v>
      </c>
      <c r="H685" s="3">
        <f t="shared" si="6"/>
        <v>0.01269582804</v>
      </c>
      <c r="I685" s="5">
        <f t="shared" si="7"/>
        <v>1.189459908</v>
      </c>
    </row>
    <row r="686">
      <c r="A686" s="12">
        <f>IFERROR(__xludf.DUMMYFUNCTION("""COMPUTED_VALUE"""),43251.66666666667)</f>
        <v>43251.66667</v>
      </c>
      <c r="B686" s="13">
        <f>IFERROR(__xludf.DUMMYFUNCTION("""COMPUTED_VALUE"""),2705.27)</f>
        <v>2705.27</v>
      </c>
      <c r="C686" s="13">
        <f t="shared" si="1"/>
        <v>2713.865</v>
      </c>
      <c r="D686" s="13">
        <f t="shared" si="2"/>
        <v>2705.83</v>
      </c>
      <c r="E686" s="13" t="str">
        <f t="shared" si="3"/>
        <v>LONG</v>
      </c>
      <c r="F686" s="3">
        <f t="shared" si="4"/>
        <v>-0.006879563585</v>
      </c>
      <c r="G686" s="4">
        <f t="shared" si="5"/>
        <v>1.301010888</v>
      </c>
      <c r="H686" s="3">
        <f t="shared" si="6"/>
        <v>-0.006879563585</v>
      </c>
      <c r="I686" s="5">
        <f t="shared" si="7"/>
        <v>1.181276943</v>
      </c>
    </row>
    <row r="687">
      <c r="A687" s="12">
        <f>IFERROR(__xludf.DUMMYFUNCTION("""COMPUTED_VALUE"""),43252.66666666667)</f>
        <v>43252.66667</v>
      </c>
      <c r="B687" s="13">
        <f>IFERROR(__xludf.DUMMYFUNCTION("""COMPUTED_VALUE"""),2734.62)</f>
        <v>2734.62</v>
      </c>
      <c r="C687" s="13">
        <f t="shared" si="1"/>
        <v>2727.375</v>
      </c>
      <c r="D687" s="13">
        <f t="shared" si="2"/>
        <v>2721.63</v>
      </c>
      <c r="E687" s="13" t="str">
        <f t="shared" si="3"/>
        <v>LONG</v>
      </c>
      <c r="F687" s="3">
        <f t="shared" si="4"/>
        <v>0.01084919435</v>
      </c>
      <c r="G687" s="4">
        <f t="shared" si="5"/>
        <v>1.315125808</v>
      </c>
      <c r="H687" s="3">
        <f t="shared" si="6"/>
        <v>0.01084919435</v>
      </c>
      <c r="I687" s="5">
        <f t="shared" si="7"/>
        <v>1.194092846</v>
      </c>
    </row>
    <row r="688">
      <c r="A688" s="12">
        <f>IFERROR(__xludf.DUMMYFUNCTION("""COMPUTED_VALUE"""),43255.66666666667)</f>
        <v>43255.66667</v>
      </c>
      <c r="B688" s="13">
        <f>IFERROR(__xludf.DUMMYFUNCTION("""COMPUTED_VALUE"""),2746.87)</f>
        <v>2746.87</v>
      </c>
      <c r="C688" s="13">
        <f t="shared" si="1"/>
        <v>2729.92</v>
      </c>
      <c r="D688" s="13">
        <f t="shared" si="2"/>
        <v>2720</v>
      </c>
      <c r="E688" s="13" t="str">
        <f t="shared" si="3"/>
        <v>LONG</v>
      </c>
      <c r="F688" s="3">
        <f t="shared" si="4"/>
        <v>0.004479598628</v>
      </c>
      <c r="G688" s="4">
        <f t="shared" si="5"/>
        <v>1.321017044</v>
      </c>
      <c r="H688" s="3">
        <f t="shared" si="6"/>
        <v>0.004479598628</v>
      </c>
      <c r="I688" s="5">
        <f t="shared" si="7"/>
        <v>1.199441903</v>
      </c>
    </row>
    <row r="689">
      <c r="A689" s="12">
        <f>IFERROR(__xludf.DUMMYFUNCTION("""COMPUTED_VALUE"""),43256.66666666667)</f>
        <v>43256.66667</v>
      </c>
      <c r="B689" s="13">
        <f>IFERROR(__xludf.DUMMYFUNCTION("""COMPUTED_VALUE"""),2748.8)</f>
        <v>2748.8</v>
      </c>
      <c r="C689" s="13">
        <f t="shared" si="1"/>
        <v>2740.905</v>
      </c>
      <c r="D689" s="13">
        <f t="shared" si="2"/>
        <v>2709.47</v>
      </c>
      <c r="E689" s="13" t="str">
        <f t="shared" si="3"/>
        <v>LONG</v>
      </c>
      <c r="F689" s="3">
        <f t="shared" si="4"/>
        <v>0.0007026178887</v>
      </c>
      <c r="G689" s="4">
        <f t="shared" si="5"/>
        <v>1.321945214</v>
      </c>
      <c r="H689" s="3">
        <f t="shared" si="6"/>
        <v>0.0007026178887</v>
      </c>
      <c r="I689" s="5">
        <f t="shared" si="7"/>
        <v>1.200284652</v>
      </c>
    </row>
    <row r="690">
      <c r="A690" s="12">
        <f>IFERROR(__xludf.DUMMYFUNCTION("""COMPUTED_VALUE"""),43257.66666666667)</f>
        <v>43257.66667</v>
      </c>
      <c r="B690" s="13">
        <f>IFERROR(__xludf.DUMMYFUNCTION("""COMPUTED_VALUE"""),2772.35)</f>
        <v>2772.35</v>
      </c>
      <c r="C690" s="13">
        <f t="shared" si="1"/>
        <v>2748.395</v>
      </c>
      <c r="D690" s="13">
        <f t="shared" si="2"/>
        <v>2721.32</v>
      </c>
      <c r="E690" s="13" t="str">
        <f t="shared" si="3"/>
        <v>LONG</v>
      </c>
      <c r="F690" s="3">
        <f t="shared" si="4"/>
        <v>0.008567374854</v>
      </c>
      <c r="G690" s="4">
        <f t="shared" si="5"/>
        <v>1.333270814</v>
      </c>
      <c r="H690" s="3">
        <f t="shared" si="6"/>
        <v>0.008567374854</v>
      </c>
      <c r="I690" s="5">
        <f t="shared" si="7"/>
        <v>1.210567941</v>
      </c>
    </row>
    <row r="691">
      <c r="A691" s="12">
        <f>IFERROR(__xludf.DUMMYFUNCTION("""COMPUTED_VALUE"""),43258.66666666667)</f>
        <v>43258.66667</v>
      </c>
      <c r="B691" s="13">
        <f>IFERROR(__xludf.DUMMYFUNCTION("""COMPUTED_VALUE"""),2770.37)</f>
        <v>2770.37</v>
      </c>
      <c r="C691" s="13">
        <f t="shared" si="1"/>
        <v>2751.83</v>
      </c>
      <c r="D691" s="13">
        <f t="shared" si="2"/>
        <v>2702.465</v>
      </c>
      <c r="E691" s="13" t="str">
        <f t="shared" si="3"/>
        <v>LONG</v>
      </c>
      <c r="F691" s="3">
        <f t="shared" si="4"/>
        <v>-0.0007141955381</v>
      </c>
      <c r="G691" s="4">
        <f t="shared" si="5"/>
        <v>1.332318598</v>
      </c>
      <c r="H691" s="3">
        <f t="shared" si="6"/>
        <v>-0.0007141955381</v>
      </c>
      <c r="I691" s="5">
        <f t="shared" si="7"/>
        <v>1.209703358</v>
      </c>
    </row>
    <row r="692">
      <c r="A692" s="12">
        <f>IFERROR(__xludf.DUMMYFUNCTION("""COMPUTED_VALUE"""),43259.66666666667)</f>
        <v>43259.66667</v>
      </c>
      <c r="B692" s="13">
        <f>IFERROR(__xludf.DUMMYFUNCTION("""COMPUTED_VALUE"""),2779.03)</f>
        <v>2779.03</v>
      </c>
      <c r="C692" s="13">
        <f t="shared" si="1"/>
        <v>2753.395</v>
      </c>
      <c r="D692" s="13">
        <f t="shared" si="2"/>
        <v>2709.215</v>
      </c>
      <c r="E692" s="13" t="str">
        <f t="shared" si="3"/>
        <v>LONG</v>
      </c>
      <c r="F692" s="3">
        <f t="shared" si="4"/>
        <v>0.003125936247</v>
      </c>
      <c r="G692" s="4">
        <f t="shared" si="5"/>
        <v>1.336483341</v>
      </c>
      <c r="H692" s="3">
        <f t="shared" si="6"/>
        <v>0.003125936247</v>
      </c>
      <c r="I692" s="5">
        <f t="shared" si="7"/>
        <v>1.213484814</v>
      </c>
    </row>
    <row r="693">
      <c r="A693" s="12">
        <f>IFERROR(__xludf.DUMMYFUNCTION("""COMPUTED_VALUE"""),43262.66666666667)</f>
        <v>43262.66667</v>
      </c>
      <c r="B693" s="13">
        <f>IFERROR(__xludf.DUMMYFUNCTION("""COMPUTED_VALUE"""),2782.0)</f>
        <v>2782</v>
      </c>
      <c r="C693" s="13">
        <f t="shared" si="1"/>
        <v>2751.665</v>
      </c>
      <c r="D693" s="13">
        <f t="shared" si="2"/>
        <v>2724.47</v>
      </c>
      <c r="E693" s="13" t="str">
        <f t="shared" si="3"/>
        <v>LONG</v>
      </c>
      <c r="F693" s="3">
        <f t="shared" si="4"/>
        <v>0.001068718222</v>
      </c>
      <c r="G693" s="4">
        <f t="shared" si="5"/>
        <v>1.337911665</v>
      </c>
      <c r="H693" s="3">
        <f t="shared" si="6"/>
        <v>0.001068718222</v>
      </c>
      <c r="I693" s="5">
        <f t="shared" si="7"/>
        <v>1.214781687</v>
      </c>
    </row>
    <row r="694">
      <c r="A694" s="12">
        <f>IFERROR(__xludf.DUMMYFUNCTION("""COMPUTED_VALUE"""),43263.66666666667)</f>
        <v>43263.66667</v>
      </c>
      <c r="B694" s="13">
        <f>IFERROR(__xludf.DUMMYFUNCTION("""COMPUTED_VALUE"""),2786.85)</f>
        <v>2786.85</v>
      </c>
      <c r="C694" s="13">
        <f t="shared" si="1"/>
        <v>2738.355</v>
      </c>
      <c r="D694" s="13">
        <f t="shared" si="2"/>
        <v>2728.38</v>
      </c>
      <c r="E694" s="13" t="str">
        <f t="shared" si="3"/>
        <v>LONG</v>
      </c>
      <c r="F694" s="3">
        <f t="shared" si="4"/>
        <v>0.001743350108</v>
      </c>
      <c r="G694" s="4">
        <f t="shared" si="5"/>
        <v>1.340244114</v>
      </c>
      <c r="H694" s="3">
        <f t="shared" si="6"/>
        <v>0.001743350108</v>
      </c>
      <c r="I694" s="5">
        <f t="shared" si="7"/>
        <v>1.216899477</v>
      </c>
    </row>
    <row r="695">
      <c r="A695" s="12">
        <f>IFERROR(__xludf.DUMMYFUNCTION("""COMPUTED_VALUE"""),43264.66666666667)</f>
        <v>43264.66667</v>
      </c>
      <c r="B695" s="13">
        <f>IFERROR(__xludf.DUMMYFUNCTION("""COMPUTED_VALUE"""),2775.63)</f>
        <v>2775.63</v>
      </c>
      <c r="C695" s="13">
        <f t="shared" si="1"/>
        <v>2749.82</v>
      </c>
      <c r="D695" s="13">
        <f t="shared" si="2"/>
        <v>2711.84</v>
      </c>
      <c r="E695" s="13" t="str">
        <f t="shared" si="3"/>
        <v>LONG</v>
      </c>
      <c r="F695" s="3">
        <f t="shared" si="4"/>
        <v>-0.004026050918</v>
      </c>
      <c r="G695" s="4">
        <f t="shared" si="5"/>
        <v>1.334848223</v>
      </c>
      <c r="H695" s="3">
        <f t="shared" si="6"/>
        <v>-0.004026050918</v>
      </c>
      <c r="I695" s="5">
        <f t="shared" si="7"/>
        <v>1.212000178</v>
      </c>
    </row>
    <row r="696">
      <c r="A696" s="12">
        <f>IFERROR(__xludf.DUMMYFUNCTION("""COMPUTED_VALUE"""),43265.66666666667)</f>
        <v>43265.66667</v>
      </c>
      <c r="B696" s="13">
        <f>IFERROR(__xludf.DUMMYFUNCTION("""COMPUTED_VALUE"""),2782.49)</f>
        <v>2782.49</v>
      </c>
      <c r="C696" s="13">
        <f t="shared" si="1"/>
        <v>2743.88</v>
      </c>
      <c r="D696" s="13">
        <f t="shared" si="2"/>
        <v>2718.645</v>
      </c>
      <c r="E696" s="13" t="str">
        <f t="shared" si="3"/>
        <v>LONG</v>
      </c>
      <c r="F696" s="3">
        <f t="shared" si="4"/>
        <v>0.002471510972</v>
      </c>
      <c r="G696" s="4">
        <f t="shared" si="5"/>
        <v>1.338147315</v>
      </c>
      <c r="H696" s="3">
        <f t="shared" si="6"/>
        <v>0.002471510972</v>
      </c>
      <c r="I696" s="5">
        <f t="shared" si="7"/>
        <v>1.21499565</v>
      </c>
    </row>
    <row r="697">
      <c r="A697" s="12">
        <f>IFERROR(__xludf.DUMMYFUNCTION("""COMPUTED_VALUE"""),43266.66666666667)</f>
        <v>43266.66667</v>
      </c>
      <c r="B697" s="13">
        <f>IFERROR(__xludf.DUMMYFUNCTION("""COMPUTED_VALUE"""),2779.66)</f>
        <v>2779.66</v>
      </c>
      <c r="C697" s="13">
        <f t="shared" si="1"/>
        <v>2757.14</v>
      </c>
      <c r="D697" s="13">
        <f t="shared" si="2"/>
        <v>2707.665</v>
      </c>
      <c r="E697" s="13" t="str">
        <f t="shared" si="3"/>
        <v>LONG</v>
      </c>
      <c r="F697" s="3">
        <f t="shared" si="4"/>
        <v>-0.001017074635</v>
      </c>
      <c r="G697" s="4">
        <f t="shared" si="5"/>
        <v>1.336786319</v>
      </c>
      <c r="H697" s="3">
        <f t="shared" si="6"/>
        <v>-0.001017074635</v>
      </c>
      <c r="I697" s="5">
        <f t="shared" si="7"/>
        <v>1.213759908</v>
      </c>
    </row>
    <row r="698">
      <c r="A698" s="12">
        <f>IFERROR(__xludf.DUMMYFUNCTION("""COMPUTED_VALUE"""),43269.66666666667)</f>
        <v>43269.66667</v>
      </c>
      <c r="B698" s="13">
        <f>IFERROR(__xludf.DUMMYFUNCTION("""COMPUTED_VALUE"""),2773.75)</f>
        <v>2773.75</v>
      </c>
      <c r="C698" s="13">
        <f t="shared" si="1"/>
        <v>2760.31</v>
      </c>
      <c r="D698" s="13">
        <f t="shared" si="2"/>
        <v>2701.74</v>
      </c>
      <c r="E698" s="13" t="str">
        <f t="shared" si="3"/>
        <v>LONG</v>
      </c>
      <c r="F698" s="3">
        <f t="shared" si="4"/>
        <v>-0.002126159314</v>
      </c>
      <c r="G698" s="4">
        <f t="shared" si="5"/>
        <v>1.333944098</v>
      </c>
      <c r="H698" s="3">
        <f t="shared" si="6"/>
        <v>-0.002126159314</v>
      </c>
      <c r="I698" s="5">
        <f t="shared" si="7"/>
        <v>1.211179261</v>
      </c>
    </row>
    <row r="699">
      <c r="A699" s="12">
        <f>IFERROR(__xludf.DUMMYFUNCTION("""COMPUTED_VALUE"""),43270.66666666667)</f>
        <v>43270.66667</v>
      </c>
      <c r="B699" s="13">
        <f>IFERROR(__xludf.DUMMYFUNCTION("""COMPUTED_VALUE"""),2762.59)</f>
        <v>2762.59</v>
      </c>
      <c r="C699" s="13">
        <f t="shared" si="1"/>
        <v>2755.695</v>
      </c>
      <c r="D699" s="13">
        <f t="shared" si="2"/>
        <v>2713.005</v>
      </c>
      <c r="E699" s="13" t="str">
        <f t="shared" si="3"/>
        <v>LONG</v>
      </c>
      <c r="F699" s="3">
        <f t="shared" si="4"/>
        <v>-0.004023433979</v>
      </c>
      <c r="G699" s="4">
        <f t="shared" si="5"/>
        <v>1.328577062</v>
      </c>
      <c r="H699" s="3">
        <f t="shared" si="6"/>
        <v>-0.004023433979</v>
      </c>
      <c r="I699" s="5">
        <f t="shared" si="7"/>
        <v>1.206306162</v>
      </c>
    </row>
    <row r="700">
      <c r="A700" s="12">
        <f>IFERROR(__xludf.DUMMYFUNCTION("""COMPUTED_VALUE"""),43271.66666666667)</f>
        <v>43271.66667</v>
      </c>
      <c r="B700" s="13">
        <f>IFERROR(__xludf.DUMMYFUNCTION("""COMPUTED_VALUE"""),2767.32)</f>
        <v>2767.32</v>
      </c>
      <c r="C700" s="13">
        <f t="shared" si="1"/>
        <v>2769.835</v>
      </c>
      <c r="D700" s="13">
        <f t="shared" si="2"/>
        <v>2719.975</v>
      </c>
      <c r="E700" s="13" t="str">
        <f t="shared" si="3"/>
        <v>LONG</v>
      </c>
      <c r="F700" s="3">
        <f t="shared" si="4"/>
        <v>0.001712161414</v>
      </c>
      <c r="G700" s="4">
        <f t="shared" si="5"/>
        <v>1.330851801</v>
      </c>
      <c r="H700" s="3">
        <f t="shared" si="6"/>
        <v>0.001712161414</v>
      </c>
      <c r="I700" s="5">
        <f t="shared" si="7"/>
        <v>1.208371552</v>
      </c>
    </row>
    <row r="701">
      <c r="A701" s="12">
        <f>IFERROR(__xludf.DUMMYFUNCTION("""COMPUTED_VALUE"""),43272.66666666667)</f>
        <v>43272.66667</v>
      </c>
      <c r="B701" s="13">
        <f>IFERROR(__xludf.DUMMYFUNCTION("""COMPUTED_VALUE"""),2749.76)</f>
        <v>2749.76</v>
      </c>
      <c r="C701" s="13">
        <f t="shared" si="1"/>
        <v>2760.065</v>
      </c>
      <c r="D701" s="13">
        <f t="shared" si="2"/>
        <v>2710.84</v>
      </c>
      <c r="E701" s="13" t="str">
        <f t="shared" si="3"/>
        <v>LONG</v>
      </c>
      <c r="F701" s="3">
        <f t="shared" si="4"/>
        <v>-0.006345489499</v>
      </c>
      <c r="G701" s="4">
        <f t="shared" si="5"/>
        <v>1.322406894</v>
      </c>
      <c r="H701" s="3">
        <f t="shared" si="6"/>
        <v>-0.006345489499</v>
      </c>
      <c r="I701" s="5">
        <f t="shared" si="7"/>
        <v>1.200703843</v>
      </c>
    </row>
    <row r="702">
      <c r="A702" s="12">
        <f>IFERROR(__xludf.DUMMYFUNCTION("""COMPUTED_VALUE"""),43273.66666666667)</f>
        <v>43273.66667</v>
      </c>
      <c r="B702" s="13">
        <f>IFERROR(__xludf.DUMMYFUNCTION("""COMPUTED_VALUE"""),2754.88)</f>
        <v>2754.88</v>
      </c>
      <c r="C702" s="13">
        <f t="shared" si="1"/>
        <v>2766.955</v>
      </c>
      <c r="D702" s="13">
        <f t="shared" si="2"/>
        <v>2726.335</v>
      </c>
      <c r="E702" s="13" t="str">
        <f t="shared" si="3"/>
        <v>LONG</v>
      </c>
      <c r="F702" s="3">
        <f t="shared" si="4"/>
        <v>0.001861980682</v>
      </c>
      <c r="G702" s="4">
        <f t="shared" si="5"/>
        <v>1.324869191</v>
      </c>
      <c r="H702" s="3">
        <f t="shared" si="6"/>
        <v>0.001861980682</v>
      </c>
      <c r="I702" s="5">
        <f t="shared" si="7"/>
        <v>1.202939531</v>
      </c>
    </row>
    <row r="703">
      <c r="A703" s="12">
        <f>IFERROR(__xludf.DUMMYFUNCTION("""COMPUTED_VALUE"""),43276.66666666667)</f>
        <v>43276.66667</v>
      </c>
      <c r="B703" s="13">
        <f>IFERROR(__xludf.DUMMYFUNCTION("""COMPUTED_VALUE"""),2717.07)</f>
        <v>2717.07</v>
      </c>
      <c r="C703" s="13">
        <f t="shared" si="1"/>
        <v>2749.535</v>
      </c>
      <c r="D703" s="13">
        <f t="shared" si="2"/>
        <v>2720.07</v>
      </c>
      <c r="E703" s="13" t="str">
        <f t="shared" si="3"/>
        <v>LONG</v>
      </c>
      <c r="F703" s="3">
        <f t="shared" si="4"/>
        <v>-0.01372473574</v>
      </c>
      <c r="G703" s="4">
        <f t="shared" si="5"/>
        <v>1.306685711</v>
      </c>
      <c r="H703" s="3">
        <f t="shared" si="6"/>
        <v>-0.01372473574</v>
      </c>
      <c r="I703" s="5">
        <f t="shared" si="7"/>
        <v>1.186429504</v>
      </c>
    </row>
    <row r="704">
      <c r="A704" s="12">
        <f>IFERROR(__xludf.DUMMYFUNCTION("""COMPUTED_VALUE"""),43277.66666666667)</f>
        <v>43277.66667</v>
      </c>
      <c r="B704" s="13">
        <f>IFERROR(__xludf.DUMMYFUNCTION("""COMPUTED_VALUE"""),2723.06)</f>
        <v>2723.06</v>
      </c>
      <c r="C704" s="13">
        <f t="shared" si="1"/>
        <v>2754.955</v>
      </c>
      <c r="D704" s="13">
        <f t="shared" si="2"/>
        <v>2725.39</v>
      </c>
      <c r="E704" s="13" t="str">
        <f t="shared" si="3"/>
        <v>LONG</v>
      </c>
      <c r="F704" s="3">
        <f t="shared" si="4"/>
        <v>0.00220458067</v>
      </c>
      <c r="G704" s="4">
        <f t="shared" si="5"/>
        <v>1.309566405</v>
      </c>
      <c r="H704" s="3">
        <f t="shared" si="6"/>
        <v>0.00220458067</v>
      </c>
      <c r="I704" s="5">
        <f t="shared" si="7"/>
        <v>1.189045083</v>
      </c>
    </row>
    <row r="705">
      <c r="A705" s="12">
        <f>IFERROR(__xludf.DUMMYFUNCTION("""COMPUTED_VALUE"""),43278.66666666667)</f>
        <v>43278.66667</v>
      </c>
      <c r="B705" s="13">
        <f>IFERROR(__xludf.DUMMYFUNCTION("""COMPUTED_VALUE"""),2699.63)</f>
        <v>2699.63</v>
      </c>
      <c r="C705" s="13">
        <f t="shared" si="1"/>
        <v>2737.63</v>
      </c>
      <c r="D705" s="13">
        <f t="shared" si="2"/>
        <v>2714.88</v>
      </c>
      <c r="E705" s="13" t="str">
        <f t="shared" si="3"/>
        <v>LONG</v>
      </c>
      <c r="F705" s="3">
        <f t="shared" si="4"/>
        <v>-0.008604290761</v>
      </c>
      <c r="G705" s="4">
        <f t="shared" si="5"/>
        <v>1.298298515</v>
      </c>
      <c r="H705" s="3">
        <f t="shared" si="6"/>
        <v>-0.008604290761</v>
      </c>
      <c r="I705" s="5">
        <f t="shared" si="7"/>
        <v>1.178814193</v>
      </c>
    </row>
    <row r="706">
      <c r="A706" s="12">
        <f>IFERROR(__xludf.DUMMYFUNCTION("""COMPUTED_VALUE"""),43279.66666666667)</f>
        <v>43279.66667</v>
      </c>
      <c r="B706" s="13">
        <f>IFERROR(__xludf.DUMMYFUNCTION("""COMPUTED_VALUE"""),2716.31)</f>
        <v>2716.31</v>
      </c>
      <c r="C706" s="13">
        <f t="shared" si="1"/>
        <v>2749.4</v>
      </c>
      <c r="D706" s="13">
        <f t="shared" si="2"/>
        <v>2713.88</v>
      </c>
      <c r="E706" s="13" t="str">
        <f t="shared" si="3"/>
        <v>LONG</v>
      </c>
      <c r="F706" s="3">
        <f t="shared" si="4"/>
        <v>0.006178624478</v>
      </c>
      <c r="G706" s="4">
        <f t="shared" si="5"/>
        <v>1.306320214</v>
      </c>
      <c r="H706" s="3">
        <f t="shared" si="6"/>
        <v>0.006178624478</v>
      </c>
      <c r="I706" s="5">
        <f t="shared" si="7"/>
        <v>1.186097644</v>
      </c>
    </row>
    <row r="707">
      <c r="A707" s="12">
        <f>IFERROR(__xludf.DUMMYFUNCTION("""COMPUTED_VALUE"""),43280.66666666667)</f>
        <v>43280.66667</v>
      </c>
      <c r="B707" s="13">
        <f>IFERROR(__xludf.DUMMYFUNCTION("""COMPUTED_VALUE"""),2718.37)</f>
        <v>2718.37</v>
      </c>
      <c r="C707" s="13">
        <f t="shared" si="1"/>
        <v>2749.015</v>
      </c>
      <c r="D707" s="13">
        <f t="shared" si="2"/>
        <v>2720.415</v>
      </c>
      <c r="E707" s="13" t="str">
        <f t="shared" si="3"/>
        <v>LONG</v>
      </c>
      <c r="F707" s="3">
        <f t="shared" si="4"/>
        <v>0.0007583817753</v>
      </c>
      <c r="G707" s="4">
        <f t="shared" si="5"/>
        <v>1.307310903</v>
      </c>
      <c r="H707" s="3">
        <f t="shared" si="6"/>
        <v>0.0007583817753</v>
      </c>
      <c r="I707" s="5">
        <f t="shared" si="7"/>
        <v>1.186997159</v>
      </c>
    </row>
    <row r="708">
      <c r="A708" s="12">
        <f>IFERROR(__xludf.DUMMYFUNCTION("""COMPUTED_VALUE"""),43283.66666666667)</f>
        <v>43283.66667</v>
      </c>
      <c r="B708" s="13">
        <f>IFERROR(__xludf.DUMMYFUNCTION("""COMPUTED_VALUE"""),2726.71)</f>
        <v>2726.71</v>
      </c>
      <c r="C708" s="13">
        <f t="shared" si="1"/>
        <v>2750.23</v>
      </c>
      <c r="D708" s="13">
        <f t="shared" si="2"/>
        <v>2723.42</v>
      </c>
      <c r="E708" s="13" t="str">
        <f t="shared" si="3"/>
        <v>LONG</v>
      </c>
      <c r="F708" s="3">
        <f t="shared" si="4"/>
        <v>0.003068015024</v>
      </c>
      <c r="G708" s="4">
        <f t="shared" si="5"/>
        <v>1.311321753</v>
      </c>
      <c r="H708" s="3">
        <f t="shared" si="6"/>
        <v>0.003068015024</v>
      </c>
      <c r="I708" s="5">
        <f t="shared" si="7"/>
        <v>1.190638884</v>
      </c>
    </row>
    <row r="709">
      <c r="A709" s="12">
        <f>IFERROR(__xludf.DUMMYFUNCTION("""COMPUTED_VALUE"""),43284.54166666667)</f>
        <v>43284.54167</v>
      </c>
      <c r="B709" s="13">
        <f>IFERROR(__xludf.DUMMYFUNCTION("""COMPUTED_VALUE"""),2713.22)</f>
        <v>2713.22</v>
      </c>
      <c r="C709" s="13">
        <f t="shared" si="1"/>
        <v>2737.905</v>
      </c>
      <c r="D709" s="13">
        <f t="shared" si="2"/>
        <v>2713.095</v>
      </c>
      <c r="E709" s="13" t="str">
        <f t="shared" si="3"/>
        <v>LONG</v>
      </c>
      <c r="F709" s="3">
        <f t="shared" si="4"/>
        <v>-0.004947354137</v>
      </c>
      <c r="G709" s="4">
        <f t="shared" si="5"/>
        <v>1.30483418</v>
      </c>
      <c r="H709" s="3">
        <f t="shared" si="6"/>
        <v>-0.004947354137</v>
      </c>
      <c r="I709" s="5">
        <f t="shared" si="7"/>
        <v>1.184748371</v>
      </c>
    </row>
    <row r="710">
      <c r="A710" s="12">
        <f>IFERROR(__xludf.DUMMYFUNCTION("""COMPUTED_VALUE"""),43286.66666666667)</f>
        <v>43286.66667</v>
      </c>
      <c r="B710" s="13">
        <f>IFERROR(__xludf.DUMMYFUNCTION("""COMPUTED_VALUE"""),2736.61)</f>
        <v>2736.61</v>
      </c>
      <c r="C710" s="13">
        <f t="shared" si="1"/>
        <v>2751.965</v>
      </c>
      <c r="D710" s="13">
        <f t="shared" si="2"/>
        <v>2734.81</v>
      </c>
      <c r="E710" s="13" t="str">
        <f t="shared" si="3"/>
        <v>LONG</v>
      </c>
      <c r="F710" s="3">
        <f t="shared" si="4"/>
        <v>0.008620753201</v>
      </c>
      <c r="G710" s="4">
        <f t="shared" si="5"/>
        <v>1.316082833</v>
      </c>
      <c r="H710" s="3">
        <f t="shared" si="6"/>
        <v>0.008620753201</v>
      </c>
      <c r="I710" s="5">
        <f t="shared" si="7"/>
        <v>1.194961795</v>
      </c>
    </row>
    <row r="711">
      <c r="A711" s="12">
        <f>IFERROR(__xludf.DUMMYFUNCTION("""COMPUTED_VALUE"""),43287.66666666667)</f>
        <v>43287.66667</v>
      </c>
      <c r="B711" s="13">
        <f>IFERROR(__xludf.DUMMYFUNCTION("""COMPUTED_VALUE"""),2759.82)</f>
        <v>2759.82</v>
      </c>
      <c r="C711" s="13">
        <f t="shared" si="1"/>
        <v>2754.79</v>
      </c>
      <c r="D711" s="13">
        <f t="shared" si="2"/>
        <v>2742.13</v>
      </c>
      <c r="E711" s="13" t="str">
        <f t="shared" si="3"/>
        <v>LONG</v>
      </c>
      <c r="F711" s="3">
        <f t="shared" si="4"/>
        <v>0.008481296202</v>
      </c>
      <c r="G711" s="4">
        <f t="shared" si="5"/>
        <v>1.327244922</v>
      </c>
      <c r="H711" s="3">
        <f t="shared" si="6"/>
        <v>0.008481296202</v>
      </c>
      <c r="I711" s="5">
        <f t="shared" si="7"/>
        <v>1.20509662</v>
      </c>
    </row>
    <row r="712">
      <c r="A712" s="12">
        <f>IFERROR(__xludf.DUMMYFUNCTION("""COMPUTED_VALUE"""),43290.66666666667)</f>
        <v>43290.66667</v>
      </c>
      <c r="B712" s="13">
        <f>IFERROR(__xludf.DUMMYFUNCTION("""COMPUTED_VALUE"""),2784.17)</f>
        <v>2784.17</v>
      </c>
      <c r="C712" s="13">
        <f t="shared" si="1"/>
        <v>2769.525</v>
      </c>
      <c r="D712" s="13">
        <f t="shared" si="2"/>
        <v>2758.73</v>
      </c>
      <c r="E712" s="13" t="str">
        <f t="shared" si="3"/>
        <v>LONG</v>
      </c>
      <c r="F712" s="3">
        <f t="shared" si="4"/>
        <v>0.008823039184</v>
      </c>
      <c r="G712" s="4">
        <f t="shared" si="5"/>
        <v>1.338955255</v>
      </c>
      <c r="H712" s="3">
        <f t="shared" si="6"/>
        <v>0.008823039184</v>
      </c>
      <c r="I712" s="5">
        <f t="shared" si="7"/>
        <v>1.215729234</v>
      </c>
    </row>
    <row r="713">
      <c r="A713" s="12">
        <f>IFERROR(__xludf.DUMMYFUNCTION("""COMPUTED_VALUE"""),43291.66666666667)</f>
        <v>43291.66667</v>
      </c>
      <c r="B713" s="13">
        <f>IFERROR(__xludf.DUMMYFUNCTION("""COMPUTED_VALUE"""),2793.84)</f>
        <v>2793.84</v>
      </c>
      <c r="C713" s="13">
        <f t="shared" si="1"/>
        <v>2755.455</v>
      </c>
      <c r="D713" s="13">
        <f t="shared" si="2"/>
        <v>2760.8</v>
      </c>
      <c r="E713" s="13" t="str">
        <f t="shared" si="3"/>
        <v/>
      </c>
      <c r="F713" s="3">
        <f t="shared" si="4"/>
        <v>0.003473207455</v>
      </c>
      <c r="G713" s="4">
        <f t="shared" si="5"/>
        <v>1.343605725</v>
      </c>
      <c r="H713" s="5">
        <f t="shared" si="6"/>
        <v>0</v>
      </c>
      <c r="I713" s="5">
        <f t="shared" si="7"/>
        <v>1.215729234</v>
      </c>
    </row>
    <row r="714">
      <c r="A714" s="12">
        <f>IFERROR(__xludf.DUMMYFUNCTION("""COMPUTED_VALUE"""),43292.66666666667)</f>
        <v>43292.66667</v>
      </c>
      <c r="B714" s="13">
        <f>IFERROR(__xludf.DUMMYFUNCTION("""COMPUTED_VALUE"""),2774.02)</f>
        <v>2774.02</v>
      </c>
      <c r="C714" s="13">
        <f t="shared" si="1"/>
        <v>2748.54</v>
      </c>
      <c r="D714" s="13">
        <f t="shared" si="2"/>
        <v>2747.675</v>
      </c>
      <c r="E714" s="13" t="str">
        <f t="shared" si="3"/>
        <v>LONG</v>
      </c>
      <c r="F714" s="3">
        <f t="shared" si="4"/>
        <v>-0.007094178622</v>
      </c>
      <c r="G714" s="4">
        <f t="shared" si="5"/>
        <v>1.334073946</v>
      </c>
      <c r="H714" s="3">
        <f t="shared" si="6"/>
        <v>-0.007094178622</v>
      </c>
      <c r="I714" s="5">
        <f t="shared" si="7"/>
        <v>1.207104634</v>
      </c>
    </row>
    <row r="715">
      <c r="A715" s="12">
        <f>IFERROR(__xludf.DUMMYFUNCTION("""COMPUTED_VALUE"""),43293.66666666667)</f>
        <v>43293.66667</v>
      </c>
      <c r="B715" s="13">
        <f>IFERROR(__xludf.DUMMYFUNCTION("""COMPUTED_VALUE"""),2798.29)</f>
        <v>2798.29</v>
      </c>
      <c r="C715" s="13">
        <f t="shared" si="1"/>
        <v>2748.96</v>
      </c>
      <c r="D715" s="13">
        <f t="shared" si="2"/>
        <v>2744.075</v>
      </c>
      <c r="E715" s="13" t="str">
        <f t="shared" si="3"/>
        <v>LONG</v>
      </c>
      <c r="F715" s="3">
        <f t="shared" si="4"/>
        <v>0.008749035695</v>
      </c>
      <c r="G715" s="4">
        <f t="shared" si="5"/>
        <v>1.345745806</v>
      </c>
      <c r="H715" s="3">
        <f t="shared" si="6"/>
        <v>0.008749035695</v>
      </c>
      <c r="I715" s="5">
        <f t="shared" si="7"/>
        <v>1.217665636</v>
      </c>
    </row>
    <row r="716">
      <c r="A716" s="12">
        <f>IFERROR(__xludf.DUMMYFUNCTION("""COMPUTED_VALUE"""),43294.66666666667)</f>
        <v>43294.66667</v>
      </c>
      <c r="B716" s="13">
        <f>IFERROR(__xludf.DUMMYFUNCTION("""COMPUTED_VALUE"""),2801.31)</f>
        <v>2801.31</v>
      </c>
      <c r="C716" s="13">
        <f t="shared" si="1"/>
        <v>2758.81</v>
      </c>
      <c r="D716" s="13">
        <f t="shared" si="2"/>
        <v>2762.66</v>
      </c>
      <c r="E716" s="13" t="str">
        <f t="shared" si="3"/>
        <v/>
      </c>
      <c r="F716" s="3">
        <f t="shared" si="4"/>
        <v>0.00107923053</v>
      </c>
      <c r="G716" s="4">
        <f t="shared" si="5"/>
        <v>1.347198176</v>
      </c>
      <c r="H716" s="5">
        <f t="shared" si="6"/>
        <v>0</v>
      </c>
      <c r="I716" s="5">
        <f t="shared" si="7"/>
        <v>1.217665636</v>
      </c>
    </row>
    <row r="717">
      <c r="A717" s="12">
        <f>IFERROR(__xludf.DUMMYFUNCTION("""COMPUTED_VALUE"""),43297.66666666667)</f>
        <v>43297.66667</v>
      </c>
      <c r="B717" s="13">
        <f>IFERROR(__xludf.DUMMYFUNCTION("""COMPUTED_VALUE"""),2798.43)</f>
        <v>2798.43</v>
      </c>
      <c r="C717" s="13">
        <f t="shared" si="1"/>
        <v>2758.4</v>
      </c>
      <c r="D717" s="13">
        <f t="shared" si="2"/>
        <v>2751.85</v>
      </c>
      <c r="E717" s="13" t="str">
        <f t="shared" si="3"/>
        <v>LONG</v>
      </c>
      <c r="F717" s="3">
        <f t="shared" si="4"/>
        <v>-0.001028090429</v>
      </c>
      <c r="G717" s="4">
        <f t="shared" si="5"/>
        <v>1.345813135</v>
      </c>
      <c r="H717" s="3">
        <f t="shared" si="6"/>
        <v>-0.001028090429</v>
      </c>
      <c r="I717" s="5">
        <f t="shared" si="7"/>
        <v>1.216413765</v>
      </c>
    </row>
    <row r="718">
      <c r="A718" s="12">
        <f>IFERROR(__xludf.DUMMYFUNCTION("""COMPUTED_VALUE"""),43298.66666666667)</f>
        <v>43298.66667</v>
      </c>
      <c r="B718" s="13">
        <f>IFERROR(__xludf.DUMMYFUNCTION("""COMPUTED_VALUE"""),2809.55)</f>
        <v>2809.55</v>
      </c>
      <c r="C718" s="13">
        <f t="shared" si="1"/>
        <v>2768.13</v>
      </c>
      <c r="D718" s="13">
        <f t="shared" si="2"/>
        <v>2772.085</v>
      </c>
      <c r="E718" s="13" t="str">
        <f t="shared" si="3"/>
        <v/>
      </c>
      <c r="F718" s="3">
        <f t="shared" si="4"/>
        <v>0.003973656657</v>
      </c>
      <c r="G718" s="4">
        <f t="shared" si="5"/>
        <v>1.351160934</v>
      </c>
      <c r="H718" s="5">
        <f t="shared" si="6"/>
        <v>0</v>
      </c>
      <c r="I718" s="5">
        <f t="shared" si="7"/>
        <v>1.216413765</v>
      </c>
    </row>
    <row r="719">
      <c r="A719" s="12">
        <f>IFERROR(__xludf.DUMMYFUNCTION("""COMPUTED_VALUE"""),43299.66666666667)</f>
        <v>43299.66667</v>
      </c>
      <c r="B719" s="13">
        <f>IFERROR(__xludf.DUMMYFUNCTION("""COMPUTED_VALUE"""),2815.62)</f>
        <v>2815.62</v>
      </c>
      <c r="C719" s="13">
        <f t="shared" si="1"/>
        <v>2764.42</v>
      </c>
      <c r="D719" s="13">
        <f t="shared" si="2"/>
        <v>2781.245</v>
      </c>
      <c r="E719" s="13" t="str">
        <f t="shared" si="3"/>
        <v/>
      </c>
      <c r="F719" s="3">
        <f t="shared" si="4"/>
        <v>0.002160488334</v>
      </c>
      <c r="G719" s="4">
        <f t="shared" si="5"/>
        <v>1.354080102</v>
      </c>
      <c r="H719" s="5">
        <f t="shared" si="6"/>
        <v>0</v>
      </c>
      <c r="I719" s="5">
        <f t="shared" si="7"/>
        <v>1.216413765</v>
      </c>
    </row>
    <row r="720">
      <c r="A720" s="12">
        <f>IFERROR(__xludf.DUMMYFUNCTION("""COMPUTED_VALUE"""),43300.66666666667)</f>
        <v>43300.66667</v>
      </c>
      <c r="B720" s="13">
        <f>IFERROR(__xludf.DUMMYFUNCTION("""COMPUTED_VALUE"""),2804.49)</f>
        <v>2804.49</v>
      </c>
      <c r="C720" s="13">
        <f t="shared" si="1"/>
        <v>2770.55</v>
      </c>
      <c r="D720" s="13">
        <f t="shared" si="2"/>
        <v>2776.645</v>
      </c>
      <c r="E720" s="13" t="str">
        <f t="shared" si="3"/>
        <v/>
      </c>
      <c r="F720" s="3">
        <f t="shared" si="4"/>
        <v>-0.003952948196</v>
      </c>
      <c r="G720" s="4">
        <f t="shared" si="5"/>
        <v>1.348727493</v>
      </c>
      <c r="H720" s="5">
        <f t="shared" si="6"/>
        <v>0</v>
      </c>
      <c r="I720" s="5">
        <f t="shared" si="7"/>
        <v>1.216413765</v>
      </c>
    </row>
    <row r="721">
      <c r="A721" s="12">
        <f>IFERROR(__xludf.DUMMYFUNCTION("""COMPUTED_VALUE"""),43301.66666666667)</f>
        <v>43301.66667</v>
      </c>
      <c r="B721" s="13">
        <f>IFERROR(__xludf.DUMMYFUNCTION("""COMPUTED_VALUE"""),2801.83)</f>
        <v>2801.83</v>
      </c>
      <c r="C721" s="13">
        <f t="shared" si="1"/>
        <v>2780.825</v>
      </c>
      <c r="D721" s="13">
        <f t="shared" si="2"/>
        <v>2787.09</v>
      </c>
      <c r="E721" s="13" t="str">
        <f t="shared" si="3"/>
        <v/>
      </c>
      <c r="F721" s="3">
        <f t="shared" si="4"/>
        <v>-0.0009484790461</v>
      </c>
      <c r="G721" s="4">
        <f t="shared" si="5"/>
        <v>1.347448253</v>
      </c>
      <c r="H721" s="5">
        <f t="shared" si="6"/>
        <v>0</v>
      </c>
      <c r="I721" s="5">
        <f t="shared" si="7"/>
        <v>1.216413765</v>
      </c>
    </row>
    <row r="722">
      <c r="A722" s="12">
        <f>IFERROR(__xludf.DUMMYFUNCTION("""COMPUTED_VALUE"""),43304.66666666667)</f>
        <v>43304.66667</v>
      </c>
      <c r="B722" s="13">
        <f>IFERROR(__xludf.DUMMYFUNCTION("""COMPUTED_VALUE"""),2806.98)</f>
        <v>2806.98</v>
      </c>
      <c r="C722" s="13">
        <f t="shared" si="1"/>
        <v>2795.575</v>
      </c>
      <c r="D722" s="13">
        <f t="shared" si="2"/>
        <v>2788.675</v>
      </c>
      <c r="E722" s="13" t="str">
        <f t="shared" si="3"/>
        <v>LONG</v>
      </c>
      <c r="F722" s="3">
        <f t="shared" si="4"/>
        <v>0.001838084395</v>
      </c>
      <c r="G722" s="4">
        <f t="shared" si="5"/>
        <v>1.349924977</v>
      </c>
      <c r="H722" s="3">
        <f t="shared" si="6"/>
        <v>0.001838084395</v>
      </c>
      <c r="I722" s="5">
        <f t="shared" si="7"/>
        <v>1.218649636</v>
      </c>
    </row>
    <row r="723">
      <c r="A723" s="12">
        <f>IFERROR(__xludf.DUMMYFUNCTION("""COMPUTED_VALUE"""),43305.66666666667)</f>
        <v>43305.66667</v>
      </c>
      <c r="B723" s="13">
        <f>IFERROR(__xludf.DUMMYFUNCTION("""COMPUTED_VALUE"""),2820.4)</f>
        <v>2820.4</v>
      </c>
      <c r="C723" s="13">
        <f t="shared" si="1"/>
        <v>2807.12</v>
      </c>
      <c r="D723" s="13">
        <f t="shared" si="2"/>
        <v>2799.715</v>
      </c>
      <c r="E723" s="13" t="str">
        <f t="shared" si="3"/>
        <v>LONG</v>
      </c>
      <c r="F723" s="3">
        <f t="shared" si="4"/>
        <v>0.004780938945</v>
      </c>
      <c r="G723" s="4">
        <f t="shared" si="5"/>
        <v>1.356378886</v>
      </c>
      <c r="H723" s="3">
        <f t="shared" si="6"/>
        <v>0.004780938945</v>
      </c>
      <c r="I723" s="5">
        <f t="shared" si="7"/>
        <v>1.224475926</v>
      </c>
    </row>
    <row r="724">
      <c r="A724" s="12">
        <f>IFERROR(__xludf.DUMMYFUNCTION("""COMPUTED_VALUE"""),43306.66666666667)</f>
        <v>43306.66667</v>
      </c>
      <c r="B724" s="13">
        <f>IFERROR(__xludf.DUMMYFUNCTION("""COMPUTED_VALUE"""),2846.07)</f>
        <v>2846.07</v>
      </c>
      <c r="C724" s="13">
        <f t="shared" si="1"/>
        <v>2810.045</v>
      </c>
      <c r="D724" s="13">
        <f t="shared" si="2"/>
        <v>2814.035</v>
      </c>
      <c r="E724" s="13" t="str">
        <f t="shared" si="3"/>
        <v/>
      </c>
      <c r="F724" s="3">
        <f t="shared" si="4"/>
        <v>0.00910154588</v>
      </c>
      <c r="G724" s="4">
        <f t="shared" si="5"/>
        <v>1.36872403</v>
      </c>
      <c r="H724" s="5">
        <f t="shared" si="6"/>
        <v>0</v>
      </c>
      <c r="I724" s="5">
        <f t="shared" si="7"/>
        <v>1.224475926</v>
      </c>
    </row>
    <row r="725">
      <c r="A725" s="12">
        <f>IFERROR(__xludf.DUMMYFUNCTION("""COMPUTED_VALUE"""),43307.66666666667)</f>
        <v>43307.66667</v>
      </c>
      <c r="B725" s="13">
        <f>IFERROR(__xludf.DUMMYFUNCTION("""COMPUTED_VALUE"""),2837.44)</f>
        <v>2837.44</v>
      </c>
      <c r="C725" s="13">
        <f t="shared" si="1"/>
        <v>2817.865</v>
      </c>
      <c r="D725" s="13">
        <f t="shared" si="2"/>
        <v>2812.145</v>
      </c>
      <c r="E725" s="13" t="str">
        <f t="shared" si="3"/>
        <v>LONG</v>
      </c>
      <c r="F725" s="3">
        <f t="shared" si="4"/>
        <v>-0.003032251491</v>
      </c>
      <c r="G725" s="4">
        <f t="shared" si="5"/>
        <v>1.364573715</v>
      </c>
      <c r="H725" s="3">
        <f t="shared" si="6"/>
        <v>-0.003032251491</v>
      </c>
      <c r="I725" s="5">
        <f t="shared" si="7"/>
        <v>1.220763007</v>
      </c>
    </row>
    <row r="726">
      <c r="A726" s="12">
        <f>IFERROR(__xludf.DUMMYFUNCTION("""COMPUTED_VALUE"""),43308.66666666667)</f>
        <v>43308.66667</v>
      </c>
      <c r="B726" s="13">
        <f>IFERROR(__xludf.DUMMYFUNCTION("""COMPUTED_VALUE"""),2818.82)</f>
        <v>2818.82</v>
      </c>
      <c r="C726" s="13">
        <f t="shared" si="1"/>
        <v>2810.065</v>
      </c>
      <c r="D726" s="13">
        <f t="shared" si="2"/>
        <v>2797.225</v>
      </c>
      <c r="E726" s="13" t="str">
        <f t="shared" si="3"/>
        <v>LONG</v>
      </c>
      <c r="F726" s="3">
        <f t="shared" si="4"/>
        <v>-0.006562253299</v>
      </c>
      <c r="G726" s="4">
        <f t="shared" si="5"/>
        <v>1.355619037</v>
      </c>
      <c r="H726" s="3">
        <f t="shared" si="6"/>
        <v>-0.006562253299</v>
      </c>
      <c r="I726" s="5">
        <f t="shared" si="7"/>
        <v>1.212752051</v>
      </c>
    </row>
    <row r="727">
      <c r="A727" s="12">
        <f>IFERROR(__xludf.DUMMYFUNCTION("""COMPUTED_VALUE"""),43311.66666666667)</f>
        <v>43311.66667</v>
      </c>
      <c r="B727" s="13">
        <f>IFERROR(__xludf.DUMMYFUNCTION("""COMPUTED_VALUE"""),2802.6)</f>
        <v>2802.6</v>
      </c>
      <c r="C727" s="13">
        <f t="shared" si="1"/>
        <v>2800.515</v>
      </c>
      <c r="D727" s="13">
        <f t="shared" si="2"/>
        <v>2792.545</v>
      </c>
      <c r="E727" s="13" t="str">
        <f t="shared" si="3"/>
        <v>LONG</v>
      </c>
      <c r="F727" s="3">
        <f t="shared" si="4"/>
        <v>-0.005754180827</v>
      </c>
      <c r="G727" s="4">
        <f t="shared" si="5"/>
        <v>1.34781856</v>
      </c>
      <c r="H727" s="3">
        <f t="shared" si="6"/>
        <v>-0.005754180827</v>
      </c>
      <c r="I727" s="5">
        <f t="shared" si="7"/>
        <v>1.205773656</v>
      </c>
    </row>
    <row r="728">
      <c r="A728" s="12">
        <f>IFERROR(__xludf.DUMMYFUNCTION("""COMPUTED_VALUE"""),43312.66666666667)</f>
        <v>43312.66667</v>
      </c>
      <c r="B728" s="13">
        <f>IFERROR(__xludf.DUMMYFUNCTION("""COMPUTED_VALUE"""),2816.29)</f>
        <v>2816.29</v>
      </c>
      <c r="C728" s="13">
        <f t="shared" si="1"/>
        <v>2812.92</v>
      </c>
      <c r="D728" s="13">
        <f t="shared" si="2"/>
        <v>2797.975</v>
      </c>
      <c r="E728" s="13" t="str">
        <f t="shared" si="3"/>
        <v>LONG</v>
      </c>
      <c r="F728" s="3">
        <f t="shared" si="4"/>
        <v>0.004884749875</v>
      </c>
      <c r="G728" s="4">
        <f t="shared" si="5"/>
        <v>1.354402316</v>
      </c>
      <c r="H728" s="3">
        <f t="shared" si="6"/>
        <v>0.004884749875</v>
      </c>
      <c r="I728" s="5">
        <f t="shared" si="7"/>
        <v>1.211663559</v>
      </c>
    </row>
    <row r="729">
      <c r="A729" s="12">
        <f>IFERROR(__xludf.DUMMYFUNCTION("""COMPUTED_VALUE"""),43313.66666666667)</f>
        <v>43313.66667</v>
      </c>
      <c r="B729" s="13">
        <f>IFERROR(__xludf.DUMMYFUNCTION("""COMPUTED_VALUE"""),2813.36)</f>
        <v>2813.36</v>
      </c>
      <c r="C729" s="13">
        <f t="shared" si="1"/>
        <v>2814.49</v>
      </c>
      <c r="D729" s="13">
        <f t="shared" si="2"/>
        <v>2793.555</v>
      </c>
      <c r="E729" s="13" t="str">
        <f t="shared" si="3"/>
        <v>LONG</v>
      </c>
      <c r="F729" s="3">
        <f t="shared" si="4"/>
        <v>-0.001040375814</v>
      </c>
      <c r="G729" s="4">
        <f t="shared" si="5"/>
        <v>1.352993229</v>
      </c>
      <c r="H729" s="3">
        <f t="shared" si="6"/>
        <v>-0.001040375814</v>
      </c>
      <c r="I729" s="5">
        <f t="shared" si="7"/>
        <v>1.210402974</v>
      </c>
    </row>
    <row r="730">
      <c r="A730" s="12">
        <f>IFERROR(__xludf.DUMMYFUNCTION("""COMPUTED_VALUE"""),43314.66666666667)</f>
        <v>43314.66667</v>
      </c>
      <c r="B730" s="13">
        <f>IFERROR(__xludf.DUMMYFUNCTION("""COMPUTED_VALUE"""),2827.22)</f>
        <v>2827.22</v>
      </c>
      <c r="C730" s="13">
        <f t="shared" si="1"/>
        <v>2815.855</v>
      </c>
      <c r="D730" s="13">
        <f t="shared" si="2"/>
        <v>2794.905</v>
      </c>
      <c r="E730" s="13" t="str">
        <f t="shared" si="3"/>
        <v>LONG</v>
      </c>
      <c r="F730" s="3">
        <f t="shared" si="4"/>
        <v>0.004926493588</v>
      </c>
      <c r="G730" s="4">
        <f t="shared" si="5"/>
        <v>1.359658741</v>
      </c>
      <c r="H730" s="3">
        <f t="shared" si="6"/>
        <v>0.004926493588</v>
      </c>
      <c r="I730" s="5">
        <f t="shared" si="7"/>
        <v>1.216366016</v>
      </c>
    </row>
    <row r="731">
      <c r="A731" s="12">
        <f>IFERROR(__xludf.DUMMYFUNCTION("""COMPUTED_VALUE"""),43315.66666666667)</f>
        <v>43315.66667</v>
      </c>
      <c r="B731" s="13">
        <f>IFERROR(__xludf.DUMMYFUNCTION("""COMPUTED_VALUE"""),2840.35)</f>
        <v>2840.35</v>
      </c>
      <c r="C731" s="13">
        <f t="shared" si="1"/>
        <v>2821.09</v>
      </c>
      <c r="D731" s="13">
        <f t="shared" si="2"/>
        <v>2803.835</v>
      </c>
      <c r="E731" s="13" t="str">
        <f t="shared" si="3"/>
        <v>LONG</v>
      </c>
      <c r="F731" s="3">
        <f t="shared" si="4"/>
        <v>0.004644138058</v>
      </c>
      <c r="G731" s="4">
        <f t="shared" si="5"/>
        <v>1.365973184</v>
      </c>
      <c r="H731" s="3">
        <f t="shared" si="6"/>
        <v>0.004644138058</v>
      </c>
      <c r="I731" s="5">
        <f t="shared" si="7"/>
        <v>1.222014988</v>
      </c>
    </row>
    <row r="732">
      <c r="A732" s="12">
        <f>IFERROR(__xludf.DUMMYFUNCTION("""COMPUTED_VALUE"""),43318.66666666667)</f>
        <v>43318.66667</v>
      </c>
      <c r="B732" s="13">
        <f>IFERROR(__xludf.DUMMYFUNCTION("""COMPUTED_VALUE"""),2850.4)</f>
        <v>2850.4</v>
      </c>
      <c r="C732" s="13">
        <f t="shared" si="1"/>
        <v>2828.69</v>
      </c>
      <c r="D732" s="13">
        <f t="shared" si="2"/>
        <v>2800.08</v>
      </c>
      <c r="E732" s="13" t="str">
        <f t="shared" si="3"/>
        <v>LONG</v>
      </c>
      <c r="F732" s="3">
        <f t="shared" si="4"/>
        <v>0.003538296337</v>
      </c>
      <c r="G732" s="4">
        <f t="shared" si="5"/>
        <v>1.370806402</v>
      </c>
      <c r="H732" s="3">
        <f t="shared" si="6"/>
        <v>0.003538296337</v>
      </c>
      <c r="I732" s="5">
        <f t="shared" si="7"/>
        <v>1.226338839</v>
      </c>
    </row>
    <row r="733">
      <c r="A733" s="12">
        <f>IFERROR(__xludf.DUMMYFUNCTION("""COMPUTED_VALUE"""),43319.66666666667)</f>
        <v>43319.66667</v>
      </c>
      <c r="B733" s="13">
        <f>IFERROR(__xludf.DUMMYFUNCTION("""COMPUTED_VALUE"""),2858.45)</f>
        <v>2858.45</v>
      </c>
      <c r="C733" s="13">
        <f t="shared" si="1"/>
        <v>2839.425</v>
      </c>
      <c r="D733" s="13">
        <f t="shared" si="2"/>
        <v>2806.665</v>
      </c>
      <c r="E733" s="13" t="str">
        <f t="shared" si="3"/>
        <v>LONG</v>
      </c>
      <c r="F733" s="3">
        <f t="shared" si="4"/>
        <v>0.002824165029</v>
      </c>
      <c r="G733" s="4">
        <f t="shared" si="5"/>
        <v>1.374677785</v>
      </c>
      <c r="H733" s="3">
        <f t="shared" si="6"/>
        <v>0.002824165029</v>
      </c>
      <c r="I733" s="5">
        <f t="shared" si="7"/>
        <v>1.229802222</v>
      </c>
    </row>
    <row r="734">
      <c r="A734" s="12">
        <f>IFERROR(__xludf.DUMMYFUNCTION("""COMPUTED_VALUE"""),43320.66666666667)</f>
        <v>43320.66667</v>
      </c>
      <c r="B734" s="13">
        <f>IFERROR(__xludf.DUMMYFUNCTION("""COMPUTED_VALUE"""),2857.7)</f>
        <v>2857.7</v>
      </c>
      <c r="C734" s="13">
        <f t="shared" si="1"/>
        <v>2851.885</v>
      </c>
      <c r="D734" s="13">
        <f t="shared" si="2"/>
        <v>2787.385</v>
      </c>
      <c r="E734" s="13" t="str">
        <f t="shared" si="3"/>
        <v>LONG</v>
      </c>
      <c r="F734" s="3">
        <f t="shared" si="4"/>
        <v>-0.0002623799612</v>
      </c>
      <c r="G734" s="4">
        <f t="shared" si="5"/>
        <v>1.374317098</v>
      </c>
      <c r="H734" s="3">
        <f t="shared" si="6"/>
        <v>-0.0002623799612</v>
      </c>
      <c r="I734" s="5">
        <f t="shared" si="7"/>
        <v>1.229479547</v>
      </c>
    </row>
    <row r="735">
      <c r="A735" s="12">
        <f>IFERROR(__xludf.DUMMYFUNCTION("""COMPUTED_VALUE"""),43321.66666666667)</f>
        <v>43321.66667</v>
      </c>
      <c r="B735" s="13">
        <f>IFERROR(__xludf.DUMMYFUNCTION("""COMPUTED_VALUE"""),2853.58)</f>
        <v>2853.58</v>
      </c>
      <c r="C735" s="13">
        <f t="shared" si="1"/>
        <v>2845.51</v>
      </c>
      <c r="D735" s="13">
        <f t="shared" si="2"/>
        <v>2788.32</v>
      </c>
      <c r="E735" s="13" t="str">
        <f t="shared" si="3"/>
        <v>LONG</v>
      </c>
      <c r="F735" s="3">
        <f t="shared" si="4"/>
        <v>-0.001441718865</v>
      </c>
      <c r="G735" s="4">
        <f t="shared" si="5"/>
        <v>1.372335719</v>
      </c>
      <c r="H735" s="3">
        <f t="shared" si="6"/>
        <v>-0.001441718865</v>
      </c>
      <c r="I735" s="5">
        <f t="shared" si="7"/>
        <v>1.227706983</v>
      </c>
    </row>
    <row r="736">
      <c r="A736" s="12">
        <f>IFERROR(__xludf.DUMMYFUNCTION("""COMPUTED_VALUE"""),43322.66666666667)</f>
        <v>43322.66667</v>
      </c>
      <c r="B736" s="13">
        <f>IFERROR(__xludf.DUMMYFUNCTION("""COMPUTED_VALUE"""),2833.28)</f>
        <v>2833.28</v>
      </c>
      <c r="C736" s="13">
        <f t="shared" si="1"/>
        <v>2826.05</v>
      </c>
      <c r="D736" s="13">
        <f t="shared" si="2"/>
        <v>2766.455</v>
      </c>
      <c r="E736" s="13" t="str">
        <f t="shared" si="3"/>
        <v>LONG</v>
      </c>
      <c r="F736" s="3">
        <f t="shared" si="4"/>
        <v>-0.007113870997</v>
      </c>
      <c r="G736" s="4">
        <f t="shared" si="5"/>
        <v>1.362573099</v>
      </c>
      <c r="H736" s="3">
        <f t="shared" si="6"/>
        <v>-0.007113870997</v>
      </c>
      <c r="I736" s="5">
        <f t="shared" si="7"/>
        <v>1.218973234</v>
      </c>
    </row>
    <row r="737">
      <c r="A737" s="12">
        <f>IFERROR(__xludf.DUMMYFUNCTION("""COMPUTED_VALUE"""),43325.66666666667)</f>
        <v>43325.66667</v>
      </c>
      <c r="B737" s="13">
        <f>IFERROR(__xludf.DUMMYFUNCTION("""COMPUTED_VALUE"""),2821.93)</f>
        <v>2821.93</v>
      </c>
      <c r="C737" s="13">
        <f t="shared" si="1"/>
        <v>2812.265</v>
      </c>
      <c r="D737" s="13">
        <f t="shared" si="2"/>
        <v>2769.12</v>
      </c>
      <c r="E737" s="13" t="str">
        <f t="shared" si="3"/>
        <v>LONG</v>
      </c>
      <c r="F737" s="3">
        <f t="shared" si="4"/>
        <v>-0.004005957759</v>
      </c>
      <c r="G737" s="4">
        <f t="shared" si="5"/>
        <v>1.357114689</v>
      </c>
      <c r="H737" s="3">
        <f t="shared" si="6"/>
        <v>-0.004005957759</v>
      </c>
      <c r="I737" s="5">
        <f t="shared" si="7"/>
        <v>1.214090078</v>
      </c>
    </row>
    <row r="738">
      <c r="A738" s="12">
        <f>IFERROR(__xludf.DUMMYFUNCTION("""COMPUTED_VALUE"""),43326.66666666667)</f>
        <v>43326.66667</v>
      </c>
      <c r="B738" s="13">
        <f>IFERROR(__xludf.DUMMYFUNCTION("""COMPUTED_VALUE"""),2839.96)</f>
        <v>2839.96</v>
      </c>
      <c r="C738" s="13">
        <f t="shared" si="1"/>
        <v>2828.125</v>
      </c>
      <c r="D738" s="13">
        <f t="shared" si="2"/>
        <v>2779.165</v>
      </c>
      <c r="E738" s="13" t="str">
        <f t="shared" si="3"/>
        <v>LONG</v>
      </c>
      <c r="F738" s="3">
        <f t="shared" si="4"/>
        <v>0.006389244241</v>
      </c>
      <c r="G738" s="4">
        <f t="shared" si="5"/>
        <v>1.365785626</v>
      </c>
      <c r="H738" s="3">
        <f t="shared" si="6"/>
        <v>0.006389244241</v>
      </c>
      <c r="I738" s="5">
        <f t="shared" si="7"/>
        <v>1.221847196</v>
      </c>
    </row>
    <row r="739">
      <c r="A739" s="12">
        <f>IFERROR(__xludf.DUMMYFUNCTION("""COMPUTED_VALUE"""),43327.66666666667)</f>
        <v>43327.66667</v>
      </c>
      <c r="B739" s="13">
        <f>IFERROR(__xludf.DUMMYFUNCTION("""COMPUTED_VALUE"""),2818.37)</f>
        <v>2818.37</v>
      </c>
      <c r="C739" s="13">
        <f t="shared" si="1"/>
        <v>2815.865</v>
      </c>
      <c r="D739" s="13">
        <f t="shared" si="2"/>
        <v>2772.54</v>
      </c>
      <c r="E739" s="13" t="str">
        <f t="shared" si="3"/>
        <v>LONG</v>
      </c>
      <c r="F739" s="3">
        <f t="shared" si="4"/>
        <v>-0.00760221975</v>
      </c>
      <c r="G739" s="4">
        <f t="shared" si="5"/>
        <v>1.355402624</v>
      </c>
      <c r="H739" s="3">
        <f t="shared" si="6"/>
        <v>-0.00760221975</v>
      </c>
      <c r="I739" s="5">
        <f t="shared" si="7"/>
        <v>1.212558446</v>
      </c>
    </row>
    <row r="740">
      <c r="A740" s="12">
        <f>IFERROR(__xludf.DUMMYFUNCTION("""COMPUTED_VALUE"""),43328.66666666667)</f>
        <v>43328.66667</v>
      </c>
      <c r="B740" s="13">
        <f>IFERROR(__xludf.DUMMYFUNCTION("""COMPUTED_VALUE"""),2840.69)</f>
        <v>2840.69</v>
      </c>
      <c r="C740" s="13">
        <f t="shared" si="1"/>
        <v>2833.955</v>
      </c>
      <c r="D740" s="13">
        <f t="shared" si="2"/>
        <v>2776.955</v>
      </c>
      <c r="E740" s="13" t="str">
        <f t="shared" si="3"/>
        <v>LONG</v>
      </c>
      <c r="F740" s="3">
        <f t="shared" si="4"/>
        <v>0.007919471184</v>
      </c>
      <c r="G740" s="4">
        <f t="shared" si="5"/>
        <v>1.366136696</v>
      </c>
      <c r="H740" s="3">
        <f t="shared" si="6"/>
        <v>0.007919471184</v>
      </c>
      <c r="I740" s="5">
        <f t="shared" si="7"/>
        <v>1.222161267</v>
      </c>
    </row>
    <row r="741">
      <c r="A741" s="12">
        <f>IFERROR(__xludf.DUMMYFUNCTION("""COMPUTED_VALUE"""),43329.66666666667)</f>
        <v>43329.66667</v>
      </c>
      <c r="B741" s="13">
        <f>IFERROR(__xludf.DUMMYFUNCTION("""COMPUTED_VALUE"""),2850.13)</f>
        <v>2850.13</v>
      </c>
      <c r="C741" s="13">
        <f t="shared" si="1"/>
        <v>2845.24</v>
      </c>
      <c r="D741" s="13">
        <f t="shared" si="2"/>
        <v>2793.37</v>
      </c>
      <c r="E741" s="13" t="str">
        <f t="shared" si="3"/>
        <v>LONG</v>
      </c>
      <c r="F741" s="3">
        <f t="shared" si="4"/>
        <v>0.00332313628</v>
      </c>
      <c r="G741" s="4">
        <f t="shared" si="5"/>
        <v>1.370676554</v>
      </c>
      <c r="H741" s="3">
        <f t="shared" si="6"/>
        <v>0.00332313628</v>
      </c>
      <c r="I741" s="5">
        <f t="shared" si="7"/>
        <v>1.226222676</v>
      </c>
    </row>
    <row r="742">
      <c r="A742" s="12">
        <f>IFERROR(__xludf.DUMMYFUNCTION("""COMPUTED_VALUE"""),43332.66666666667)</f>
        <v>43332.66667</v>
      </c>
      <c r="B742" s="13">
        <f>IFERROR(__xludf.DUMMYFUNCTION("""COMPUTED_VALUE"""),2857.05)</f>
        <v>2857.05</v>
      </c>
      <c r="C742" s="13">
        <f t="shared" si="1"/>
        <v>2853.725</v>
      </c>
      <c r="D742" s="13">
        <f t="shared" si="2"/>
        <v>2808.435</v>
      </c>
      <c r="E742" s="13" t="str">
        <f t="shared" si="3"/>
        <v>LONG</v>
      </c>
      <c r="F742" s="3">
        <f t="shared" si="4"/>
        <v>0.002427959426</v>
      </c>
      <c r="G742" s="4">
        <f t="shared" si="5"/>
        <v>1.374004501</v>
      </c>
      <c r="H742" s="3">
        <f t="shared" si="6"/>
        <v>0.002427959426</v>
      </c>
      <c r="I742" s="5">
        <f t="shared" si="7"/>
        <v>1.229199895</v>
      </c>
    </row>
    <row r="743">
      <c r="A743" s="12">
        <f>IFERROR(__xludf.DUMMYFUNCTION("""COMPUTED_VALUE"""),43333.66666666667)</f>
        <v>43333.66667</v>
      </c>
      <c r="B743" s="13">
        <f>IFERROR(__xludf.DUMMYFUNCTION("""COMPUTED_VALUE"""),2862.96)</f>
        <v>2862.96</v>
      </c>
      <c r="C743" s="13">
        <f t="shared" si="1"/>
        <v>2860.705</v>
      </c>
      <c r="D743" s="13">
        <f t="shared" si="2"/>
        <v>2823.565</v>
      </c>
      <c r="E743" s="13" t="str">
        <f t="shared" si="3"/>
        <v>LONG</v>
      </c>
      <c r="F743" s="3">
        <f t="shared" si="4"/>
        <v>0.002068567228</v>
      </c>
      <c r="G743" s="4">
        <f t="shared" si="5"/>
        <v>1.376846722</v>
      </c>
      <c r="H743" s="3">
        <f t="shared" si="6"/>
        <v>0.002068567228</v>
      </c>
      <c r="I743" s="5">
        <f t="shared" si="7"/>
        <v>1.231742577</v>
      </c>
    </row>
    <row r="744">
      <c r="A744" s="12">
        <f>IFERROR(__xludf.DUMMYFUNCTION("""COMPUTED_VALUE"""),43334.66666666667)</f>
        <v>43334.66667</v>
      </c>
      <c r="B744" s="13">
        <f>IFERROR(__xludf.DUMMYFUNCTION("""COMPUTED_VALUE"""),2861.82)</f>
        <v>2861.82</v>
      </c>
      <c r="C744" s="13">
        <f t="shared" si="1"/>
        <v>2859.76</v>
      </c>
      <c r="D744" s="13">
        <f t="shared" si="2"/>
        <v>2827.83</v>
      </c>
      <c r="E744" s="13" t="str">
        <f t="shared" si="3"/>
        <v>LONG</v>
      </c>
      <c r="F744" s="3">
        <f t="shared" si="4"/>
        <v>-0.0003981892866</v>
      </c>
      <c r="G744" s="4">
        <f t="shared" si="5"/>
        <v>1.376298476</v>
      </c>
      <c r="H744" s="3">
        <f t="shared" si="6"/>
        <v>-0.0003981892866</v>
      </c>
      <c r="I744" s="5">
        <f t="shared" si="7"/>
        <v>1.231252111</v>
      </c>
    </row>
    <row r="745">
      <c r="A745" s="12">
        <f>IFERROR(__xludf.DUMMYFUNCTION("""COMPUTED_VALUE"""),43335.66666666667)</f>
        <v>43335.66667</v>
      </c>
      <c r="B745" s="13">
        <f>IFERROR(__xludf.DUMMYFUNCTION("""COMPUTED_VALUE"""),2856.98)</f>
        <v>2856.98</v>
      </c>
      <c r="C745" s="13">
        <f t="shared" si="1"/>
        <v>2855.28</v>
      </c>
      <c r="D745" s="13">
        <f t="shared" si="2"/>
        <v>2815.5</v>
      </c>
      <c r="E745" s="13" t="str">
        <f t="shared" si="3"/>
        <v>LONG</v>
      </c>
      <c r="F745" s="3">
        <f t="shared" si="4"/>
        <v>-0.001691231454</v>
      </c>
      <c r="G745" s="4">
        <f t="shared" si="5"/>
        <v>1.373970837</v>
      </c>
      <c r="H745" s="3">
        <f t="shared" si="6"/>
        <v>-0.001691231454</v>
      </c>
      <c r="I745" s="5">
        <f t="shared" si="7"/>
        <v>1.229169778</v>
      </c>
    </row>
    <row r="746">
      <c r="A746" s="12">
        <f>IFERROR(__xludf.DUMMYFUNCTION("""COMPUTED_VALUE"""),43336.66666666667)</f>
        <v>43336.66667</v>
      </c>
      <c r="B746" s="13">
        <f>IFERROR(__xludf.DUMMYFUNCTION("""COMPUTED_VALUE"""),2874.69)</f>
        <v>2874.69</v>
      </c>
      <c r="C746" s="13">
        <f t="shared" si="1"/>
        <v>2853.985</v>
      </c>
      <c r="D746" s="13">
        <f t="shared" si="2"/>
        <v>2836.49</v>
      </c>
      <c r="E746" s="13" t="str">
        <f t="shared" si="3"/>
        <v>LONG</v>
      </c>
      <c r="F746" s="3">
        <f t="shared" si="4"/>
        <v>0.006198853335</v>
      </c>
      <c r="G746" s="4">
        <f t="shared" si="5"/>
        <v>1.382487881</v>
      </c>
      <c r="H746" s="3">
        <f t="shared" si="6"/>
        <v>0.006198853335</v>
      </c>
      <c r="I746" s="5">
        <f t="shared" si="7"/>
        <v>1.236789221</v>
      </c>
    </row>
    <row r="747">
      <c r="A747" s="12">
        <f>IFERROR(__xludf.DUMMYFUNCTION("""COMPUTED_VALUE"""),43339.66666666667)</f>
        <v>43339.66667</v>
      </c>
      <c r="B747" s="13">
        <f>IFERROR(__xludf.DUMMYFUNCTION("""COMPUTED_VALUE"""),2896.74)</f>
        <v>2896.74</v>
      </c>
      <c r="C747" s="13">
        <f t="shared" si="1"/>
        <v>2859.335</v>
      </c>
      <c r="D747" s="13">
        <f t="shared" si="2"/>
        <v>2849.025</v>
      </c>
      <c r="E747" s="13" t="str">
        <f t="shared" si="3"/>
        <v>LONG</v>
      </c>
      <c r="F747" s="3">
        <f t="shared" si="4"/>
        <v>0.007670392286</v>
      </c>
      <c r="G747" s="4">
        <f t="shared" si="5"/>
        <v>1.393092105</v>
      </c>
      <c r="H747" s="3">
        <f t="shared" si="6"/>
        <v>0.007670392286</v>
      </c>
      <c r="I747" s="5">
        <f t="shared" si="7"/>
        <v>1.24627588</v>
      </c>
    </row>
    <row r="748">
      <c r="A748" s="12">
        <f>IFERROR(__xludf.DUMMYFUNCTION("""COMPUTED_VALUE"""),43340.66666666667)</f>
        <v>43340.66667</v>
      </c>
      <c r="B748" s="13">
        <f>IFERROR(__xludf.DUMMYFUNCTION("""COMPUTED_VALUE"""),2897.52)</f>
        <v>2897.52</v>
      </c>
      <c r="C748" s="13">
        <f t="shared" si="1"/>
        <v>2868.74</v>
      </c>
      <c r="D748" s="13">
        <f t="shared" si="2"/>
        <v>2847.975</v>
      </c>
      <c r="E748" s="13" t="str">
        <f t="shared" si="3"/>
        <v>LONG</v>
      </c>
      <c r="F748" s="3">
        <f t="shared" si="4"/>
        <v>0.0002692682119</v>
      </c>
      <c r="G748" s="4">
        <f t="shared" si="5"/>
        <v>1.393467221</v>
      </c>
      <c r="H748" s="3">
        <f t="shared" si="6"/>
        <v>0.0002692682119</v>
      </c>
      <c r="I748" s="5">
        <f t="shared" si="7"/>
        <v>1.246611462</v>
      </c>
    </row>
    <row r="749">
      <c r="A749" s="12">
        <f>IFERROR(__xludf.DUMMYFUNCTION("""COMPUTED_VALUE"""),43341.66666666667)</f>
        <v>43341.66667</v>
      </c>
      <c r="B749" s="13">
        <f>IFERROR(__xludf.DUMMYFUNCTION("""COMPUTED_VALUE"""),2914.04)</f>
        <v>2914.04</v>
      </c>
      <c r="C749" s="13">
        <f t="shared" si="1"/>
        <v>2866.205</v>
      </c>
      <c r="D749" s="13">
        <f t="shared" si="2"/>
        <v>2861.795</v>
      </c>
      <c r="E749" s="13" t="str">
        <f t="shared" si="3"/>
        <v>LONG</v>
      </c>
      <c r="F749" s="3">
        <f t="shared" si="4"/>
        <v>0.005701427428</v>
      </c>
      <c r="G749" s="4">
        <f t="shared" si="5"/>
        <v>1.401411973</v>
      </c>
      <c r="H749" s="3">
        <f t="shared" si="6"/>
        <v>0.005701427428</v>
      </c>
      <c r="I749" s="5">
        <f t="shared" si="7"/>
        <v>1.253718927</v>
      </c>
    </row>
    <row r="750">
      <c r="A750" s="12">
        <f>IFERROR(__xludf.DUMMYFUNCTION("""COMPUTED_VALUE"""),43342.66666666667)</f>
        <v>43342.66667</v>
      </c>
      <c r="B750" s="13">
        <f>IFERROR(__xludf.DUMMYFUNCTION("""COMPUTED_VALUE"""),2901.13)</f>
        <v>2901.13</v>
      </c>
      <c r="C750" s="13">
        <f t="shared" si="1"/>
        <v>2870.91</v>
      </c>
      <c r="D750" s="13">
        <f t="shared" si="2"/>
        <v>2858.375</v>
      </c>
      <c r="E750" s="13" t="str">
        <f t="shared" si="3"/>
        <v>LONG</v>
      </c>
      <c r="F750" s="3">
        <f t="shared" si="4"/>
        <v>-0.004430275494</v>
      </c>
      <c r="G750" s="4">
        <f t="shared" si="5"/>
        <v>1.395203332</v>
      </c>
      <c r="H750" s="3">
        <f t="shared" si="6"/>
        <v>-0.004430275494</v>
      </c>
      <c r="I750" s="5">
        <f t="shared" si="7"/>
        <v>1.248164607</v>
      </c>
    </row>
    <row r="751">
      <c r="A751" s="12">
        <f>IFERROR(__xludf.DUMMYFUNCTION("""COMPUTED_VALUE"""),43343.66666666667)</f>
        <v>43343.66667</v>
      </c>
      <c r="B751" s="13">
        <f>IFERROR(__xludf.DUMMYFUNCTION("""COMPUTED_VALUE"""),2901.52)</f>
        <v>2901.52</v>
      </c>
      <c r="C751" s="13">
        <f t="shared" si="1"/>
        <v>2875.825</v>
      </c>
      <c r="D751" s="13">
        <f t="shared" si="2"/>
        <v>2853.005</v>
      </c>
      <c r="E751" s="13" t="str">
        <f t="shared" si="3"/>
        <v>LONG</v>
      </c>
      <c r="F751" s="3">
        <f t="shared" si="4"/>
        <v>0.0001344303771</v>
      </c>
      <c r="G751" s="4">
        <f t="shared" si="5"/>
        <v>1.39539089</v>
      </c>
      <c r="H751" s="3">
        <f t="shared" si="6"/>
        <v>0.0001344303771</v>
      </c>
      <c r="I751" s="5">
        <f t="shared" si="7"/>
        <v>1.248332398</v>
      </c>
    </row>
    <row r="752">
      <c r="A752" s="12">
        <f>IFERROR(__xludf.DUMMYFUNCTION("""COMPUTED_VALUE"""),43347.66666666667)</f>
        <v>43347.66667</v>
      </c>
      <c r="B752" s="13">
        <f>IFERROR(__xludf.DUMMYFUNCTION("""COMPUTED_VALUE"""),2896.72)</f>
        <v>2896.72</v>
      </c>
      <c r="C752" s="13">
        <f t="shared" si="1"/>
        <v>2876.885</v>
      </c>
      <c r="D752" s="13">
        <f t="shared" si="2"/>
        <v>2849.275</v>
      </c>
      <c r="E752" s="13" t="str">
        <f t="shared" si="3"/>
        <v>LONG</v>
      </c>
      <c r="F752" s="3">
        <f t="shared" si="4"/>
        <v>-0.00165430533</v>
      </c>
      <c r="G752" s="4">
        <f t="shared" si="5"/>
        <v>1.393082487</v>
      </c>
      <c r="H752" s="3">
        <f t="shared" si="6"/>
        <v>-0.00165430533</v>
      </c>
      <c r="I752" s="5">
        <f t="shared" si="7"/>
        <v>1.246267275</v>
      </c>
    </row>
    <row r="753">
      <c r="A753" s="12">
        <f>IFERROR(__xludf.DUMMYFUNCTION("""COMPUTED_VALUE"""),43348.66666666667)</f>
        <v>43348.66667</v>
      </c>
      <c r="B753" s="13">
        <f>IFERROR(__xludf.DUMMYFUNCTION("""COMPUTED_VALUE"""),2888.6)</f>
        <v>2888.6</v>
      </c>
      <c r="C753" s="13">
        <f t="shared" si="1"/>
        <v>2875.78</v>
      </c>
      <c r="D753" s="13">
        <f t="shared" si="2"/>
        <v>2847.79</v>
      </c>
      <c r="E753" s="13" t="str">
        <f t="shared" si="3"/>
        <v>LONG</v>
      </c>
      <c r="F753" s="3">
        <f t="shared" si="4"/>
        <v>-0.002803170482</v>
      </c>
      <c r="G753" s="4">
        <f t="shared" si="5"/>
        <v>1.389177439</v>
      </c>
      <c r="H753" s="3">
        <f t="shared" si="6"/>
        <v>-0.002803170482</v>
      </c>
      <c r="I753" s="5">
        <f t="shared" si="7"/>
        <v>1.242773776</v>
      </c>
    </row>
    <row r="754">
      <c r="A754" s="12">
        <f>IFERROR(__xludf.DUMMYFUNCTION("""COMPUTED_VALUE"""),43349.66666666667)</f>
        <v>43349.66667</v>
      </c>
      <c r="B754" s="13">
        <f>IFERROR(__xludf.DUMMYFUNCTION("""COMPUTED_VALUE"""),2878.05)</f>
        <v>2878.05</v>
      </c>
      <c r="C754" s="13">
        <f t="shared" si="1"/>
        <v>2869.935</v>
      </c>
      <c r="D754" s="13">
        <f t="shared" si="2"/>
        <v>2849.225</v>
      </c>
      <c r="E754" s="13" t="str">
        <f t="shared" si="3"/>
        <v>LONG</v>
      </c>
      <c r="F754" s="3">
        <f t="shared" si="4"/>
        <v>-0.003652288306</v>
      </c>
      <c r="G754" s="4">
        <f t="shared" si="5"/>
        <v>1.384103763</v>
      </c>
      <c r="H754" s="3">
        <f t="shared" si="6"/>
        <v>-0.003652288306</v>
      </c>
      <c r="I754" s="5">
        <f t="shared" si="7"/>
        <v>1.238234807</v>
      </c>
    </row>
    <row r="755">
      <c r="A755" s="12">
        <f>IFERROR(__xludf.DUMMYFUNCTION("""COMPUTED_VALUE"""),43350.66666666667)</f>
        <v>43350.66667</v>
      </c>
      <c r="B755" s="13">
        <f>IFERROR(__xludf.DUMMYFUNCTION("""COMPUTED_VALUE"""),2871.68)</f>
        <v>2871.68</v>
      </c>
      <c r="C755" s="13">
        <f t="shared" si="1"/>
        <v>2864.33</v>
      </c>
      <c r="D755" s="13">
        <f t="shared" si="2"/>
        <v>2858.875</v>
      </c>
      <c r="E755" s="13" t="str">
        <f t="shared" si="3"/>
        <v>LONG</v>
      </c>
      <c r="F755" s="3">
        <f t="shared" si="4"/>
        <v>-0.002213304147</v>
      </c>
      <c r="G755" s="4">
        <f t="shared" si="5"/>
        <v>1.38104032</v>
      </c>
      <c r="H755" s="3">
        <f t="shared" si="6"/>
        <v>-0.002213304147</v>
      </c>
      <c r="I755" s="5">
        <f t="shared" si="7"/>
        <v>1.235494217</v>
      </c>
    </row>
    <row r="756">
      <c r="A756" s="12">
        <f>IFERROR(__xludf.DUMMYFUNCTION("""COMPUTED_VALUE"""),43353.66666666667)</f>
        <v>43353.66667</v>
      </c>
      <c r="B756" s="13">
        <f>IFERROR(__xludf.DUMMYFUNCTION("""COMPUTED_VALUE"""),2877.13)</f>
        <v>2877.13</v>
      </c>
      <c r="C756" s="13">
        <f t="shared" si="1"/>
        <v>2875.91</v>
      </c>
      <c r="D756" s="13">
        <f t="shared" si="2"/>
        <v>2857.285</v>
      </c>
      <c r="E756" s="13" t="str">
        <f t="shared" si="3"/>
        <v>LONG</v>
      </c>
      <c r="F756" s="3">
        <f t="shared" si="4"/>
        <v>0.001897843771</v>
      </c>
      <c r="G756" s="4">
        <f t="shared" si="5"/>
        <v>1.383661319</v>
      </c>
      <c r="H756" s="3">
        <f t="shared" si="6"/>
        <v>0.001897843771</v>
      </c>
      <c r="I756" s="5">
        <f t="shared" si="7"/>
        <v>1.237838992</v>
      </c>
    </row>
    <row r="757">
      <c r="A757" s="12">
        <f>IFERROR(__xludf.DUMMYFUNCTION("""COMPUTED_VALUE"""),43354.66666666667)</f>
        <v>43354.66667</v>
      </c>
      <c r="B757" s="13">
        <f>IFERROR(__xludf.DUMMYFUNCTION("""COMPUTED_VALUE"""),2887.89)</f>
        <v>2887.89</v>
      </c>
      <c r="C757" s="13">
        <f t="shared" si="1"/>
        <v>2892.315</v>
      </c>
      <c r="D757" s="13">
        <f t="shared" si="2"/>
        <v>2853.355</v>
      </c>
      <c r="E757" s="13" t="str">
        <f t="shared" si="3"/>
        <v>LONG</v>
      </c>
      <c r="F757" s="3">
        <f t="shared" si="4"/>
        <v>0.003739837964</v>
      </c>
      <c r="G757" s="4">
        <f t="shared" si="5"/>
        <v>1.388835988</v>
      </c>
      <c r="H757" s="3">
        <f t="shared" si="6"/>
        <v>0.003739837964</v>
      </c>
      <c r="I757" s="5">
        <f t="shared" si="7"/>
        <v>1.242468309</v>
      </c>
    </row>
    <row r="758">
      <c r="A758" s="12">
        <f>IFERROR(__xludf.DUMMYFUNCTION("""COMPUTED_VALUE"""),43355.66666666667)</f>
        <v>43355.66667</v>
      </c>
      <c r="B758" s="13">
        <f>IFERROR(__xludf.DUMMYFUNCTION("""COMPUTED_VALUE"""),2888.92)</f>
        <v>2888.92</v>
      </c>
      <c r="C758" s="13">
        <f t="shared" si="1"/>
        <v>2893.22</v>
      </c>
      <c r="D758" s="13">
        <f t="shared" si="2"/>
        <v>2845.76</v>
      </c>
      <c r="E758" s="13" t="str">
        <f t="shared" si="3"/>
        <v>LONG</v>
      </c>
      <c r="F758" s="3">
        <f t="shared" si="4"/>
        <v>0.0003566617842</v>
      </c>
      <c r="G758" s="4">
        <f t="shared" si="5"/>
        <v>1.389331333</v>
      </c>
      <c r="H758" s="3">
        <f t="shared" si="6"/>
        <v>0.0003566617842</v>
      </c>
      <c r="I758" s="5">
        <f t="shared" si="7"/>
        <v>1.24291145</v>
      </c>
    </row>
    <row r="759">
      <c r="A759" s="12">
        <f>IFERROR(__xludf.DUMMYFUNCTION("""COMPUTED_VALUE"""),43356.66666666667)</f>
        <v>43356.66667</v>
      </c>
      <c r="B759" s="13">
        <f>IFERROR(__xludf.DUMMYFUNCTION("""COMPUTED_VALUE"""),2904.18)</f>
        <v>2904.18</v>
      </c>
      <c r="C759" s="13">
        <f t="shared" si="1"/>
        <v>2909.11</v>
      </c>
      <c r="D759" s="13">
        <f t="shared" si="2"/>
        <v>2860.235</v>
      </c>
      <c r="E759" s="13" t="str">
        <f t="shared" si="3"/>
        <v>LONG</v>
      </c>
      <c r="F759" s="3">
        <f t="shared" si="4"/>
        <v>0.005282250807</v>
      </c>
      <c r="G759" s="4">
        <f t="shared" si="5"/>
        <v>1.396670129</v>
      </c>
      <c r="H759" s="3">
        <f t="shared" si="6"/>
        <v>0.005282250807</v>
      </c>
      <c r="I759" s="5">
        <f t="shared" si="7"/>
        <v>1.24947682</v>
      </c>
    </row>
    <row r="760">
      <c r="A760" s="12">
        <f>IFERROR(__xludf.DUMMYFUNCTION("""COMPUTED_VALUE"""),43357.66666666667)</f>
        <v>43357.66667</v>
      </c>
      <c r="B760" s="13">
        <f>IFERROR(__xludf.DUMMYFUNCTION("""COMPUTED_VALUE"""),2904.98)</f>
        <v>2904.98</v>
      </c>
      <c r="C760" s="13">
        <f t="shared" si="1"/>
        <v>2903.055</v>
      </c>
      <c r="D760" s="13">
        <f t="shared" si="2"/>
        <v>2859.17</v>
      </c>
      <c r="E760" s="13" t="str">
        <f t="shared" si="3"/>
        <v>LONG</v>
      </c>
      <c r="F760" s="3">
        <f t="shared" si="4"/>
        <v>0.0002754650194</v>
      </c>
      <c r="G760" s="4">
        <f t="shared" si="5"/>
        <v>1.397054863</v>
      </c>
      <c r="H760" s="3">
        <f t="shared" si="6"/>
        <v>0.0002754650194</v>
      </c>
      <c r="I760" s="5">
        <f t="shared" si="7"/>
        <v>1.249821008</v>
      </c>
    </row>
    <row r="761">
      <c r="A761" s="12">
        <f>IFERROR(__xludf.DUMMYFUNCTION("""COMPUTED_VALUE"""),43360.66666666667)</f>
        <v>43360.66667</v>
      </c>
      <c r="B761" s="13">
        <f>IFERROR(__xludf.DUMMYFUNCTION("""COMPUTED_VALUE"""),2888.8)</f>
        <v>2888.8</v>
      </c>
      <c r="C761" s="13">
        <f t="shared" si="1"/>
        <v>2895.16</v>
      </c>
      <c r="D761" s="13">
        <f t="shared" si="2"/>
        <v>2858.01</v>
      </c>
      <c r="E761" s="13" t="str">
        <f t="shared" si="3"/>
        <v>LONG</v>
      </c>
      <c r="F761" s="3">
        <f t="shared" si="4"/>
        <v>-0.005569745747</v>
      </c>
      <c r="G761" s="4">
        <f t="shared" si="5"/>
        <v>1.389273623</v>
      </c>
      <c r="H761" s="3">
        <f t="shared" si="6"/>
        <v>-0.005569745747</v>
      </c>
      <c r="I761" s="5">
        <f t="shared" si="7"/>
        <v>1.242859822</v>
      </c>
    </row>
    <row r="762">
      <c r="A762" s="12">
        <f>IFERROR(__xludf.DUMMYFUNCTION("""COMPUTED_VALUE"""),43361.66666666667)</f>
        <v>43361.66667</v>
      </c>
      <c r="B762" s="13">
        <f>IFERROR(__xludf.DUMMYFUNCTION("""COMPUTED_VALUE"""),2904.31)</f>
        <v>2904.31</v>
      </c>
      <c r="C762" s="13">
        <f t="shared" si="1"/>
        <v>2900.515</v>
      </c>
      <c r="D762" s="13">
        <f t="shared" si="2"/>
        <v>2872.33</v>
      </c>
      <c r="E762" s="13" t="str">
        <f t="shared" si="3"/>
        <v>LONG</v>
      </c>
      <c r="F762" s="3">
        <f t="shared" si="4"/>
        <v>0.005369011354</v>
      </c>
      <c r="G762" s="4">
        <f t="shared" si="5"/>
        <v>1.396732649</v>
      </c>
      <c r="H762" s="3">
        <f t="shared" si="6"/>
        <v>0.005369011354</v>
      </c>
      <c r="I762" s="5">
        <f t="shared" si="7"/>
        <v>1.249532751</v>
      </c>
    </row>
    <row r="763">
      <c r="A763" s="12">
        <f>IFERROR(__xludf.DUMMYFUNCTION("""COMPUTED_VALUE"""),43362.66666666667)</f>
        <v>43362.66667</v>
      </c>
      <c r="B763" s="13">
        <f>IFERROR(__xludf.DUMMYFUNCTION("""COMPUTED_VALUE"""),2907.95)</f>
        <v>2907.95</v>
      </c>
      <c r="C763" s="13">
        <f t="shared" si="1"/>
        <v>2898.275</v>
      </c>
      <c r="D763" s="13">
        <f t="shared" si="2"/>
        <v>2879.175</v>
      </c>
      <c r="E763" s="13" t="str">
        <f t="shared" si="3"/>
        <v>LONG</v>
      </c>
      <c r="F763" s="3">
        <f t="shared" si="4"/>
        <v>0.001253309736</v>
      </c>
      <c r="G763" s="4">
        <f t="shared" si="5"/>
        <v>1.398483187</v>
      </c>
      <c r="H763" s="3">
        <f t="shared" si="6"/>
        <v>0.001253309736</v>
      </c>
      <c r="I763" s="5">
        <f t="shared" si="7"/>
        <v>1.251098802</v>
      </c>
    </row>
    <row r="764">
      <c r="A764" s="12">
        <f>IFERROR(__xludf.DUMMYFUNCTION("""COMPUTED_VALUE"""),43363.66666666667)</f>
        <v>43363.66667</v>
      </c>
      <c r="B764" s="13">
        <f>IFERROR(__xludf.DUMMYFUNCTION("""COMPUTED_VALUE"""),2930.75)</f>
        <v>2930.75</v>
      </c>
      <c r="C764" s="13">
        <f t="shared" si="1"/>
        <v>2904.4</v>
      </c>
      <c r="D764" s="13">
        <f t="shared" si="2"/>
        <v>2894.6</v>
      </c>
      <c r="E764" s="13" t="str">
        <f t="shared" si="3"/>
        <v>LONG</v>
      </c>
      <c r="F764" s="3">
        <f t="shared" si="4"/>
        <v>0.007840574975</v>
      </c>
      <c r="G764" s="4">
        <f t="shared" si="5"/>
        <v>1.409448099</v>
      </c>
      <c r="H764" s="3">
        <f t="shared" si="6"/>
        <v>0.007840574975</v>
      </c>
      <c r="I764" s="5">
        <f t="shared" si="7"/>
        <v>1.260908136</v>
      </c>
    </row>
    <row r="765">
      <c r="A765" s="12">
        <f>IFERROR(__xludf.DUMMYFUNCTION("""COMPUTED_VALUE"""),43364.66666666667)</f>
        <v>43364.66667</v>
      </c>
      <c r="B765" s="13">
        <f>IFERROR(__xludf.DUMMYFUNCTION("""COMPUTED_VALUE"""),2929.67)</f>
        <v>2929.67</v>
      </c>
      <c r="C765" s="13">
        <f t="shared" si="1"/>
        <v>2900.675</v>
      </c>
      <c r="D765" s="13">
        <f t="shared" si="2"/>
        <v>2893.685</v>
      </c>
      <c r="E765" s="13" t="str">
        <f t="shared" si="3"/>
        <v>LONG</v>
      </c>
      <c r="F765" s="3">
        <f t="shared" si="4"/>
        <v>-0.000368506355</v>
      </c>
      <c r="G765" s="4">
        <f t="shared" si="5"/>
        <v>1.408928709</v>
      </c>
      <c r="H765" s="3">
        <f t="shared" si="6"/>
        <v>-0.000368506355</v>
      </c>
      <c r="I765" s="5">
        <f t="shared" si="7"/>
        <v>1.260443484</v>
      </c>
    </row>
    <row r="766">
      <c r="A766" s="12">
        <f>IFERROR(__xludf.DUMMYFUNCTION("""COMPUTED_VALUE"""),43367.66666666667)</f>
        <v>43367.66667</v>
      </c>
      <c r="B766" s="13">
        <f>IFERROR(__xludf.DUMMYFUNCTION("""COMPUTED_VALUE"""),2919.37)</f>
        <v>2919.37</v>
      </c>
      <c r="C766" s="13">
        <f t="shared" si="1"/>
        <v>2898.25</v>
      </c>
      <c r="D766" s="13">
        <f t="shared" si="2"/>
        <v>2886.475</v>
      </c>
      <c r="E766" s="13" t="str">
        <f t="shared" si="3"/>
        <v>LONG</v>
      </c>
      <c r="F766" s="3">
        <f t="shared" si="4"/>
        <v>-0.003515754334</v>
      </c>
      <c r="G766" s="4">
        <f t="shared" si="5"/>
        <v>1.403975262</v>
      </c>
      <c r="H766" s="3">
        <f t="shared" si="6"/>
        <v>-0.003515754334</v>
      </c>
      <c r="I766" s="5">
        <f t="shared" si="7"/>
        <v>1.256012074</v>
      </c>
    </row>
    <row r="767">
      <c r="A767" s="12">
        <f>IFERROR(__xludf.DUMMYFUNCTION("""COMPUTED_VALUE"""),43368.66666666667)</f>
        <v>43368.66667</v>
      </c>
      <c r="B767" s="13">
        <f>IFERROR(__xludf.DUMMYFUNCTION("""COMPUTED_VALUE"""),2915.56)</f>
        <v>2915.56</v>
      </c>
      <c r="C767" s="13">
        <f t="shared" si="1"/>
        <v>2901.725</v>
      </c>
      <c r="D767" s="13">
        <f t="shared" si="2"/>
        <v>2874.42</v>
      </c>
      <c r="E767" s="13" t="str">
        <f t="shared" si="3"/>
        <v>LONG</v>
      </c>
      <c r="F767" s="3">
        <f t="shared" si="4"/>
        <v>-0.001305076095</v>
      </c>
      <c r="G767" s="4">
        <f t="shared" si="5"/>
        <v>1.402142967</v>
      </c>
      <c r="H767" s="3">
        <f t="shared" si="6"/>
        <v>-0.001305076095</v>
      </c>
      <c r="I767" s="5">
        <f t="shared" si="7"/>
        <v>1.254372883</v>
      </c>
    </row>
    <row r="768">
      <c r="A768" s="12">
        <f>IFERROR(__xludf.DUMMYFUNCTION("""COMPUTED_VALUE"""),43369.66666666667)</f>
        <v>43369.66667</v>
      </c>
      <c r="B768" s="13">
        <f>IFERROR(__xludf.DUMMYFUNCTION("""COMPUTED_VALUE"""),2905.97)</f>
        <v>2905.97</v>
      </c>
      <c r="C768" s="13">
        <f t="shared" si="1"/>
        <v>2897.445</v>
      </c>
      <c r="D768" s="13">
        <f t="shared" si="2"/>
        <v>2863.95</v>
      </c>
      <c r="E768" s="13" t="str">
        <f t="shared" si="3"/>
        <v>LONG</v>
      </c>
      <c r="F768" s="3">
        <f t="shared" si="4"/>
        <v>-0.003289248035</v>
      </c>
      <c r="G768" s="4">
        <f t="shared" si="5"/>
        <v>1.397530971</v>
      </c>
      <c r="H768" s="3">
        <f t="shared" si="6"/>
        <v>-0.003289248035</v>
      </c>
      <c r="I768" s="5">
        <f t="shared" si="7"/>
        <v>1.250246939</v>
      </c>
    </row>
    <row r="769">
      <c r="A769" s="12">
        <f>IFERROR(__xludf.DUMMYFUNCTION("""COMPUTED_VALUE"""),43370.66666666667)</f>
        <v>43370.66667</v>
      </c>
      <c r="B769" s="13">
        <f>IFERROR(__xludf.DUMMYFUNCTION("""COMPUTED_VALUE"""),2914.0)</f>
        <v>2914</v>
      </c>
      <c r="C769" s="13">
        <f t="shared" si="1"/>
        <v>2909.09</v>
      </c>
      <c r="D769" s="13">
        <f t="shared" si="2"/>
        <v>2876.98</v>
      </c>
      <c r="E769" s="13" t="str">
        <f t="shared" si="3"/>
        <v>LONG</v>
      </c>
      <c r="F769" s="3">
        <f t="shared" si="4"/>
        <v>0.002763276978</v>
      </c>
      <c r="G769" s="4">
        <f t="shared" si="5"/>
        <v>1.401392736</v>
      </c>
      <c r="H769" s="3">
        <f t="shared" si="6"/>
        <v>0.002763276978</v>
      </c>
      <c r="I769" s="5">
        <f t="shared" si="7"/>
        <v>1.253701718</v>
      </c>
    </row>
    <row r="770">
      <c r="A770" s="12">
        <f>IFERROR(__xludf.DUMMYFUNCTION("""COMPUTED_VALUE"""),43371.66666666667)</f>
        <v>43371.66667</v>
      </c>
      <c r="B770" s="13">
        <f>IFERROR(__xludf.DUMMYFUNCTION("""COMPUTED_VALUE"""),2913.98)</f>
        <v>2913.98</v>
      </c>
      <c r="C770" s="13">
        <f t="shared" si="1"/>
        <v>2909.48</v>
      </c>
      <c r="D770" s="13">
        <f t="shared" si="2"/>
        <v>2866.175</v>
      </c>
      <c r="E770" s="13" t="str">
        <f t="shared" si="3"/>
        <v>LONG</v>
      </c>
      <c r="F770" s="3">
        <f t="shared" si="4"/>
        <v>-0.000006863417982</v>
      </c>
      <c r="G770" s="4">
        <f t="shared" si="5"/>
        <v>1.401383118</v>
      </c>
      <c r="H770" s="3">
        <f t="shared" si="6"/>
        <v>-0.000006863417982</v>
      </c>
      <c r="I770" s="5">
        <f t="shared" si="7"/>
        <v>1.253693113</v>
      </c>
    </row>
    <row r="771">
      <c r="A771" s="12">
        <f>IFERROR(__xludf.DUMMYFUNCTION("""COMPUTED_VALUE"""),43374.66666666667)</f>
        <v>43374.66667</v>
      </c>
      <c r="B771" s="13">
        <f>IFERROR(__xludf.DUMMYFUNCTION("""COMPUTED_VALUE"""),2924.59)</f>
        <v>2924.59</v>
      </c>
      <c r="C771" s="13">
        <f t="shared" si="1"/>
        <v>2906.695</v>
      </c>
      <c r="D771" s="13">
        <f t="shared" si="2"/>
        <v>2882.64</v>
      </c>
      <c r="E771" s="13" t="str">
        <f t="shared" si="3"/>
        <v>LONG</v>
      </c>
      <c r="F771" s="3">
        <f t="shared" si="4"/>
        <v>0.00364106823</v>
      </c>
      <c r="G771" s="4">
        <f t="shared" si="5"/>
        <v>1.406485649</v>
      </c>
      <c r="H771" s="3">
        <f t="shared" si="6"/>
        <v>0.00364106823</v>
      </c>
      <c r="I771" s="5">
        <f t="shared" si="7"/>
        <v>1.258257895</v>
      </c>
    </row>
    <row r="772">
      <c r="A772" s="12">
        <f>IFERROR(__xludf.DUMMYFUNCTION("""COMPUTED_VALUE"""),43375.66666666667)</f>
        <v>43375.66667</v>
      </c>
      <c r="B772" s="13">
        <f>IFERROR(__xludf.DUMMYFUNCTION("""COMPUTED_VALUE"""),2923.43)</f>
        <v>2923.43</v>
      </c>
      <c r="C772" s="13">
        <f t="shared" si="1"/>
        <v>2913.87</v>
      </c>
      <c r="D772" s="13">
        <f t="shared" si="2"/>
        <v>2886.78</v>
      </c>
      <c r="E772" s="13" t="str">
        <f t="shared" si="3"/>
        <v>LONG</v>
      </c>
      <c r="F772" s="3">
        <f t="shared" si="4"/>
        <v>-0.0003966367935</v>
      </c>
      <c r="G772" s="4">
        <f t="shared" si="5"/>
        <v>1.405927785</v>
      </c>
      <c r="H772" s="3">
        <f t="shared" si="6"/>
        <v>-0.0003966367935</v>
      </c>
      <c r="I772" s="5">
        <f t="shared" si="7"/>
        <v>1.257758824</v>
      </c>
    </row>
    <row r="773">
      <c r="A773" s="12">
        <f>IFERROR(__xludf.DUMMYFUNCTION("""COMPUTED_VALUE"""),43376.66666666667)</f>
        <v>43376.66667</v>
      </c>
      <c r="B773" s="13">
        <f>IFERROR(__xludf.DUMMYFUNCTION("""COMPUTED_VALUE"""),2925.51)</f>
        <v>2925.51</v>
      </c>
      <c r="C773" s="13">
        <f t="shared" si="1"/>
        <v>2916.73</v>
      </c>
      <c r="D773" s="13">
        <f t="shared" si="2"/>
        <v>2891.28</v>
      </c>
      <c r="E773" s="13" t="str">
        <f t="shared" si="3"/>
        <v>LONG</v>
      </c>
      <c r="F773" s="3">
        <f t="shared" si="4"/>
        <v>0.0007114930065</v>
      </c>
      <c r="G773" s="4">
        <f t="shared" si="5"/>
        <v>1.406928093</v>
      </c>
      <c r="H773" s="3">
        <f t="shared" si="6"/>
        <v>0.0007114930065</v>
      </c>
      <c r="I773" s="5">
        <f t="shared" si="7"/>
        <v>1.258653711</v>
      </c>
    </row>
    <row r="774">
      <c r="A774" s="12">
        <f>IFERROR(__xludf.DUMMYFUNCTION("""COMPUTED_VALUE"""),43377.66666666667)</f>
        <v>43377.66667</v>
      </c>
      <c r="B774" s="13">
        <f>IFERROR(__xludf.DUMMYFUNCTION("""COMPUTED_VALUE"""),2901.61)</f>
        <v>2901.61</v>
      </c>
      <c r="C774" s="13">
        <f t="shared" si="1"/>
        <v>2916.18</v>
      </c>
      <c r="D774" s="13">
        <f t="shared" si="2"/>
        <v>2882.285</v>
      </c>
      <c r="E774" s="13" t="str">
        <f t="shared" si="3"/>
        <v>LONG</v>
      </c>
      <c r="F774" s="3">
        <f t="shared" si="4"/>
        <v>-0.008169515743</v>
      </c>
      <c r="G774" s="4">
        <f t="shared" si="5"/>
        <v>1.395434172</v>
      </c>
      <c r="H774" s="3">
        <f t="shared" si="6"/>
        <v>-0.008169515743</v>
      </c>
      <c r="I774" s="5">
        <f t="shared" si="7"/>
        <v>1.248371119</v>
      </c>
    </row>
    <row r="775">
      <c r="A775" s="12">
        <f>IFERROR(__xludf.DUMMYFUNCTION("""COMPUTED_VALUE"""),43378.66666666667)</f>
        <v>43378.66667</v>
      </c>
      <c r="B775" s="13">
        <f>IFERROR(__xludf.DUMMYFUNCTION("""COMPUTED_VALUE"""),2885.57)</f>
        <v>2885.57</v>
      </c>
      <c r="C775" s="13">
        <f t="shared" si="1"/>
        <v>2907.62</v>
      </c>
      <c r="D775" s="13">
        <f t="shared" si="2"/>
        <v>2873.695</v>
      </c>
      <c r="E775" s="13" t="str">
        <f t="shared" si="3"/>
        <v>LONG</v>
      </c>
      <c r="F775" s="3">
        <f t="shared" si="4"/>
        <v>-0.005527965509</v>
      </c>
      <c r="G775" s="4">
        <f t="shared" si="5"/>
        <v>1.38772026</v>
      </c>
      <c r="H775" s="3">
        <f t="shared" si="6"/>
        <v>-0.005527965509</v>
      </c>
      <c r="I775" s="5">
        <f t="shared" si="7"/>
        <v>1.241470167</v>
      </c>
    </row>
    <row r="776">
      <c r="A776" s="12">
        <f>IFERROR(__xludf.DUMMYFUNCTION("""COMPUTED_VALUE"""),43381.66666666667)</f>
        <v>43381.66667</v>
      </c>
      <c r="B776" s="13">
        <f>IFERROR(__xludf.DUMMYFUNCTION("""COMPUTED_VALUE"""),2884.43)</f>
        <v>2884.43</v>
      </c>
      <c r="C776" s="13">
        <f t="shared" si="1"/>
        <v>2901.9</v>
      </c>
      <c r="D776" s="13">
        <f t="shared" si="2"/>
        <v>2870.705</v>
      </c>
      <c r="E776" s="13" t="str">
        <f t="shared" si="3"/>
        <v>LONG</v>
      </c>
      <c r="F776" s="3">
        <f t="shared" si="4"/>
        <v>-0.0003950692584</v>
      </c>
      <c r="G776" s="4">
        <f t="shared" si="5"/>
        <v>1.387172014</v>
      </c>
      <c r="H776" s="3">
        <f t="shared" si="6"/>
        <v>-0.0003950692584</v>
      </c>
      <c r="I776" s="5">
        <f t="shared" si="7"/>
        <v>1.2409797</v>
      </c>
    </row>
    <row r="777">
      <c r="A777" s="12">
        <f>IFERROR(__xludf.DUMMYFUNCTION("""COMPUTED_VALUE"""),43382.66666666667)</f>
        <v>43382.66667</v>
      </c>
      <c r="B777" s="13">
        <f>IFERROR(__xludf.DUMMYFUNCTION("""COMPUTED_VALUE"""),2880.34)</f>
        <v>2880.34</v>
      </c>
      <c r="C777" s="13">
        <f t="shared" si="1"/>
        <v>2897.95</v>
      </c>
      <c r="D777" s="13">
        <f t="shared" si="2"/>
        <v>2877.515</v>
      </c>
      <c r="E777" s="13" t="str">
        <f t="shared" si="3"/>
        <v>LONG</v>
      </c>
      <c r="F777" s="3">
        <f t="shared" si="4"/>
        <v>-0.001417957794</v>
      </c>
      <c r="G777" s="4">
        <f t="shared" si="5"/>
        <v>1.385205063</v>
      </c>
      <c r="H777" s="3">
        <f t="shared" si="6"/>
        <v>-0.001417957794</v>
      </c>
      <c r="I777" s="5">
        <f t="shared" si="7"/>
        <v>1.239220043</v>
      </c>
    </row>
    <row r="778">
      <c r="A778" s="12">
        <f>IFERROR(__xludf.DUMMYFUNCTION("""COMPUTED_VALUE"""),43383.66666666667)</f>
        <v>43383.66667</v>
      </c>
      <c r="B778" s="13">
        <f>IFERROR(__xludf.DUMMYFUNCTION("""COMPUTED_VALUE"""),2785.68)</f>
        <v>2785.68</v>
      </c>
      <c r="C778" s="13">
        <f t="shared" si="1"/>
        <v>2845.825</v>
      </c>
      <c r="D778" s="13">
        <f t="shared" si="2"/>
        <v>2841.21</v>
      </c>
      <c r="E778" s="13" t="str">
        <f t="shared" si="3"/>
        <v>LONG</v>
      </c>
      <c r="F778" s="3">
        <f t="shared" si="4"/>
        <v>-0.03286417576</v>
      </c>
      <c r="G778" s="4">
        <f t="shared" si="5"/>
        <v>1.33968144</v>
      </c>
      <c r="H778" s="3">
        <f t="shared" si="6"/>
        <v>-0.03286417576</v>
      </c>
      <c r="I778" s="5">
        <f t="shared" si="7"/>
        <v>1.198494098</v>
      </c>
    </row>
    <row r="779">
      <c r="A779" s="12">
        <f>IFERROR(__xludf.DUMMYFUNCTION("""COMPUTED_VALUE"""),43384.66666666667)</f>
        <v>43384.66667</v>
      </c>
      <c r="B779" s="13">
        <f>IFERROR(__xludf.DUMMYFUNCTION("""COMPUTED_VALUE"""),2728.37)</f>
        <v>2728.37</v>
      </c>
      <c r="C779" s="13">
        <f t="shared" si="1"/>
        <v>2821.185</v>
      </c>
      <c r="D779" s="13">
        <f t="shared" si="2"/>
        <v>2812.945</v>
      </c>
      <c r="E779" s="13" t="str">
        <f t="shared" si="3"/>
        <v>LONG</v>
      </c>
      <c r="F779" s="3">
        <f t="shared" si="4"/>
        <v>-0.02057307372</v>
      </c>
      <c r="G779" s="4">
        <f t="shared" si="5"/>
        <v>1.312120075</v>
      </c>
      <c r="H779" s="3">
        <f t="shared" si="6"/>
        <v>-0.02057307372</v>
      </c>
      <c r="I779" s="5">
        <f t="shared" si="7"/>
        <v>1.17383739</v>
      </c>
    </row>
    <row r="780">
      <c r="A780" s="12">
        <f>IFERROR(__xludf.DUMMYFUNCTION("""COMPUTED_VALUE"""),43385.66666666667)</f>
        <v>43385.66667</v>
      </c>
      <c r="B780" s="13">
        <f>IFERROR(__xludf.DUMMYFUNCTION("""COMPUTED_VALUE"""),2767.13)</f>
        <v>2767.13</v>
      </c>
      <c r="C780" s="13">
        <f t="shared" si="1"/>
        <v>2840.555</v>
      </c>
      <c r="D780" s="13">
        <f t="shared" si="2"/>
        <v>2840.585</v>
      </c>
      <c r="E780" s="13" t="str">
        <f t="shared" si="3"/>
        <v/>
      </c>
      <c r="F780" s="3">
        <f t="shared" si="4"/>
        <v>0.01420628434</v>
      </c>
      <c r="G780" s="4">
        <f t="shared" si="5"/>
        <v>1.330760426</v>
      </c>
      <c r="H780" s="5">
        <f t="shared" si="6"/>
        <v>0</v>
      </c>
      <c r="I780" s="5">
        <f t="shared" si="7"/>
        <v>1.17383739</v>
      </c>
    </row>
    <row r="781">
      <c r="A781" s="12">
        <f>IFERROR(__xludf.DUMMYFUNCTION("""COMPUTED_VALUE"""),43388.66666666667)</f>
        <v>43388.66667</v>
      </c>
      <c r="B781" s="13">
        <f>IFERROR(__xludf.DUMMYFUNCTION("""COMPUTED_VALUE"""),2750.79)</f>
        <v>2750.79</v>
      </c>
      <c r="C781" s="13">
        <f t="shared" si="1"/>
        <v>2837.69</v>
      </c>
      <c r="D781" s="13">
        <f t="shared" si="2"/>
        <v>2825.96</v>
      </c>
      <c r="E781" s="13" t="str">
        <f t="shared" si="3"/>
        <v>LONG</v>
      </c>
      <c r="F781" s="3">
        <f t="shared" si="4"/>
        <v>-0.005905035181</v>
      </c>
      <c r="G781" s="4">
        <f t="shared" si="5"/>
        <v>1.322902239</v>
      </c>
      <c r="H781" s="3">
        <f t="shared" si="6"/>
        <v>-0.005905035181</v>
      </c>
      <c r="I781" s="5">
        <f t="shared" si="7"/>
        <v>1.166905839</v>
      </c>
    </row>
    <row r="782">
      <c r="A782" s="12">
        <f>IFERROR(__xludf.DUMMYFUNCTION("""COMPUTED_VALUE"""),43389.66666666667)</f>
        <v>43389.66667</v>
      </c>
      <c r="B782" s="13">
        <f>IFERROR(__xludf.DUMMYFUNCTION("""COMPUTED_VALUE"""),2809.92)</f>
        <v>2809.92</v>
      </c>
      <c r="C782" s="13">
        <f t="shared" si="1"/>
        <v>2866.675</v>
      </c>
      <c r="D782" s="13">
        <f t="shared" si="2"/>
        <v>2855.72</v>
      </c>
      <c r="E782" s="13" t="str">
        <f t="shared" si="3"/>
        <v>LONG</v>
      </c>
      <c r="F782" s="3">
        <f t="shared" si="4"/>
        <v>0.02149564307</v>
      </c>
      <c r="G782" s="4">
        <f t="shared" si="5"/>
        <v>1.351338873</v>
      </c>
      <c r="H782" s="3">
        <f t="shared" si="6"/>
        <v>0.02149564307</v>
      </c>
      <c r="I782" s="5">
        <f t="shared" si="7"/>
        <v>1.191989231</v>
      </c>
    </row>
    <row r="783">
      <c r="A783" s="12">
        <f>IFERROR(__xludf.DUMMYFUNCTION("""COMPUTED_VALUE"""),43390.66666666667)</f>
        <v>43390.66667</v>
      </c>
      <c r="B783" s="13">
        <f>IFERROR(__xludf.DUMMYFUNCTION("""COMPUTED_VALUE"""),2809.21)</f>
        <v>2809.21</v>
      </c>
      <c r="C783" s="13">
        <f t="shared" si="1"/>
        <v>2867.36</v>
      </c>
      <c r="D783" s="13">
        <f t="shared" si="2"/>
        <v>2852.965</v>
      </c>
      <c r="E783" s="13" t="str">
        <f t="shared" si="3"/>
        <v>LONG</v>
      </c>
      <c r="F783" s="3">
        <f t="shared" si="4"/>
        <v>-0.0002526762328</v>
      </c>
      <c r="G783" s="4">
        <f t="shared" si="5"/>
        <v>1.350997422</v>
      </c>
      <c r="H783" s="3">
        <f t="shared" si="6"/>
        <v>-0.0002526762328</v>
      </c>
      <c r="I783" s="5">
        <f t="shared" si="7"/>
        <v>1.191688043</v>
      </c>
    </row>
    <row r="784">
      <c r="A784" s="12">
        <f>IFERROR(__xludf.DUMMYFUNCTION("""COMPUTED_VALUE"""),43391.66666666667)</f>
        <v>43391.66667</v>
      </c>
      <c r="B784" s="13">
        <f>IFERROR(__xludf.DUMMYFUNCTION("""COMPUTED_VALUE"""),2768.78)</f>
        <v>2768.78</v>
      </c>
      <c r="C784" s="13">
        <f t="shared" si="1"/>
        <v>2835.195</v>
      </c>
      <c r="D784" s="13">
        <f t="shared" si="2"/>
        <v>2828.69</v>
      </c>
      <c r="E784" s="13" t="str">
        <f t="shared" si="3"/>
        <v>LONG</v>
      </c>
      <c r="F784" s="3">
        <f t="shared" si="4"/>
        <v>-0.01439194649</v>
      </c>
      <c r="G784" s="4">
        <f t="shared" si="5"/>
        <v>1.33155394</v>
      </c>
      <c r="H784" s="3">
        <f t="shared" si="6"/>
        <v>-0.01439194649</v>
      </c>
      <c r="I784" s="5">
        <f t="shared" si="7"/>
        <v>1.174537333</v>
      </c>
    </row>
    <row r="785">
      <c r="A785" s="12">
        <f>IFERROR(__xludf.DUMMYFUNCTION("""COMPUTED_VALUE"""),43392.66666666667)</f>
        <v>43392.66667</v>
      </c>
      <c r="B785" s="13">
        <f>IFERROR(__xludf.DUMMYFUNCTION("""COMPUTED_VALUE"""),2767.78)</f>
        <v>2767.78</v>
      </c>
      <c r="C785" s="13">
        <f t="shared" si="1"/>
        <v>2826.675</v>
      </c>
      <c r="D785" s="13">
        <f t="shared" si="2"/>
        <v>2822.915</v>
      </c>
      <c r="E785" s="13" t="str">
        <f t="shared" si="3"/>
        <v>LONG</v>
      </c>
      <c r="F785" s="3">
        <f t="shared" si="4"/>
        <v>-0.0003611699015</v>
      </c>
      <c r="G785" s="4">
        <f t="shared" si="5"/>
        <v>1.331073022</v>
      </c>
      <c r="H785" s="3">
        <f t="shared" si="6"/>
        <v>-0.0003611699015</v>
      </c>
      <c r="I785" s="5">
        <f t="shared" si="7"/>
        <v>1.174113125</v>
      </c>
    </row>
    <row r="786">
      <c r="A786" s="12">
        <f>IFERROR(__xludf.DUMMYFUNCTION("""COMPUTED_VALUE"""),43395.66666666667)</f>
        <v>43395.66667</v>
      </c>
      <c r="B786" s="13">
        <f>IFERROR(__xludf.DUMMYFUNCTION("""COMPUTED_VALUE"""),2755.88)</f>
        <v>2755.88</v>
      </c>
      <c r="C786" s="13">
        <f t="shared" si="1"/>
        <v>2820.155</v>
      </c>
      <c r="D786" s="13">
        <f t="shared" si="2"/>
        <v>2813.78</v>
      </c>
      <c r="E786" s="13" t="str">
        <f t="shared" si="3"/>
        <v>LONG</v>
      </c>
      <c r="F786" s="3">
        <f t="shared" si="4"/>
        <v>-0.004299474669</v>
      </c>
      <c r="G786" s="4">
        <f t="shared" si="5"/>
        <v>1.325350108</v>
      </c>
      <c r="H786" s="3">
        <f t="shared" si="6"/>
        <v>-0.004299474669</v>
      </c>
      <c r="I786" s="5">
        <f t="shared" si="7"/>
        <v>1.169065056</v>
      </c>
    </row>
    <row r="787">
      <c r="A787" s="12">
        <f>IFERROR(__xludf.DUMMYFUNCTION("""COMPUTED_VALUE"""),43396.66666666667)</f>
        <v>43396.66667</v>
      </c>
      <c r="B787" s="13">
        <f>IFERROR(__xludf.DUMMYFUNCTION("""COMPUTED_VALUE"""),2740.69)</f>
        <v>2740.69</v>
      </c>
      <c r="C787" s="13">
        <f t="shared" si="1"/>
        <v>2810.515</v>
      </c>
      <c r="D787" s="13">
        <f t="shared" si="2"/>
        <v>2808.91</v>
      </c>
      <c r="E787" s="13" t="str">
        <f t="shared" si="3"/>
        <v>LONG</v>
      </c>
      <c r="F787" s="3">
        <f t="shared" si="4"/>
        <v>-0.005511851024</v>
      </c>
      <c r="G787" s="4">
        <f t="shared" si="5"/>
        <v>1.318044975</v>
      </c>
      <c r="H787" s="3">
        <f t="shared" si="6"/>
        <v>-0.005511851024</v>
      </c>
      <c r="I787" s="5">
        <f t="shared" si="7"/>
        <v>1.162621343</v>
      </c>
    </row>
    <row r="788">
      <c r="A788" s="12">
        <f>IFERROR(__xludf.DUMMYFUNCTION("""COMPUTED_VALUE"""),43397.66666666667)</f>
        <v>43397.66667</v>
      </c>
      <c r="B788" s="13">
        <f>IFERROR(__xludf.DUMMYFUNCTION("""COMPUTED_VALUE"""),2656.1)</f>
        <v>2656.1</v>
      </c>
      <c r="C788" s="13">
        <f t="shared" si="1"/>
        <v>2720.89</v>
      </c>
      <c r="D788" s="13">
        <f t="shared" si="2"/>
        <v>2771.995</v>
      </c>
      <c r="E788" s="13" t="str">
        <f t="shared" si="3"/>
        <v/>
      </c>
      <c r="F788" s="3">
        <f t="shared" si="4"/>
        <v>-0.03086449033</v>
      </c>
      <c r="G788" s="4">
        <f t="shared" si="5"/>
        <v>1.277364189</v>
      </c>
      <c r="H788" s="5">
        <f t="shared" si="6"/>
        <v>0</v>
      </c>
      <c r="I788" s="5">
        <f t="shared" si="7"/>
        <v>1.162621343</v>
      </c>
    </row>
    <row r="789">
      <c r="A789" s="12">
        <f>IFERROR(__xludf.DUMMYFUNCTION("""COMPUTED_VALUE"""),43398.66666666667)</f>
        <v>43398.66667</v>
      </c>
      <c r="B789" s="13">
        <f>IFERROR(__xludf.DUMMYFUNCTION("""COMPUTED_VALUE"""),2705.57)</f>
        <v>2705.57</v>
      </c>
      <c r="C789" s="13">
        <f t="shared" si="1"/>
        <v>2716.97</v>
      </c>
      <c r="D789" s="13">
        <f t="shared" si="2"/>
        <v>2797.245</v>
      </c>
      <c r="E789" s="13" t="str">
        <f t="shared" si="3"/>
        <v/>
      </c>
      <c r="F789" s="3">
        <f t="shared" si="4"/>
        <v>0.01862505177</v>
      </c>
      <c r="G789" s="4">
        <f t="shared" si="5"/>
        <v>1.301155163</v>
      </c>
      <c r="H789" s="5">
        <f t="shared" si="6"/>
        <v>0</v>
      </c>
      <c r="I789" s="5">
        <f t="shared" si="7"/>
        <v>1.162621343</v>
      </c>
    </row>
    <row r="790">
      <c r="A790" s="12">
        <f>IFERROR(__xludf.DUMMYFUNCTION("""COMPUTED_VALUE"""),43399.66666666667)</f>
        <v>43399.66667</v>
      </c>
      <c r="B790" s="13">
        <f>IFERROR(__xludf.DUMMYFUNCTION("""COMPUTED_VALUE"""),2658.69)</f>
        <v>2658.69</v>
      </c>
      <c r="C790" s="13">
        <f t="shared" si="1"/>
        <v>2712.91</v>
      </c>
      <c r="D790" s="13">
        <f t="shared" si="2"/>
        <v>2781.435</v>
      </c>
      <c r="E790" s="13" t="str">
        <f t="shared" si="3"/>
        <v/>
      </c>
      <c r="F790" s="3">
        <f t="shared" si="4"/>
        <v>-0.01732721755</v>
      </c>
      <c r="G790" s="4">
        <f t="shared" si="5"/>
        <v>1.278609765</v>
      </c>
      <c r="H790" s="5">
        <f t="shared" si="6"/>
        <v>0</v>
      </c>
      <c r="I790" s="5">
        <f t="shared" si="7"/>
        <v>1.162621343</v>
      </c>
    </row>
    <row r="791">
      <c r="A791" s="12">
        <f>IFERROR(__xludf.DUMMYFUNCTION("""COMPUTED_VALUE"""),43402.66666666667)</f>
        <v>43402.66667</v>
      </c>
      <c r="B791" s="13">
        <f>IFERROR(__xludf.DUMMYFUNCTION("""COMPUTED_VALUE"""),2641.25)</f>
        <v>2641.25</v>
      </c>
      <c r="C791" s="13">
        <f t="shared" si="1"/>
        <v>2696.02</v>
      </c>
      <c r="D791" s="13">
        <f t="shared" si="2"/>
        <v>2773.115</v>
      </c>
      <c r="E791" s="13" t="str">
        <f t="shared" si="3"/>
        <v/>
      </c>
      <c r="F791" s="3">
        <f t="shared" si="4"/>
        <v>-0.006559621468</v>
      </c>
      <c r="G791" s="4">
        <f t="shared" si="5"/>
        <v>1.270222568</v>
      </c>
      <c r="H791" s="5">
        <f t="shared" si="6"/>
        <v>0</v>
      </c>
      <c r="I791" s="5">
        <f t="shared" si="7"/>
        <v>1.162621343</v>
      </c>
    </row>
    <row r="792">
      <c r="A792" s="12">
        <f>IFERROR(__xludf.DUMMYFUNCTION("""COMPUTED_VALUE"""),43403.66666666667)</f>
        <v>43403.66667</v>
      </c>
      <c r="B792" s="13">
        <f>IFERROR(__xludf.DUMMYFUNCTION("""COMPUTED_VALUE"""),2682.63)</f>
        <v>2682.63</v>
      </c>
      <c r="C792" s="13">
        <f t="shared" si="1"/>
        <v>2746.275</v>
      </c>
      <c r="D792" s="13">
        <f t="shared" si="2"/>
        <v>2785.715</v>
      </c>
      <c r="E792" s="13" t="str">
        <f t="shared" si="3"/>
        <v/>
      </c>
      <c r="F792" s="3">
        <f t="shared" si="4"/>
        <v>0.01566682442</v>
      </c>
      <c r="G792" s="4">
        <f t="shared" si="5"/>
        <v>1.290122922</v>
      </c>
      <c r="H792" s="5">
        <f t="shared" si="6"/>
        <v>0</v>
      </c>
      <c r="I792" s="5">
        <f t="shared" si="7"/>
        <v>1.162621343</v>
      </c>
    </row>
    <row r="793">
      <c r="A793" s="12">
        <f>IFERROR(__xludf.DUMMYFUNCTION("""COMPUTED_VALUE"""),43404.66666666667)</f>
        <v>43404.66667</v>
      </c>
      <c r="B793" s="13">
        <f>IFERROR(__xludf.DUMMYFUNCTION("""COMPUTED_VALUE"""),2711.74)</f>
        <v>2711.74</v>
      </c>
      <c r="C793" s="13">
        <f t="shared" si="1"/>
        <v>2760.475</v>
      </c>
      <c r="D793" s="13">
        <f t="shared" si="2"/>
        <v>2808.025</v>
      </c>
      <c r="E793" s="13" t="str">
        <f t="shared" si="3"/>
        <v/>
      </c>
      <c r="F793" s="3">
        <f t="shared" si="4"/>
        <v>0.01085129146</v>
      </c>
      <c r="G793" s="4">
        <f t="shared" si="5"/>
        <v>1.304122422</v>
      </c>
      <c r="H793" s="5">
        <f t="shared" si="6"/>
        <v>0</v>
      </c>
      <c r="I793" s="5">
        <f t="shared" si="7"/>
        <v>1.162621343</v>
      </c>
    </row>
    <row r="794">
      <c r="A794" s="12">
        <f>IFERROR(__xludf.DUMMYFUNCTION("""COMPUTED_VALUE"""),43405.66666666667)</f>
        <v>43405.66667</v>
      </c>
      <c r="B794" s="13">
        <f>IFERROR(__xludf.DUMMYFUNCTION("""COMPUTED_VALUE"""),2740.37)</f>
        <v>2740.37</v>
      </c>
      <c r="C794" s="13">
        <f t="shared" si="1"/>
        <v>2754.575</v>
      </c>
      <c r="D794" s="13">
        <f t="shared" si="2"/>
        <v>2824.16</v>
      </c>
      <c r="E794" s="13" t="str">
        <f t="shared" si="3"/>
        <v/>
      </c>
      <c r="F794" s="3">
        <f t="shared" si="4"/>
        <v>0.01055779684</v>
      </c>
      <c r="G794" s="4">
        <f t="shared" si="5"/>
        <v>1.317891082</v>
      </c>
      <c r="H794" s="5">
        <f t="shared" si="6"/>
        <v>0</v>
      </c>
      <c r="I794" s="5">
        <f t="shared" si="7"/>
        <v>1.162621343</v>
      </c>
    </row>
    <row r="795">
      <c r="A795" s="12">
        <f>IFERROR(__xludf.DUMMYFUNCTION("""COMPUTED_VALUE"""),43406.66666666667)</f>
        <v>43406.66667</v>
      </c>
      <c r="B795" s="13">
        <f>IFERROR(__xludf.DUMMYFUNCTION("""COMPUTED_VALUE"""),2723.06)</f>
        <v>2723.06</v>
      </c>
      <c r="C795" s="13">
        <f t="shared" si="1"/>
        <v>2745.42</v>
      </c>
      <c r="D795" s="13">
        <f t="shared" si="2"/>
        <v>2826.905</v>
      </c>
      <c r="E795" s="13" t="str">
        <f t="shared" si="3"/>
        <v/>
      </c>
      <c r="F795" s="3">
        <f t="shared" si="4"/>
        <v>-0.006316665268</v>
      </c>
      <c r="G795" s="4">
        <f t="shared" si="5"/>
        <v>1.309566405</v>
      </c>
      <c r="H795" s="5">
        <f t="shared" si="6"/>
        <v>0</v>
      </c>
      <c r="I795" s="5">
        <f t="shared" si="7"/>
        <v>1.162621343</v>
      </c>
    </row>
    <row r="796">
      <c r="A796" s="12">
        <f>IFERROR(__xludf.DUMMYFUNCTION("""COMPUTED_VALUE"""),43409.66666666667)</f>
        <v>43409.66667</v>
      </c>
      <c r="B796" s="13">
        <f>IFERROR(__xludf.DUMMYFUNCTION("""COMPUTED_VALUE"""),2738.31)</f>
        <v>2738.31</v>
      </c>
      <c r="C796" s="13">
        <f t="shared" si="1"/>
        <v>2747.095</v>
      </c>
      <c r="D796" s="13">
        <f t="shared" si="2"/>
        <v>2833.99</v>
      </c>
      <c r="E796" s="13" t="str">
        <f t="shared" si="3"/>
        <v/>
      </c>
      <c r="F796" s="3">
        <f t="shared" si="4"/>
        <v>0.00560031729</v>
      </c>
      <c r="G796" s="4">
        <f t="shared" si="5"/>
        <v>1.316900392</v>
      </c>
      <c r="H796" s="5">
        <f t="shared" si="6"/>
        <v>0</v>
      </c>
      <c r="I796" s="5">
        <f t="shared" si="7"/>
        <v>1.162621343</v>
      </c>
    </row>
    <row r="797">
      <c r="A797" s="12">
        <f>IFERROR(__xludf.DUMMYFUNCTION("""COMPUTED_VALUE"""),43410.66666666667)</f>
        <v>43410.66667</v>
      </c>
      <c r="B797" s="13">
        <f>IFERROR(__xludf.DUMMYFUNCTION("""COMPUTED_VALUE"""),2755.45)</f>
        <v>2755.45</v>
      </c>
      <c r="C797" s="13">
        <f t="shared" si="1"/>
        <v>2748.07</v>
      </c>
      <c r="D797" s="13">
        <f t="shared" si="2"/>
        <v>2837.41</v>
      </c>
      <c r="E797" s="13" t="str">
        <f t="shared" si="3"/>
        <v/>
      </c>
      <c r="F797" s="3">
        <f t="shared" si="4"/>
        <v>0.006259335137</v>
      </c>
      <c r="G797" s="4">
        <f t="shared" si="5"/>
        <v>1.325143313</v>
      </c>
      <c r="H797" s="5">
        <f t="shared" si="6"/>
        <v>0</v>
      </c>
      <c r="I797" s="5">
        <f t="shared" si="7"/>
        <v>1.162621343</v>
      </c>
    </row>
    <row r="798">
      <c r="A798" s="12">
        <f>IFERROR(__xludf.DUMMYFUNCTION("""COMPUTED_VALUE"""),43411.66666666667)</f>
        <v>43411.66667</v>
      </c>
      <c r="B798" s="13">
        <f>IFERROR(__xludf.DUMMYFUNCTION("""COMPUTED_VALUE"""),2813.89)</f>
        <v>2813.89</v>
      </c>
      <c r="C798" s="13">
        <f t="shared" si="1"/>
        <v>2734.995</v>
      </c>
      <c r="D798" s="13">
        <f t="shared" si="2"/>
        <v>2864.725</v>
      </c>
      <c r="E798" s="13" t="str">
        <f t="shared" si="3"/>
        <v/>
      </c>
      <c r="F798" s="3">
        <f t="shared" si="4"/>
        <v>0.02120887695</v>
      </c>
      <c r="G798" s="4">
        <f t="shared" si="5"/>
        <v>1.353248115</v>
      </c>
      <c r="H798" s="5">
        <f t="shared" si="6"/>
        <v>0</v>
      </c>
      <c r="I798" s="5">
        <f t="shared" si="7"/>
        <v>1.162621343</v>
      </c>
    </row>
    <row r="799">
      <c r="A799" s="12">
        <f>IFERROR(__xludf.DUMMYFUNCTION("""COMPUTED_VALUE"""),43412.66666666667)</f>
        <v>43412.66667</v>
      </c>
      <c r="B799" s="13">
        <f>IFERROR(__xludf.DUMMYFUNCTION("""COMPUTED_VALUE"""),2806.83)</f>
        <v>2806.83</v>
      </c>
      <c r="C799" s="13">
        <f t="shared" si="1"/>
        <v>2756.2</v>
      </c>
      <c r="D799" s="13">
        <f t="shared" si="2"/>
        <v>2856.4</v>
      </c>
      <c r="E799" s="13" t="str">
        <f t="shared" si="3"/>
        <v/>
      </c>
      <c r="F799" s="3">
        <f t="shared" si="4"/>
        <v>-0.002508982227</v>
      </c>
      <c r="G799" s="4">
        <f t="shared" si="5"/>
        <v>1.349852839</v>
      </c>
      <c r="H799" s="5">
        <f t="shared" si="6"/>
        <v>0</v>
      </c>
      <c r="I799" s="5">
        <f t="shared" si="7"/>
        <v>1.162621343</v>
      </c>
    </row>
    <row r="800">
      <c r="A800" s="12">
        <f>IFERROR(__xludf.DUMMYFUNCTION("""COMPUTED_VALUE"""),43413.66666666667)</f>
        <v>43413.66667</v>
      </c>
      <c r="B800" s="13">
        <f>IFERROR(__xludf.DUMMYFUNCTION("""COMPUTED_VALUE"""),2781.01)</f>
        <v>2781.01</v>
      </c>
      <c r="C800" s="13">
        <f t="shared" si="1"/>
        <v>2719.85</v>
      </c>
      <c r="D800" s="13">
        <f t="shared" si="2"/>
        <v>2847.505</v>
      </c>
      <c r="E800" s="13" t="str">
        <f t="shared" si="3"/>
        <v/>
      </c>
      <c r="F800" s="3">
        <f t="shared" si="4"/>
        <v>-0.009198989607</v>
      </c>
      <c r="G800" s="4">
        <f t="shared" si="5"/>
        <v>1.337435557</v>
      </c>
      <c r="H800" s="5">
        <f t="shared" si="6"/>
        <v>0</v>
      </c>
      <c r="I800" s="5">
        <f t="shared" si="7"/>
        <v>1.162621343</v>
      </c>
    </row>
    <row r="801">
      <c r="A801" s="12">
        <f>IFERROR(__xludf.DUMMYFUNCTION("""COMPUTED_VALUE"""),43416.66666666667)</f>
        <v>43416.66667</v>
      </c>
      <c r="B801" s="13">
        <f>IFERROR(__xludf.DUMMYFUNCTION("""COMPUTED_VALUE"""),2726.22)</f>
        <v>2726.22</v>
      </c>
      <c r="C801" s="13">
        <f t="shared" si="1"/>
        <v>2683.735</v>
      </c>
      <c r="D801" s="13">
        <f t="shared" si="2"/>
        <v>2820.1</v>
      </c>
      <c r="E801" s="13" t="str">
        <f t="shared" si="3"/>
        <v/>
      </c>
      <c r="F801" s="3">
        <f t="shared" si="4"/>
        <v>-0.01970147536</v>
      </c>
      <c r="G801" s="4">
        <f t="shared" si="5"/>
        <v>1.311086103</v>
      </c>
      <c r="H801" s="5">
        <f t="shared" si="6"/>
        <v>0</v>
      </c>
      <c r="I801" s="5">
        <f t="shared" si="7"/>
        <v>1.162621343</v>
      </c>
    </row>
    <row r="802">
      <c r="A802" s="12">
        <f>IFERROR(__xludf.DUMMYFUNCTION("""COMPUTED_VALUE"""),43417.66666666667)</f>
        <v>43417.66667</v>
      </c>
      <c r="B802" s="13">
        <f>IFERROR(__xludf.DUMMYFUNCTION("""COMPUTED_VALUE"""),2722.18)</f>
        <v>2722.18</v>
      </c>
      <c r="C802" s="13">
        <f t="shared" si="1"/>
        <v>2702.405</v>
      </c>
      <c r="D802" s="13">
        <f t="shared" si="2"/>
        <v>2823.385</v>
      </c>
      <c r="E802" s="13" t="str">
        <f t="shared" si="3"/>
        <v/>
      </c>
      <c r="F802" s="3">
        <f t="shared" si="4"/>
        <v>-0.001481905349</v>
      </c>
      <c r="G802" s="4">
        <f t="shared" si="5"/>
        <v>1.309143198</v>
      </c>
      <c r="H802" s="5">
        <f t="shared" si="6"/>
        <v>0</v>
      </c>
      <c r="I802" s="5">
        <f t="shared" si="7"/>
        <v>1.162621343</v>
      </c>
    </row>
    <row r="803">
      <c r="A803" s="12">
        <f>IFERROR(__xludf.DUMMYFUNCTION("""COMPUTED_VALUE"""),43418.66666666667)</f>
        <v>43418.66667</v>
      </c>
      <c r="B803" s="13">
        <f>IFERROR(__xludf.DUMMYFUNCTION("""COMPUTED_VALUE"""),2701.58)</f>
        <v>2701.58</v>
      </c>
      <c r="C803" s="13">
        <f t="shared" si="1"/>
        <v>2706.66</v>
      </c>
      <c r="D803" s="13">
        <f t="shared" si="2"/>
        <v>2812.505</v>
      </c>
      <c r="E803" s="13" t="str">
        <f t="shared" si="3"/>
        <v/>
      </c>
      <c r="F803" s="3">
        <f t="shared" si="4"/>
        <v>-0.007567464312</v>
      </c>
      <c r="G803" s="4">
        <f t="shared" si="5"/>
        <v>1.299236303</v>
      </c>
      <c r="H803" s="5">
        <f t="shared" si="6"/>
        <v>0</v>
      </c>
      <c r="I803" s="5">
        <f t="shared" si="7"/>
        <v>1.162621343</v>
      </c>
    </row>
    <row r="804">
      <c r="A804" s="12">
        <f>IFERROR(__xludf.DUMMYFUNCTION("""COMPUTED_VALUE"""),43419.66666666667)</f>
        <v>43419.66667</v>
      </c>
      <c r="B804" s="13">
        <f>IFERROR(__xludf.DUMMYFUNCTION("""COMPUTED_VALUE"""),2730.2)</f>
        <v>2730.2</v>
      </c>
      <c r="C804" s="13">
        <f t="shared" si="1"/>
        <v>2735.285</v>
      </c>
      <c r="D804" s="13">
        <f t="shared" si="2"/>
        <v>2827.855</v>
      </c>
      <c r="E804" s="13" t="str">
        <f t="shared" si="3"/>
        <v/>
      </c>
      <c r="F804" s="3">
        <f t="shared" si="4"/>
        <v>0.01059380066</v>
      </c>
      <c r="G804" s="4">
        <f t="shared" si="5"/>
        <v>1.313000154</v>
      </c>
      <c r="H804" s="5">
        <f t="shared" si="6"/>
        <v>0</v>
      </c>
      <c r="I804" s="5">
        <f t="shared" si="7"/>
        <v>1.162621343</v>
      </c>
    </row>
    <row r="805">
      <c r="A805" s="12">
        <f>IFERROR(__xludf.DUMMYFUNCTION("""COMPUTED_VALUE"""),43420.66666666667)</f>
        <v>43420.66667</v>
      </c>
      <c r="B805" s="13">
        <f>IFERROR(__xludf.DUMMYFUNCTION("""COMPUTED_VALUE"""),2736.27)</f>
        <v>2736.27</v>
      </c>
      <c r="C805" s="13">
        <f t="shared" si="1"/>
        <v>2729.665</v>
      </c>
      <c r="D805" s="13">
        <f t="shared" si="2"/>
        <v>2818.94</v>
      </c>
      <c r="E805" s="13" t="str">
        <f t="shared" si="3"/>
        <v/>
      </c>
      <c r="F805" s="3">
        <f t="shared" si="4"/>
        <v>0.002223280346</v>
      </c>
      <c r="G805" s="4">
        <f t="shared" si="5"/>
        <v>1.315919321</v>
      </c>
      <c r="H805" s="5">
        <f t="shared" si="6"/>
        <v>0</v>
      </c>
      <c r="I805" s="5">
        <f t="shared" si="7"/>
        <v>1.162621343</v>
      </c>
    </row>
    <row r="806">
      <c r="A806" s="12">
        <f>IFERROR(__xludf.DUMMYFUNCTION("""COMPUTED_VALUE"""),43423.66666666667)</f>
        <v>43423.66667</v>
      </c>
      <c r="B806" s="13">
        <f>IFERROR(__xludf.DUMMYFUNCTION("""COMPUTED_VALUE"""),2690.73)</f>
        <v>2690.73</v>
      </c>
      <c r="C806" s="13">
        <f t="shared" si="1"/>
        <v>2714.52</v>
      </c>
      <c r="D806" s="13">
        <f t="shared" si="2"/>
        <v>2788.15</v>
      </c>
      <c r="E806" s="13" t="str">
        <f t="shared" si="3"/>
        <v/>
      </c>
      <c r="F806" s="3">
        <f t="shared" si="4"/>
        <v>-0.01664309443</v>
      </c>
      <c r="G806" s="4">
        <f t="shared" si="5"/>
        <v>1.294018352</v>
      </c>
      <c r="H806" s="5">
        <f t="shared" si="6"/>
        <v>0</v>
      </c>
      <c r="I806" s="5">
        <f t="shared" si="7"/>
        <v>1.162621343</v>
      </c>
    </row>
    <row r="807">
      <c r="A807" s="12">
        <f>IFERROR(__xludf.DUMMYFUNCTION("""COMPUTED_VALUE"""),43424.66666666667)</f>
        <v>43424.66667</v>
      </c>
      <c r="B807" s="13">
        <f>IFERROR(__xludf.DUMMYFUNCTION("""COMPUTED_VALUE"""),2641.89)</f>
        <v>2641.89</v>
      </c>
      <c r="C807" s="13">
        <f t="shared" si="1"/>
        <v>2698.67</v>
      </c>
      <c r="D807" s="13">
        <f t="shared" si="2"/>
        <v>2763.16</v>
      </c>
      <c r="E807" s="13" t="str">
        <f t="shared" si="3"/>
        <v/>
      </c>
      <c r="F807" s="3">
        <f t="shared" si="4"/>
        <v>-0.01815120804</v>
      </c>
      <c r="G807" s="4">
        <f t="shared" si="5"/>
        <v>1.270530355</v>
      </c>
      <c r="H807" s="5">
        <f t="shared" si="6"/>
        <v>0</v>
      </c>
      <c r="I807" s="5">
        <f t="shared" si="7"/>
        <v>1.162621343</v>
      </c>
    </row>
    <row r="808">
      <c r="A808" s="12">
        <f>IFERROR(__xludf.DUMMYFUNCTION("""COMPUTED_VALUE"""),43425.66666666667)</f>
        <v>43425.66667</v>
      </c>
      <c r="B808" s="13">
        <f>IFERROR(__xludf.DUMMYFUNCTION("""COMPUTED_VALUE"""),2649.93)</f>
        <v>2649.93</v>
      </c>
      <c r="C808" s="13">
        <f t="shared" si="1"/>
        <v>2731.91</v>
      </c>
      <c r="D808" s="13">
        <f t="shared" si="2"/>
        <v>2765.135</v>
      </c>
      <c r="E808" s="13" t="str">
        <f t="shared" si="3"/>
        <v/>
      </c>
      <c r="F808" s="3">
        <f t="shared" si="4"/>
        <v>0.003043275837</v>
      </c>
      <c r="G808" s="4">
        <f t="shared" si="5"/>
        <v>1.27439693</v>
      </c>
      <c r="H808" s="5">
        <f t="shared" si="6"/>
        <v>0</v>
      </c>
      <c r="I808" s="5">
        <f t="shared" si="7"/>
        <v>1.162621343</v>
      </c>
    </row>
    <row r="809">
      <c r="A809" s="12">
        <f>IFERROR(__xludf.DUMMYFUNCTION("""COMPUTED_VALUE"""),43427.54166666667)</f>
        <v>43427.54167</v>
      </c>
      <c r="B809" s="13">
        <f>IFERROR(__xludf.DUMMYFUNCTION("""COMPUTED_VALUE"""),2632.56)</f>
        <v>2632.56</v>
      </c>
      <c r="C809" s="13">
        <f t="shared" si="1"/>
        <v>2719.695</v>
      </c>
      <c r="D809" s="13">
        <f t="shared" si="2"/>
        <v>2709.12</v>
      </c>
      <c r="E809" s="13" t="str">
        <f t="shared" si="3"/>
        <v>LONG</v>
      </c>
      <c r="F809" s="3">
        <f t="shared" si="4"/>
        <v>-0.006554890129</v>
      </c>
      <c r="G809" s="4">
        <f t="shared" si="5"/>
        <v>1.266043398</v>
      </c>
      <c r="H809" s="3">
        <f t="shared" si="6"/>
        <v>-0.006554890129</v>
      </c>
      <c r="I809" s="5">
        <f t="shared" si="7"/>
        <v>1.155000488</v>
      </c>
    </row>
    <row r="810">
      <c r="A810" s="12">
        <f>IFERROR(__xludf.DUMMYFUNCTION("""COMPUTED_VALUE"""),43430.66666666667)</f>
        <v>43430.66667</v>
      </c>
      <c r="B810" s="13">
        <f>IFERROR(__xludf.DUMMYFUNCTION("""COMPUTED_VALUE"""),2673.45)</f>
        <v>2673.45</v>
      </c>
      <c r="C810" s="13">
        <f t="shared" si="1"/>
        <v>2727.23</v>
      </c>
      <c r="D810" s="13">
        <f t="shared" si="2"/>
        <v>2700.91</v>
      </c>
      <c r="E810" s="13" t="str">
        <f t="shared" si="3"/>
        <v>LONG</v>
      </c>
      <c r="F810" s="3">
        <f t="shared" si="4"/>
        <v>0.01553240952</v>
      </c>
      <c r="G810" s="4">
        <f t="shared" si="5"/>
        <v>1.285708102</v>
      </c>
      <c r="H810" s="3">
        <f t="shared" si="6"/>
        <v>0.01553240952</v>
      </c>
      <c r="I810" s="5">
        <f t="shared" si="7"/>
        <v>1.172940429</v>
      </c>
    </row>
    <row r="811">
      <c r="A811" s="12">
        <f>IFERROR(__xludf.DUMMYFUNCTION("""COMPUTED_VALUE"""),43431.66666666667)</f>
        <v>43431.66667</v>
      </c>
      <c r="B811" s="13">
        <f>IFERROR(__xludf.DUMMYFUNCTION("""COMPUTED_VALUE"""),2682.17)</f>
        <v>2682.17</v>
      </c>
      <c r="C811" s="13">
        <f t="shared" si="1"/>
        <v>2704.195</v>
      </c>
      <c r="D811" s="13">
        <f t="shared" si="2"/>
        <v>2724.65</v>
      </c>
      <c r="E811" s="13" t="str">
        <f t="shared" si="3"/>
        <v/>
      </c>
      <c r="F811" s="3">
        <f t="shared" si="4"/>
        <v>0.003261703043</v>
      </c>
      <c r="G811" s="4">
        <f t="shared" si="5"/>
        <v>1.289901701</v>
      </c>
      <c r="H811" s="5">
        <f t="shared" si="6"/>
        <v>0</v>
      </c>
      <c r="I811" s="5">
        <f t="shared" si="7"/>
        <v>1.172940429</v>
      </c>
    </row>
    <row r="812">
      <c r="A812" s="12">
        <f>IFERROR(__xludf.DUMMYFUNCTION("""COMPUTED_VALUE"""),43432.66666666667)</f>
        <v>43432.66667</v>
      </c>
      <c r="B812" s="13">
        <f>IFERROR(__xludf.DUMMYFUNCTION("""COMPUTED_VALUE"""),2743.79)</f>
        <v>2743.79</v>
      </c>
      <c r="C812" s="13">
        <f t="shared" si="1"/>
        <v>2732.985</v>
      </c>
      <c r="D812" s="13">
        <f t="shared" si="2"/>
        <v>2747.29</v>
      </c>
      <c r="E812" s="13" t="str">
        <f t="shared" si="3"/>
        <v/>
      </c>
      <c r="F812" s="3">
        <f t="shared" si="4"/>
        <v>0.02297393528</v>
      </c>
      <c r="G812" s="4">
        <f t="shared" si="5"/>
        <v>1.319535819</v>
      </c>
      <c r="H812" s="5">
        <f t="shared" si="6"/>
        <v>0</v>
      </c>
      <c r="I812" s="5">
        <f t="shared" si="7"/>
        <v>1.172940429</v>
      </c>
    </row>
    <row r="813">
      <c r="A813" s="12">
        <f>IFERROR(__xludf.DUMMYFUNCTION("""COMPUTED_VALUE"""),43433.66666666667)</f>
        <v>43433.66667</v>
      </c>
      <c r="B813" s="13">
        <f>IFERROR(__xludf.DUMMYFUNCTION("""COMPUTED_VALUE"""),2737.76)</f>
        <v>2737.76</v>
      </c>
      <c r="C813" s="13">
        <f t="shared" si="1"/>
        <v>2719.67</v>
      </c>
      <c r="D813" s="13">
        <f t="shared" si="2"/>
        <v>2773.84</v>
      </c>
      <c r="E813" s="13" t="str">
        <f t="shared" si="3"/>
        <v/>
      </c>
      <c r="F813" s="3">
        <f t="shared" si="4"/>
        <v>-0.002197690056</v>
      </c>
      <c r="G813" s="4">
        <f t="shared" si="5"/>
        <v>1.316635888</v>
      </c>
      <c r="H813" s="5">
        <f t="shared" si="6"/>
        <v>0</v>
      </c>
      <c r="I813" s="5">
        <f t="shared" si="7"/>
        <v>1.172940429</v>
      </c>
    </row>
    <row r="814">
      <c r="A814" s="12">
        <f>IFERROR(__xludf.DUMMYFUNCTION("""COMPUTED_VALUE"""),43434.66666666667)</f>
        <v>43434.66667</v>
      </c>
      <c r="B814" s="13">
        <f>IFERROR(__xludf.DUMMYFUNCTION("""COMPUTED_VALUE"""),2760.17)</f>
        <v>2760.17</v>
      </c>
      <c r="C814" s="13">
        <f t="shared" si="1"/>
        <v>2745.185</v>
      </c>
      <c r="D814" s="13">
        <f t="shared" si="2"/>
        <v>2784.69</v>
      </c>
      <c r="E814" s="13" t="str">
        <f t="shared" si="3"/>
        <v/>
      </c>
      <c r="F814" s="3">
        <f t="shared" si="4"/>
        <v>0.008185523932</v>
      </c>
      <c r="G814" s="4">
        <f t="shared" si="5"/>
        <v>1.327413243</v>
      </c>
      <c r="H814" s="5">
        <f t="shared" si="6"/>
        <v>0</v>
      </c>
      <c r="I814" s="5">
        <f t="shared" si="7"/>
        <v>1.172940429</v>
      </c>
    </row>
    <row r="815">
      <c r="A815" s="12">
        <f>IFERROR(__xludf.DUMMYFUNCTION("""COMPUTED_VALUE"""),43437.66666666667)</f>
        <v>43437.66667</v>
      </c>
      <c r="B815" s="13">
        <f>IFERROR(__xludf.DUMMYFUNCTION("""COMPUTED_VALUE"""),2790.37)</f>
        <v>2790.37</v>
      </c>
      <c r="C815" s="13">
        <f t="shared" si="1"/>
        <v>2763.32</v>
      </c>
      <c r="D815" s="13">
        <f t="shared" si="2"/>
        <v>2779.575</v>
      </c>
      <c r="E815" s="13" t="str">
        <f t="shared" si="3"/>
        <v/>
      </c>
      <c r="F815" s="3">
        <f t="shared" si="4"/>
        <v>0.01094135506</v>
      </c>
      <c r="G815" s="4">
        <f t="shared" si="5"/>
        <v>1.341936942</v>
      </c>
      <c r="H815" s="5">
        <f t="shared" si="6"/>
        <v>0</v>
      </c>
      <c r="I815" s="5">
        <f t="shared" si="7"/>
        <v>1.172940429</v>
      </c>
    </row>
    <row r="816">
      <c r="A816" s="12">
        <f>IFERROR(__xludf.DUMMYFUNCTION("""COMPUTED_VALUE"""),43438.66666666667)</f>
        <v>43438.66667</v>
      </c>
      <c r="B816" s="13">
        <f>IFERROR(__xludf.DUMMYFUNCTION("""COMPUTED_VALUE"""),2700.06)</f>
        <v>2700.06</v>
      </c>
      <c r="C816" s="13">
        <f t="shared" si="1"/>
        <v>2695.395</v>
      </c>
      <c r="D816" s="13">
        <f t="shared" si="2"/>
        <v>2733.92</v>
      </c>
      <c r="E816" s="13" t="str">
        <f t="shared" si="3"/>
        <v/>
      </c>
      <c r="F816" s="3">
        <f t="shared" si="4"/>
        <v>-0.03236488351</v>
      </c>
      <c r="G816" s="4">
        <f t="shared" si="5"/>
        <v>1.298505309</v>
      </c>
      <c r="H816" s="5">
        <f t="shared" si="6"/>
        <v>0</v>
      </c>
      <c r="I816" s="5">
        <f t="shared" si="7"/>
        <v>1.172940429</v>
      </c>
    </row>
    <row r="817">
      <c r="A817" s="12">
        <f>IFERROR(__xludf.DUMMYFUNCTION("""COMPUTED_VALUE"""),43440.66666666667)</f>
        <v>43440.66667</v>
      </c>
      <c r="B817" s="13">
        <f>IFERROR(__xludf.DUMMYFUNCTION("""COMPUTED_VALUE"""),2695.95)</f>
        <v>2695.95</v>
      </c>
      <c r="C817" s="13">
        <f t="shared" si="1"/>
        <v>2668.92</v>
      </c>
      <c r="D817" s="13">
        <f t="shared" si="2"/>
        <v>2725.915</v>
      </c>
      <c r="E817" s="13" t="str">
        <f t="shared" si="3"/>
        <v/>
      </c>
      <c r="F817" s="3">
        <f t="shared" si="4"/>
        <v>-0.001522188396</v>
      </c>
      <c r="G817" s="4">
        <f t="shared" si="5"/>
        <v>1.29652874</v>
      </c>
      <c r="H817" s="5">
        <f t="shared" si="6"/>
        <v>0</v>
      </c>
      <c r="I817" s="5">
        <f t="shared" si="7"/>
        <v>1.172940429</v>
      </c>
    </row>
    <row r="818">
      <c r="A818" s="12">
        <f>IFERROR(__xludf.DUMMYFUNCTION("""COMPUTED_VALUE"""),43441.66666666667)</f>
        <v>43441.66667</v>
      </c>
      <c r="B818" s="13">
        <f>IFERROR(__xludf.DUMMYFUNCTION("""COMPUTED_VALUE"""),2633.08)</f>
        <v>2633.08</v>
      </c>
      <c r="C818" s="13">
        <f t="shared" si="1"/>
        <v>2641.505</v>
      </c>
      <c r="D818" s="13">
        <f t="shared" si="2"/>
        <v>2686.885</v>
      </c>
      <c r="E818" s="13" t="str">
        <f t="shared" si="3"/>
        <v/>
      </c>
      <c r="F818" s="3">
        <f t="shared" si="4"/>
        <v>-0.02332016543</v>
      </c>
      <c r="G818" s="4">
        <f t="shared" si="5"/>
        <v>1.266293475</v>
      </c>
      <c r="H818" s="5">
        <f t="shared" si="6"/>
        <v>0</v>
      </c>
      <c r="I818" s="5">
        <f t="shared" si="7"/>
        <v>1.172940429</v>
      </c>
    </row>
    <row r="819">
      <c r="A819" s="12">
        <f>IFERROR(__xludf.DUMMYFUNCTION("""COMPUTED_VALUE"""),43444.66666666667)</f>
        <v>43444.66667</v>
      </c>
      <c r="B819" s="13">
        <f>IFERROR(__xludf.DUMMYFUNCTION("""COMPUTED_VALUE"""),2637.72)</f>
        <v>2637.72</v>
      </c>
      <c r="C819" s="13">
        <f t="shared" si="1"/>
        <v>2635.14</v>
      </c>
      <c r="D819" s="13">
        <f t="shared" si="2"/>
        <v>2646.91</v>
      </c>
      <c r="E819" s="13" t="str">
        <f t="shared" si="3"/>
        <v/>
      </c>
      <c r="F819" s="3">
        <f t="shared" si="4"/>
        <v>0.001762194844</v>
      </c>
      <c r="G819" s="4">
        <f t="shared" si="5"/>
        <v>1.268524931</v>
      </c>
      <c r="H819" s="5">
        <f t="shared" si="6"/>
        <v>0</v>
      </c>
      <c r="I819" s="5">
        <f t="shared" si="7"/>
        <v>1.172940429</v>
      </c>
    </row>
    <row r="820">
      <c r="A820" s="12">
        <f>IFERROR(__xludf.DUMMYFUNCTION("""COMPUTED_VALUE"""),43445.66666666667)</f>
        <v>43445.66667</v>
      </c>
      <c r="B820" s="13">
        <f>IFERROR(__xludf.DUMMYFUNCTION("""COMPUTED_VALUE"""),2636.78)</f>
        <v>2636.78</v>
      </c>
      <c r="C820" s="13">
        <f t="shared" si="1"/>
        <v>2655.115</v>
      </c>
      <c r="D820" s="13">
        <f t="shared" si="2"/>
        <v>2671.175</v>
      </c>
      <c r="E820" s="13" t="str">
        <f t="shared" si="3"/>
        <v/>
      </c>
      <c r="F820" s="3">
        <f t="shared" si="4"/>
        <v>-0.0003563683788</v>
      </c>
      <c r="G820" s="4">
        <f t="shared" si="5"/>
        <v>1.268072869</v>
      </c>
      <c r="H820" s="5">
        <f t="shared" si="6"/>
        <v>0</v>
      </c>
      <c r="I820" s="5">
        <f t="shared" si="7"/>
        <v>1.172940429</v>
      </c>
    </row>
    <row r="821">
      <c r="A821" s="12">
        <f>IFERROR(__xludf.DUMMYFUNCTION("""COMPUTED_VALUE"""),43446.66666666667)</f>
        <v>43446.66667</v>
      </c>
      <c r="B821" s="13">
        <f>IFERROR(__xludf.DUMMYFUNCTION("""COMPUTED_VALUE"""),2651.07)</f>
        <v>2651.07</v>
      </c>
      <c r="C821" s="13">
        <f t="shared" si="1"/>
        <v>2666.62</v>
      </c>
      <c r="D821" s="13">
        <f t="shared" si="2"/>
        <v>2654.88</v>
      </c>
      <c r="E821" s="13" t="str">
        <f t="shared" si="3"/>
        <v>LONG</v>
      </c>
      <c r="F821" s="3">
        <f t="shared" si="4"/>
        <v>0.005419488922</v>
      </c>
      <c r="G821" s="4">
        <f t="shared" si="5"/>
        <v>1.274945175</v>
      </c>
      <c r="H821" s="3">
        <f t="shared" si="6"/>
        <v>0.005419488922</v>
      </c>
      <c r="I821" s="5">
        <f t="shared" si="7"/>
        <v>1.179297166</v>
      </c>
    </row>
    <row r="822">
      <c r="A822" s="12">
        <f>IFERROR(__xludf.DUMMYFUNCTION("""COMPUTED_VALUE"""),43447.66666666667)</f>
        <v>43447.66667</v>
      </c>
      <c r="B822" s="13">
        <f>IFERROR(__xludf.DUMMYFUNCTION("""COMPUTED_VALUE"""),2650.54)</f>
        <v>2650.54</v>
      </c>
      <c r="C822" s="13">
        <f t="shared" si="1"/>
        <v>2697.165</v>
      </c>
      <c r="D822" s="13">
        <f t="shared" si="2"/>
        <v>2645.895</v>
      </c>
      <c r="E822" s="13" t="str">
        <f t="shared" si="3"/>
        <v>LONG</v>
      </c>
      <c r="F822" s="3">
        <f t="shared" si="4"/>
        <v>-0.0001999192779</v>
      </c>
      <c r="G822" s="4">
        <f t="shared" si="5"/>
        <v>1.274690289</v>
      </c>
      <c r="H822" s="3">
        <f t="shared" si="6"/>
        <v>-0.0001999192779</v>
      </c>
      <c r="I822" s="5">
        <f t="shared" si="7"/>
        <v>1.179061402</v>
      </c>
    </row>
    <row r="823">
      <c r="A823" s="12">
        <f>IFERROR(__xludf.DUMMYFUNCTION("""COMPUTED_VALUE"""),43448.66666666667)</f>
        <v>43448.66667</v>
      </c>
      <c r="B823" s="13">
        <f>IFERROR(__xludf.DUMMYFUNCTION("""COMPUTED_VALUE"""),2599.95)</f>
        <v>2599.95</v>
      </c>
      <c r="C823" s="13">
        <f t="shared" si="1"/>
        <v>2668.855</v>
      </c>
      <c r="D823" s="13">
        <f t="shared" si="2"/>
        <v>2641.29</v>
      </c>
      <c r="E823" s="13" t="str">
        <f t="shared" si="3"/>
        <v>LONG</v>
      </c>
      <c r="F823" s="3">
        <f t="shared" si="4"/>
        <v>-0.01908667668</v>
      </c>
      <c r="G823" s="4">
        <f t="shared" si="5"/>
        <v>1.250360688</v>
      </c>
      <c r="H823" s="3">
        <f t="shared" si="6"/>
        <v>-0.01908667668</v>
      </c>
      <c r="I823" s="5">
        <f t="shared" si="7"/>
        <v>1.156557038</v>
      </c>
    </row>
    <row r="824">
      <c r="A824" s="12">
        <f>IFERROR(__xludf.DUMMYFUNCTION("""COMPUTED_VALUE"""),43451.66666666667)</f>
        <v>43451.66667</v>
      </c>
      <c r="B824" s="13">
        <f>IFERROR(__xludf.DUMMYFUNCTION("""COMPUTED_VALUE"""),2545.94)</f>
        <v>2545.94</v>
      </c>
      <c r="C824" s="13">
        <f t="shared" si="1"/>
        <v>2653.055</v>
      </c>
      <c r="D824" s="13">
        <f t="shared" si="2"/>
        <v>2628.84</v>
      </c>
      <c r="E824" s="13" t="str">
        <f t="shared" si="3"/>
        <v>LONG</v>
      </c>
      <c r="F824" s="3">
        <f t="shared" si="4"/>
        <v>-0.02077347641</v>
      </c>
      <c r="G824" s="4">
        <f t="shared" si="5"/>
        <v>1.22438635</v>
      </c>
      <c r="H824" s="3">
        <f t="shared" si="6"/>
        <v>-0.02077347641</v>
      </c>
      <c r="I824" s="5">
        <f t="shared" si="7"/>
        <v>1.132531328</v>
      </c>
    </row>
    <row r="825">
      <c r="A825" s="12">
        <f>IFERROR(__xludf.DUMMYFUNCTION("""COMPUTED_VALUE"""),43452.66666666667)</f>
        <v>43452.66667</v>
      </c>
      <c r="B825" s="13">
        <f>IFERROR(__xludf.DUMMYFUNCTION("""COMPUTED_VALUE"""),2546.16)</f>
        <v>2546.16</v>
      </c>
      <c r="C825" s="13">
        <f t="shared" si="1"/>
        <v>2668.265</v>
      </c>
      <c r="D825" s="13">
        <f t="shared" si="2"/>
        <v>2643.265</v>
      </c>
      <c r="E825" s="13" t="str">
        <f t="shared" si="3"/>
        <v>LONG</v>
      </c>
      <c r="F825" s="3">
        <f t="shared" si="4"/>
        <v>0.00008641209141</v>
      </c>
      <c r="G825" s="4">
        <f t="shared" si="5"/>
        <v>1.224492151</v>
      </c>
      <c r="H825" s="3">
        <f t="shared" si="6"/>
        <v>0.00008641209141</v>
      </c>
      <c r="I825" s="5">
        <f t="shared" si="7"/>
        <v>1.132629192</v>
      </c>
    </row>
    <row r="826">
      <c r="A826" s="12">
        <f>IFERROR(__xludf.DUMMYFUNCTION("""COMPUTED_VALUE"""),43453.66666666667)</f>
        <v>43453.66667</v>
      </c>
      <c r="B826" s="13">
        <f>IFERROR(__xludf.DUMMYFUNCTION("""COMPUTED_VALUE"""),2506.96)</f>
        <v>2506.96</v>
      </c>
      <c r="C826" s="13">
        <f t="shared" si="1"/>
        <v>2603.51</v>
      </c>
      <c r="D826" s="13">
        <f t="shared" si="2"/>
        <v>2615.01</v>
      </c>
      <c r="E826" s="13" t="str">
        <f t="shared" si="3"/>
        <v/>
      </c>
      <c r="F826" s="3">
        <f t="shared" si="4"/>
        <v>-0.01539573318</v>
      </c>
      <c r="G826" s="4">
        <f t="shared" si="5"/>
        <v>1.205640197</v>
      </c>
      <c r="H826" s="5">
        <f t="shared" si="6"/>
        <v>0</v>
      </c>
      <c r="I826" s="5">
        <f t="shared" si="7"/>
        <v>1.132629192</v>
      </c>
    </row>
    <row r="827">
      <c r="A827" s="12">
        <f>IFERROR(__xludf.DUMMYFUNCTION("""COMPUTED_VALUE"""),43454.66666666667)</f>
        <v>43454.66667</v>
      </c>
      <c r="B827" s="13">
        <f>IFERROR(__xludf.DUMMYFUNCTION("""COMPUTED_VALUE"""),2467.42)</f>
        <v>2467.42</v>
      </c>
      <c r="C827" s="13">
        <f t="shared" si="1"/>
        <v>2581.685</v>
      </c>
      <c r="D827" s="13">
        <f t="shared" si="2"/>
        <v>2602.865</v>
      </c>
      <c r="E827" s="13" t="str">
        <f t="shared" si="3"/>
        <v/>
      </c>
      <c r="F827" s="3">
        <f t="shared" si="4"/>
        <v>-0.0157720905</v>
      </c>
      <c r="G827" s="4">
        <f t="shared" si="5"/>
        <v>1.186624731</v>
      </c>
      <c r="H827" s="5">
        <f t="shared" si="6"/>
        <v>0</v>
      </c>
      <c r="I827" s="5">
        <f t="shared" si="7"/>
        <v>1.132629192</v>
      </c>
    </row>
    <row r="828">
      <c r="A828" s="12">
        <f>IFERROR(__xludf.DUMMYFUNCTION("""COMPUTED_VALUE"""),43455.66666666667)</f>
        <v>43455.66667</v>
      </c>
      <c r="B828" s="13">
        <f>IFERROR(__xludf.DUMMYFUNCTION("""COMPUTED_VALUE"""),2416.62)</f>
        <v>2416.62</v>
      </c>
      <c r="C828" s="13">
        <f t="shared" si="1"/>
        <v>2524.85</v>
      </c>
      <c r="D828" s="13">
        <f t="shared" si="2"/>
        <v>2586.035</v>
      </c>
      <c r="E828" s="13" t="str">
        <f t="shared" si="3"/>
        <v/>
      </c>
      <c r="F828" s="3">
        <f t="shared" si="4"/>
        <v>-0.02058830681</v>
      </c>
      <c r="G828" s="4">
        <f t="shared" si="5"/>
        <v>1.162194137</v>
      </c>
      <c r="H828" s="5">
        <f t="shared" si="6"/>
        <v>0</v>
      </c>
      <c r="I828" s="5">
        <f t="shared" si="7"/>
        <v>1.132629192</v>
      </c>
    </row>
    <row r="829">
      <c r="A829" s="12">
        <f>IFERROR(__xludf.DUMMYFUNCTION("""COMPUTED_VALUE"""),43458.54166666667)</f>
        <v>43458.54167</v>
      </c>
      <c r="B829" s="13">
        <f>IFERROR(__xludf.DUMMYFUNCTION("""COMPUTED_VALUE"""),2351.1)</f>
        <v>2351.1</v>
      </c>
      <c r="C829" s="13">
        <f t="shared" si="1"/>
        <v>2494.41</v>
      </c>
      <c r="D829" s="13">
        <f t="shared" si="2"/>
        <v>2582.495</v>
      </c>
      <c r="E829" s="13" t="str">
        <f t="shared" si="3"/>
        <v/>
      </c>
      <c r="F829" s="3">
        <f t="shared" si="4"/>
        <v>-0.02711224768</v>
      </c>
      <c r="G829" s="4">
        <f t="shared" si="5"/>
        <v>1.130684441</v>
      </c>
      <c r="H829" s="5">
        <f t="shared" si="6"/>
        <v>0</v>
      </c>
      <c r="I829" s="5">
        <f t="shared" si="7"/>
        <v>1.132629192</v>
      </c>
    </row>
    <row r="830">
      <c r="A830" s="12">
        <f>IFERROR(__xludf.DUMMYFUNCTION("""COMPUTED_VALUE"""),43460.66666666667)</f>
        <v>43460.66667</v>
      </c>
      <c r="B830" s="13">
        <f>IFERROR(__xludf.DUMMYFUNCTION("""COMPUTED_VALUE"""),2467.7)</f>
        <v>2467.7</v>
      </c>
      <c r="C830" s="13">
        <f t="shared" si="1"/>
        <v>2552.24</v>
      </c>
      <c r="D830" s="13">
        <f t="shared" si="2"/>
        <v>2637.265</v>
      </c>
      <c r="E830" s="13" t="str">
        <f t="shared" si="3"/>
        <v/>
      </c>
      <c r="F830" s="3">
        <f t="shared" si="4"/>
        <v>0.04959380715</v>
      </c>
      <c r="G830" s="4">
        <f t="shared" si="5"/>
        <v>1.186759388</v>
      </c>
      <c r="H830" s="5">
        <f t="shared" si="6"/>
        <v>0</v>
      </c>
      <c r="I830" s="5">
        <f t="shared" si="7"/>
        <v>1.132629192</v>
      </c>
    </row>
    <row r="831">
      <c r="A831" s="12">
        <f>IFERROR(__xludf.DUMMYFUNCTION("""COMPUTED_VALUE"""),43461.66666666667)</f>
        <v>43461.66667</v>
      </c>
      <c r="B831" s="13">
        <f>IFERROR(__xludf.DUMMYFUNCTION("""COMPUTED_VALUE"""),2488.83)</f>
        <v>2488.83</v>
      </c>
      <c r="C831" s="13">
        <f t="shared" si="1"/>
        <v>2569.95</v>
      </c>
      <c r="D831" s="13">
        <f t="shared" si="2"/>
        <v>2634.92</v>
      </c>
      <c r="E831" s="13" t="str">
        <f t="shared" si="3"/>
        <v/>
      </c>
      <c r="F831" s="3">
        <f t="shared" si="4"/>
        <v>0.008562629169</v>
      </c>
      <c r="G831" s="4">
        <f t="shared" si="5"/>
        <v>1.196921168</v>
      </c>
      <c r="H831" s="5">
        <f t="shared" si="6"/>
        <v>0</v>
      </c>
      <c r="I831" s="5">
        <f t="shared" si="7"/>
        <v>1.132629192</v>
      </c>
    </row>
    <row r="832">
      <c r="A832" s="12">
        <f>IFERROR(__xludf.DUMMYFUNCTION("""COMPUTED_VALUE"""),43462.66666666667)</f>
        <v>43462.66667</v>
      </c>
      <c r="B832" s="13">
        <f>IFERROR(__xludf.DUMMYFUNCTION("""COMPUTED_VALUE"""),2485.74)</f>
        <v>2485.74</v>
      </c>
      <c r="C832" s="13">
        <f t="shared" si="1"/>
        <v>2568.14</v>
      </c>
      <c r="D832" s="13">
        <f t="shared" si="2"/>
        <v>2605.98</v>
      </c>
      <c r="E832" s="13" t="str">
        <f t="shared" si="3"/>
        <v/>
      </c>
      <c r="F832" s="3">
        <f t="shared" si="4"/>
        <v>-0.001241547233</v>
      </c>
      <c r="G832" s="4">
        <f t="shared" si="5"/>
        <v>1.195435134</v>
      </c>
      <c r="H832" s="5">
        <f t="shared" si="6"/>
        <v>0</v>
      </c>
      <c r="I832" s="5">
        <f t="shared" si="7"/>
        <v>1.132629192</v>
      </c>
    </row>
    <row r="833">
      <c r="A833" s="12">
        <f>IFERROR(__xludf.DUMMYFUNCTION("""COMPUTED_VALUE"""),43465.66666666667)</f>
        <v>43465.66667</v>
      </c>
      <c r="B833" s="13">
        <f>IFERROR(__xludf.DUMMYFUNCTION("""COMPUTED_VALUE"""),2506.85)</f>
        <v>2506.85</v>
      </c>
      <c r="C833" s="13">
        <f t="shared" si="1"/>
        <v>2553.4</v>
      </c>
      <c r="D833" s="13">
        <f t="shared" si="2"/>
        <v>2614.515</v>
      </c>
      <c r="E833" s="13" t="str">
        <f t="shared" si="3"/>
        <v/>
      </c>
      <c r="F833" s="3">
        <f t="shared" si="4"/>
        <v>0.008492440883</v>
      </c>
      <c r="G833" s="4">
        <f t="shared" si="5"/>
        <v>1.205587296</v>
      </c>
      <c r="H833" s="5">
        <f t="shared" si="6"/>
        <v>0</v>
      </c>
      <c r="I833" s="5">
        <f t="shared" si="7"/>
        <v>1.132629192</v>
      </c>
    </row>
    <row r="834">
      <c r="A834" s="12">
        <f>IFERROR(__xludf.DUMMYFUNCTION("""COMPUTED_VALUE"""),43467.66666666667)</f>
        <v>43467.66667</v>
      </c>
      <c r="B834" s="13">
        <f>IFERROR(__xludf.DUMMYFUNCTION("""COMPUTED_VALUE"""),2510.03)</f>
        <v>2510.03</v>
      </c>
      <c r="C834" s="13">
        <f t="shared" si="1"/>
        <v>2527.985</v>
      </c>
      <c r="D834" s="13">
        <f t="shared" si="2"/>
        <v>2605.805</v>
      </c>
      <c r="E834" s="13" t="str">
        <f t="shared" si="3"/>
        <v/>
      </c>
      <c r="F834" s="3">
        <f t="shared" si="4"/>
        <v>0.001268524244</v>
      </c>
      <c r="G834" s="4">
        <f t="shared" si="5"/>
        <v>1.207116613</v>
      </c>
      <c r="H834" s="5">
        <f t="shared" si="6"/>
        <v>0</v>
      </c>
      <c r="I834" s="5">
        <f t="shared" si="7"/>
        <v>1.132629192</v>
      </c>
    </row>
    <row r="835">
      <c r="A835" s="12">
        <f>IFERROR(__xludf.DUMMYFUNCTION("""COMPUTED_VALUE"""),43468.66666666667)</f>
        <v>43468.66667</v>
      </c>
      <c r="B835" s="13">
        <f>IFERROR(__xludf.DUMMYFUNCTION("""COMPUTED_VALUE"""),2447.89)</f>
        <v>2447.89</v>
      </c>
      <c r="C835" s="13">
        <f t="shared" si="1"/>
        <v>2497.025</v>
      </c>
      <c r="D835" s="13">
        <f t="shared" si="2"/>
        <v>2589.045</v>
      </c>
      <c r="E835" s="13" t="str">
        <f t="shared" si="3"/>
        <v/>
      </c>
      <c r="F835" s="3">
        <f t="shared" si="4"/>
        <v>-0.02475667622</v>
      </c>
      <c r="G835" s="4">
        <f t="shared" si="5"/>
        <v>1.177232418</v>
      </c>
      <c r="H835" s="5">
        <f t="shared" si="6"/>
        <v>0</v>
      </c>
      <c r="I835" s="5">
        <f t="shared" si="7"/>
        <v>1.132629192</v>
      </c>
    </row>
    <row r="836">
      <c r="A836" s="12">
        <f>IFERROR(__xludf.DUMMYFUNCTION("""COMPUTED_VALUE"""),43469.66666666667)</f>
        <v>43469.66667</v>
      </c>
      <c r="B836" s="13">
        <f>IFERROR(__xludf.DUMMYFUNCTION("""COMPUTED_VALUE"""),2531.94)</f>
        <v>2531.94</v>
      </c>
      <c r="C836" s="13">
        <f t="shared" si="1"/>
        <v>2519.45</v>
      </c>
      <c r="D836" s="13">
        <f t="shared" si="2"/>
        <v>2634.105</v>
      </c>
      <c r="E836" s="13" t="str">
        <f t="shared" si="3"/>
        <v/>
      </c>
      <c r="F836" s="3">
        <f t="shared" si="4"/>
        <v>0.03433569319</v>
      </c>
      <c r="G836" s="4">
        <f t="shared" si="5"/>
        <v>1.217653509</v>
      </c>
      <c r="H836" s="5">
        <f t="shared" si="6"/>
        <v>0</v>
      </c>
      <c r="I836" s="5">
        <f t="shared" si="7"/>
        <v>1.132629192</v>
      </c>
    </row>
    <row r="837">
      <c r="A837" s="12">
        <f>IFERROR(__xludf.DUMMYFUNCTION("""COMPUTED_VALUE"""),43472.66666666667)</f>
        <v>43472.66667</v>
      </c>
      <c r="B837" s="13">
        <f>IFERROR(__xludf.DUMMYFUNCTION("""COMPUTED_VALUE"""),2549.69)</f>
        <v>2549.69</v>
      </c>
      <c r="C837" s="13">
        <f t="shared" si="1"/>
        <v>2508.555</v>
      </c>
      <c r="D837" s="13">
        <f t="shared" si="2"/>
        <v>2620.21</v>
      </c>
      <c r="E837" s="13" t="str">
        <f t="shared" si="3"/>
        <v/>
      </c>
      <c r="F837" s="3">
        <f t="shared" si="4"/>
        <v>0.007010434686</v>
      </c>
      <c r="G837" s="4">
        <f t="shared" si="5"/>
        <v>1.226189789</v>
      </c>
      <c r="H837" s="5">
        <f t="shared" si="6"/>
        <v>0</v>
      </c>
      <c r="I837" s="5">
        <f t="shared" si="7"/>
        <v>1.132629192</v>
      </c>
    </row>
    <row r="838">
      <c r="A838" s="12">
        <f>IFERROR(__xludf.DUMMYFUNCTION("""COMPUTED_VALUE"""),43473.66666666667)</f>
        <v>43473.66667</v>
      </c>
      <c r="B838" s="13">
        <f>IFERROR(__xludf.DUMMYFUNCTION("""COMPUTED_VALUE"""),2574.41)</f>
        <v>2574.41</v>
      </c>
      <c r="C838" s="13">
        <f t="shared" si="1"/>
        <v>2495.515</v>
      </c>
      <c r="D838" s="13">
        <f t="shared" si="2"/>
        <v>2608.15</v>
      </c>
      <c r="E838" s="13" t="str">
        <f t="shared" si="3"/>
        <v/>
      </c>
      <c r="F838" s="3">
        <f t="shared" si="4"/>
        <v>0.009695296291</v>
      </c>
      <c r="G838" s="4">
        <f t="shared" si="5"/>
        <v>1.238078062</v>
      </c>
      <c r="H838" s="5">
        <f t="shared" si="6"/>
        <v>0</v>
      </c>
      <c r="I838" s="5">
        <f t="shared" si="7"/>
        <v>1.132629192</v>
      </c>
    </row>
    <row r="839">
      <c r="A839" s="12">
        <f>IFERROR(__xludf.DUMMYFUNCTION("""COMPUTED_VALUE"""),43474.66666666667)</f>
        <v>43474.66667</v>
      </c>
      <c r="B839" s="13">
        <f>IFERROR(__xludf.DUMMYFUNCTION("""COMPUTED_VALUE"""),2584.96)</f>
        <v>2584.96</v>
      </c>
      <c r="C839" s="13">
        <f t="shared" si="1"/>
        <v>2468.03</v>
      </c>
      <c r="D839" s="13">
        <f t="shared" si="2"/>
        <v>2617.445</v>
      </c>
      <c r="E839" s="13" t="str">
        <f t="shared" si="3"/>
        <v/>
      </c>
      <c r="F839" s="3">
        <f t="shared" si="4"/>
        <v>0.004098026344</v>
      </c>
      <c r="G839" s="4">
        <f t="shared" si="5"/>
        <v>1.243151739</v>
      </c>
      <c r="H839" s="5">
        <f t="shared" si="6"/>
        <v>0</v>
      </c>
      <c r="I839" s="5">
        <f t="shared" si="7"/>
        <v>1.132629192</v>
      </c>
    </row>
    <row r="840">
      <c r="A840" s="12">
        <f>IFERROR(__xludf.DUMMYFUNCTION("""COMPUTED_VALUE"""),43475.66666666667)</f>
        <v>43475.66667</v>
      </c>
      <c r="B840" s="13">
        <f>IFERROR(__xludf.DUMMYFUNCTION("""COMPUTED_VALUE"""),2596.64)</f>
        <v>2596.64</v>
      </c>
      <c r="C840" s="13">
        <f t="shared" si="1"/>
        <v>2532.17</v>
      </c>
      <c r="D840" s="13">
        <f t="shared" si="2"/>
        <v>2614.6</v>
      </c>
      <c r="E840" s="13" t="str">
        <f t="shared" si="3"/>
        <v/>
      </c>
      <c r="F840" s="3">
        <f t="shared" si="4"/>
        <v>0.00451844516</v>
      </c>
      <c r="G840" s="4">
        <f t="shared" si="5"/>
        <v>1.248768852</v>
      </c>
      <c r="H840" s="5">
        <f t="shared" si="6"/>
        <v>0</v>
      </c>
      <c r="I840" s="5">
        <f t="shared" si="7"/>
        <v>1.132629192</v>
      </c>
    </row>
    <row r="841">
      <c r="A841" s="12">
        <f>IFERROR(__xludf.DUMMYFUNCTION("""COMPUTED_VALUE"""),43476.66666666667)</f>
        <v>43476.66667</v>
      </c>
      <c r="B841" s="13">
        <f>IFERROR(__xludf.DUMMYFUNCTION("""COMPUTED_VALUE"""),2596.26)</f>
        <v>2596.26</v>
      </c>
      <c r="C841" s="13">
        <f t="shared" si="1"/>
        <v>2542.545</v>
      </c>
      <c r="D841" s="13">
        <f t="shared" si="2"/>
        <v>2634.855</v>
      </c>
      <c r="E841" s="13" t="str">
        <f t="shared" si="3"/>
        <v/>
      </c>
      <c r="F841" s="3">
        <f t="shared" si="4"/>
        <v>-0.0001463429663</v>
      </c>
      <c r="G841" s="4">
        <f t="shared" si="5"/>
        <v>1.248586103</v>
      </c>
      <c r="H841" s="5">
        <f t="shared" si="6"/>
        <v>0</v>
      </c>
      <c r="I841" s="5">
        <f t="shared" si="7"/>
        <v>1.132629192</v>
      </c>
    </row>
    <row r="842">
      <c r="A842" s="12">
        <f>IFERROR(__xludf.DUMMYFUNCTION("""COMPUTED_VALUE"""),43479.66666666667)</f>
        <v>43479.66667</v>
      </c>
      <c r="B842" s="13">
        <f>IFERROR(__xludf.DUMMYFUNCTION("""COMPUTED_VALUE"""),2582.61)</f>
        <v>2582.61</v>
      </c>
      <c r="C842" s="13">
        <f t="shared" si="1"/>
        <v>2534.175</v>
      </c>
      <c r="D842" s="13">
        <f t="shared" si="2"/>
        <v>2632.39</v>
      </c>
      <c r="E842" s="13" t="str">
        <f t="shared" si="3"/>
        <v/>
      </c>
      <c r="F842" s="3">
        <f t="shared" si="4"/>
        <v>-0.005257562802</v>
      </c>
      <c r="G842" s="4">
        <f t="shared" si="5"/>
        <v>1.242021584</v>
      </c>
      <c r="H842" s="5">
        <f t="shared" si="6"/>
        <v>0</v>
      </c>
      <c r="I842" s="5">
        <f t="shared" si="7"/>
        <v>1.132629192</v>
      </c>
    </row>
    <row r="843">
      <c r="A843" s="12">
        <f>IFERROR(__xludf.DUMMYFUNCTION("""COMPUTED_VALUE"""),43480.66666666667)</f>
        <v>43480.66667</v>
      </c>
      <c r="B843" s="13">
        <f>IFERROR(__xludf.DUMMYFUNCTION("""COMPUTED_VALUE"""),2610.3)</f>
        <v>2610.3</v>
      </c>
      <c r="C843" s="13">
        <f t="shared" si="1"/>
        <v>2558.575</v>
      </c>
      <c r="D843" s="13">
        <f t="shared" si="2"/>
        <v>2677.045</v>
      </c>
      <c r="E843" s="13" t="str">
        <f t="shared" si="3"/>
        <v/>
      </c>
      <c r="F843" s="3">
        <f t="shared" si="4"/>
        <v>0.01072171176</v>
      </c>
      <c r="G843" s="4">
        <f t="shared" si="5"/>
        <v>1.255338181</v>
      </c>
      <c r="H843" s="5">
        <f t="shared" si="6"/>
        <v>0</v>
      </c>
      <c r="I843" s="5">
        <f t="shared" si="7"/>
        <v>1.132629192</v>
      </c>
    </row>
    <row r="844">
      <c r="A844" s="12">
        <f>IFERROR(__xludf.DUMMYFUNCTION("""COMPUTED_VALUE"""),43481.66666666667)</f>
        <v>43481.66667</v>
      </c>
      <c r="B844" s="13">
        <f>IFERROR(__xludf.DUMMYFUNCTION("""COMPUTED_VALUE"""),2616.1)</f>
        <v>2616.1</v>
      </c>
      <c r="C844" s="13">
        <f t="shared" si="1"/>
        <v>2563.065</v>
      </c>
      <c r="D844" s="13">
        <f t="shared" si="2"/>
        <v>2676.93</v>
      </c>
      <c r="E844" s="13" t="str">
        <f t="shared" si="3"/>
        <v/>
      </c>
      <c r="F844" s="3">
        <f t="shared" si="4"/>
        <v>0.002221966824</v>
      </c>
      <c r="G844" s="4">
        <f t="shared" si="5"/>
        <v>1.258127501</v>
      </c>
      <c r="H844" s="5">
        <f t="shared" si="6"/>
        <v>0</v>
      </c>
      <c r="I844" s="5">
        <f t="shared" si="7"/>
        <v>1.132629192</v>
      </c>
    </row>
    <row r="845">
      <c r="A845" s="12">
        <f>IFERROR(__xludf.DUMMYFUNCTION("""COMPUTED_VALUE"""),43482.66666666667)</f>
        <v>43482.66667</v>
      </c>
      <c r="B845" s="13">
        <f>IFERROR(__xludf.DUMMYFUNCTION("""COMPUTED_VALUE"""),2635.96)</f>
        <v>2635.96</v>
      </c>
      <c r="C845" s="13">
        <f t="shared" si="1"/>
        <v>2541.925</v>
      </c>
      <c r="D845" s="13">
        <f t="shared" si="2"/>
        <v>2698.065</v>
      </c>
      <c r="E845" s="13" t="str">
        <f t="shared" si="3"/>
        <v/>
      </c>
      <c r="F845" s="3">
        <f t="shared" si="4"/>
        <v>0.007591452926</v>
      </c>
      <c r="G845" s="4">
        <f t="shared" si="5"/>
        <v>1.267678516</v>
      </c>
      <c r="H845" s="5">
        <f t="shared" si="6"/>
        <v>0</v>
      </c>
      <c r="I845" s="5">
        <f t="shared" si="7"/>
        <v>1.132629192</v>
      </c>
    </row>
    <row r="846">
      <c r="A846" s="12">
        <f>IFERROR(__xludf.DUMMYFUNCTION("""COMPUTED_VALUE"""),43483.66666666667)</f>
        <v>43483.66667</v>
      </c>
      <c r="B846" s="13">
        <f>IFERROR(__xludf.DUMMYFUNCTION("""COMPUTED_VALUE"""),2670.71)</f>
        <v>2670.71</v>
      </c>
      <c r="C846" s="13">
        <f t="shared" si="1"/>
        <v>2601.325</v>
      </c>
      <c r="D846" s="13">
        <f t="shared" si="2"/>
        <v>2730.54</v>
      </c>
      <c r="E846" s="13" t="str">
        <f t="shared" si="3"/>
        <v/>
      </c>
      <c r="F846" s="3">
        <f t="shared" si="4"/>
        <v>0.01318305285</v>
      </c>
      <c r="G846" s="4">
        <f t="shared" si="5"/>
        <v>1.284390389</v>
      </c>
      <c r="H846" s="5">
        <f t="shared" si="6"/>
        <v>0</v>
      </c>
      <c r="I846" s="5">
        <f t="shared" si="7"/>
        <v>1.132629192</v>
      </c>
    </row>
    <row r="847">
      <c r="A847" s="12">
        <f>IFERROR(__xludf.DUMMYFUNCTION("""COMPUTED_VALUE"""),43487.66666666667)</f>
        <v>43487.66667</v>
      </c>
      <c r="B847" s="13">
        <f>IFERROR(__xludf.DUMMYFUNCTION("""COMPUTED_VALUE"""),2632.9)</f>
        <v>2632.9</v>
      </c>
      <c r="C847" s="13">
        <f t="shared" si="1"/>
        <v>2591.295</v>
      </c>
      <c r="D847" s="13">
        <f t="shared" si="2"/>
        <v>2666.48</v>
      </c>
      <c r="E847" s="13" t="str">
        <f t="shared" si="3"/>
        <v/>
      </c>
      <c r="F847" s="3">
        <f t="shared" si="4"/>
        <v>-0.01415728402</v>
      </c>
      <c r="G847" s="4">
        <f t="shared" si="5"/>
        <v>1.26620691</v>
      </c>
      <c r="H847" s="5">
        <f t="shared" si="6"/>
        <v>0</v>
      </c>
      <c r="I847" s="5">
        <f t="shared" si="7"/>
        <v>1.132629192</v>
      </c>
    </row>
    <row r="848">
      <c r="A848" s="12">
        <f>IFERROR(__xludf.DUMMYFUNCTION("""COMPUTED_VALUE"""),43488.66666666667)</f>
        <v>43488.66667</v>
      </c>
      <c r="B848" s="13">
        <f>IFERROR(__xludf.DUMMYFUNCTION("""COMPUTED_VALUE"""),2638.7)</f>
        <v>2638.7</v>
      </c>
      <c r="C848" s="13">
        <f t="shared" si="1"/>
        <v>2606.555</v>
      </c>
      <c r="D848" s="13">
        <f t="shared" si="2"/>
        <v>2667.325</v>
      </c>
      <c r="E848" s="13" t="str">
        <f t="shared" si="3"/>
        <v/>
      </c>
      <c r="F848" s="3">
        <f t="shared" si="4"/>
        <v>0.002202894147</v>
      </c>
      <c r="G848" s="4">
        <f t="shared" si="5"/>
        <v>1.26899623</v>
      </c>
      <c r="H848" s="5">
        <f t="shared" si="6"/>
        <v>0</v>
      </c>
      <c r="I848" s="5">
        <f t="shared" si="7"/>
        <v>1.132629192</v>
      </c>
    </row>
    <row r="849">
      <c r="A849" s="12">
        <f>IFERROR(__xludf.DUMMYFUNCTION("""COMPUTED_VALUE"""),43489.66666666667)</f>
        <v>43489.66667</v>
      </c>
      <c r="B849" s="13">
        <f>IFERROR(__xludf.DUMMYFUNCTION("""COMPUTED_VALUE"""),2642.33)</f>
        <v>2642.33</v>
      </c>
      <c r="C849" s="13">
        <f t="shared" si="1"/>
        <v>2613.645</v>
      </c>
      <c r="D849" s="13">
        <f t="shared" si="2"/>
        <v>2637.705</v>
      </c>
      <c r="E849" s="13" t="str">
        <f t="shared" si="3"/>
        <v/>
      </c>
      <c r="F849" s="3">
        <f t="shared" si="4"/>
        <v>0.001375677417</v>
      </c>
      <c r="G849" s="4">
        <f t="shared" si="5"/>
        <v>1.270741959</v>
      </c>
      <c r="H849" s="5">
        <f t="shared" si="6"/>
        <v>0</v>
      </c>
      <c r="I849" s="5">
        <f t="shared" si="7"/>
        <v>1.132629192</v>
      </c>
    </row>
    <row r="850">
      <c r="A850" s="12">
        <f>IFERROR(__xludf.DUMMYFUNCTION("""COMPUTED_VALUE"""),43490.66666666667)</f>
        <v>43490.66667</v>
      </c>
      <c r="B850" s="13">
        <f>IFERROR(__xludf.DUMMYFUNCTION("""COMPUTED_VALUE"""),2664.76)</f>
        <v>2664.76</v>
      </c>
      <c r="C850" s="13">
        <f t="shared" si="1"/>
        <v>2630.7</v>
      </c>
      <c r="D850" s="13">
        <f t="shared" si="2"/>
        <v>2651.24</v>
      </c>
      <c r="E850" s="13" t="str">
        <f t="shared" si="3"/>
        <v/>
      </c>
      <c r="F850" s="3">
        <f t="shared" si="4"/>
        <v>0.008488720183</v>
      </c>
      <c r="G850" s="4">
        <f t="shared" si="5"/>
        <v>1.281528932</v>
      </c>
      <c r="H850" s="5">
        <f t="shared" si="6"/>
        <v>0</v>
      </c>
      <c r="I850" s="5">
        <f t="shared" si="7"/>
        <v>1.132629192</v>
      </c>
    </row>
    <row r="851">
      <c r="A851" s="12">
        <f>IFERROR(__xludf.DUMMYFUNCTION("""COMPUTED_VALUE"""),43493.66666666667)</f>
        <v>43493.66667</v>
      </c>
      <c r="B851" s="13">
        <f>IFERROR(__xludf.DUMMYFUNCTION("""COMPUTED_VALUE"""),2643.85)</f>
        <v>2643.85</v>
      </c>
      <c r="C851" s="13">
        <f t="shared" si="1"/>
        <v>2620.055</v>
      </c>
      <c r="D851" s="13">
        <f t="shared" si="2"/>
        <v>2640.315</v>
      </c>
      <c r="E851" s="13" t="str">
        <f t="shared" si="3"/>
        <v/>
      </c>
      <c r="F851" s="3">
        <f t="shared" si="4"/>
        <v>-0.007846860505</v>
      </c>
      <c r="G851" s="4">
        <f t="shared" si="5"/>
        <v>1.271472953</v>
      </c>
      <c r="H851" s="5">
        <f t="shared" si="6"/>
        <v>0</v>
      </c>
      <c r="I851" s="5">
        <f t="shared" si="7"/>
        <v>1.132629192</v>
      </c>
    </row>
    <row r="852">
      <c r="A852" s="12">
        <f>IFERROR(__xludf.DUMMYFUNCTION("""COMPUTED_VALUE"""),43494.66666666667)</f>
        <v>43494.66667</v>
      </c>
      <c r="B852" s="13">
        <f>IFERROR(__xludf.DUMMYFUNCTION("""COMPUTED_VALUE"""),2640.0)</f>
        <v>2640</v>
      </c>
      <c r="C852" s="13">
        <f t="shared" si="1"/>
        <v>2611.305</v>
      </c>
      <c r="D852" s="13">
        <f t="shared" si="2"/>
        <v>2645.535</v>
      </c>
      <c r="E852" s="13" t="str">
        <f t="shared" si="3"/>
        <v/>
      </c>
      <c r="F852" s="3">
        <f t="shared" si="4"/>
        <v>-0.001456209694</v>
      </c>
      <c r="G852" s="4">
        <f t="shared" si="5"/>
        <v>1.269621422</v>
      </c>
      <c r="H852" s="5">
        <f t="shared" si="6"/>
        <v>0</v>
      </c>
      <c r="I852" s="5">
        <f t="shared" si="7"/>
        <v>1.132629192</v>
      </c>
    </row>
    <row r="853">
      <c r="A853" s="12">
        <f>IFERROR(__xludf.DUMMYFUNCTION("""COMPUTED_VALUE"""),43495.66666666667)</f>
        <v>43495.66667</v>
      </c>
      <c r="B853" s="13">
        <f>IFERROR(__xludf.DUMMYFUNCTION("""COMPUTED_VALUE"""),2681.05)</f>
        <v>2681.05</v>
      </c>
      <c r="C853" s="13">
        <f t="shared" si="1"/>
        <v>2645.675</v>
      </c>
      <c r="D853" s="13">
        <f t="shared" si="2"/>
        <v>2665.795</v>
      </c>
      <c r="E853" s="13" t="str">
        <f t="shared" si="3"/>
        <v/>
      </c>
      <c r="F853" s="3">
        <f t="shared" si="4"/>
        <v>0.01554924242</v>
      </c>
      <c r="G853" s="4">
        <f t="shared" si="5"/>
        <v>1.289363073</v>
      </c>
      <c r="H853" s="5">
        <f t="shared" si="6"/>
        <v>0</v>
      </c>
      <c r="I853" s="5">
        <f t="shared" si="7"/>
        <v>1.132629192</v>
      </c>
    </row>
    <row r="854">
      <c r="A854" s="12">
        <f>IFERROR(__xludf.DUMMYFUNCTION("""COMPUTED_VALUE"""),43496.66666666667)</f>
        <v>43496.66667</v>
      </c>
      <c r="B854" s="13">
        <f>IFERROR(__xludf.DUMMYFUNCTION("""COMPUTED_VALUE"""),2704.1)</f>
        <v>2704.1</v>
      </c>
      <c r="C854" s="13">
        <f t="shared" si="1"/>
        <v>2660.1</v>
      </c>
      <c r="D854" s="13">
        <f t="shared" si="2"/>
        <v>2652.025</v>
      </c>
      <c r="E854" s="13" t="str">
        <f t="shared" si="3"/>
        <v>LONG</v>
      </c>
      <c r="F854" s="3">
        <f t="shared" si="4"/>
        <v>0.008597377893</v>
      </c>
      <c r="G854" s="4">
        <f t="shared" si="5"/>
        <v>1.300448215</v>
      </c>
      <c r="H854" s="3">
        <f t="shared" si="6"/>
        <v>0.008597377893</v>
      </c>
      <c r="I854" s="5">
        <f t="shared" si="7"/>
        <v>1.142366834</v>
      </c>
    </row>
    <row r="855">
      <c r="A855" s="12">
        <f>IFERROR(__xludf.DUMMYFUNCTION("""COMPUTED_VALUE"""),43497.66666666667)</f>
        <v>43497.66667</v>
      </c>
      <c r="B855" s="13">
        <f>IFERROR(__xludf.DUMMYFUNCTION("""COMPUTED_VALUE"""),2706.53)</f>
        <v>2706.53</v>
      </c>
      <c r="C855" s="13">
        <f t="shared" si="1"/>
        <v>2671.245</v>
      </c>
      <c r="D855" s="13">
        <f t="shared" si="2"/>
        <v>2626.235</v>
      </c>
      <c r="E855" s="13" t="str">
        <f t="shared" si="3"/>
        <v>LONG</v>
      </c>
      <c r="F855" s="3">
        <f t="shared" si="4"/>
        <v>0.0008986354055</v>
      </c>
      <c r="G855" s="4">
        <f t="shared" si="5"/>
        <v>1.301616844</v>
      </c>
      <c r="H855" s="3">
        <f t="shared" si="6"/>
        <v>0.0008986354055</v>
      </c>
      <c r="I855" s="5">
        <f t="shared" si="7"/>
        <v>1.143393405</v>
      </c>
    </row>
    <row r="856">
      <c r="A856" s="12">
        <f>IFERROR(__xludf.DUMMYFUNCTION("""COMPUTED_VALUE"""),43500.66666666667)</f>
        <v>43500.66667</v>
      </c>
      <c r="B856" s="13">
        <f>IFERROR(__xludf.DUMMYFUNCTION("""COMPUTED_VALUE"""),2724.87)</f>
        <v>2724.87</v>
      </c>
      <c r="C856" s="13">
        <f t="shared" si="1"/>
        <v>2697.79</v>
      </c>
      <c r="D856" s="13">
        <f t="shared" si="2"/>
        <v>2635.515</v>
      </c>
      <c r="E856" s="13" t="str">
        <f t="shared" si="3"/>
        <v>LONG</v>
      </c>
      <c r="F856" s="3">
        <f t="shared" si="4"/>
        <v>0.006776204217</v>
      </c>
      <c r="G856" s="4">
        <f t="shared" si="5"/>
        <v>1.310436865</v>
      </c>
      <c r="H856" s="3">
        <f t="shared" si="6"/>
        <v>0.006776204217</v>
      </c>
      <c r="I856" s="5">
        <f t="shared" si="7"/>
        <v>1.151141272</v>
      </c>
    </row>
    <row r="857">
      <c r="A857" s="12">
        <f>IFERROR(__xludf.DUMMYFUNCTION("""COMPUTED_VALUE"""),43501.66666666667)</f>
        <v>43501.66667</v>
      </c>
      <c r="B857" s="13">
        <f>IFERROR(__xludf.DUMMYFUNCTION("""COMPUTED_VALUE"""),2737.7)</f>
        <v>2737.7</v>
      </c>
      <c r="C857" s="13">
        <f t="shared" si="1"/>
        <v>2685.3</v>
      </c>
      <c r="D857" s="13">
        <f t="shared" si="2"/>
        <v>2622.33</v>
      </c>
      <c r="E857" s="13" t="str">
        <f t="shared" si="3"/>
        <v>LONG</v>
      </c>
      <c r="F857" s="3">
        <f t="shared" si="4"/>
        <v>0.004708481506</v>
      </c>
      <c r="G857" s="4">
        <f t="shared" si="5"/>
        <v>1.316607033</v>
      </c>
      <c r="H857" s="3">
        <f t="shared" si="6"/>
        <v>0.004708481506</v>
      </c>
      <c r="I857" s="5">
        <f t="shared" si="7"/>
        <v>1.156561399</v>
      </c>
    </row>
    <row r="858">
      <c r="A858" s="12">
        <f>IFERROR(__xludf.DUMMYFUNCTION("""COMPUTED_VALUE"""),43502.66666666667)</f>
        <v>43502.66667</v>
      </c>
      <c r="B858" s="13">
        <f>IFERROR(__xludf.DUMMYFUNCTION("""COMPUTED_VALUE"""),2731.61)</f>
        <v>2731.61</v>
      </c>
      <c r="C858" s="13">
        <f t="shared" si="1"/>
        <v>2685.155</v>
      </c>
      <c r="D858" s="13">
        <f t="shared" si="2"/>
        <v>2599.515</v>
      </c>
      <c r="E858" s="13" t="str">
        <f t="shared" si="3"/>
        <v>LONG</v>
      </c>
      <c r="F858" s="3">
        <f t="shared" si="4"/>
        <v>-0.002224495014</v>
      </c>
      <c r="G858" s="4">
        <f t="shared" si="5"/>
        <v>1.313678247</v>
      </c>
      <c r="H858" s="3">
        <f t="shared" si="6"/>
        <v>-0.002224495014</v>
      </c>
      <c r="I858" s="5">
        <f t="shared" si="7"/>
        <v>1.153988634</v>
      </c>
    </row>
    <row r="859">
      <c r="A859" s="12">
        <f>IFERROR(__xludf.DUMMYFUNCTION("""COMPUTED_VALUE"""),43503.66666666667)</f>
        <v>43503.66667</v>
      </c>
      <c r="B859" s="13">
        <f>IFERROR(__xludf.DUMMYFUNCTION("""COMPUTED_VALUE"""),2706.05)</f>
        <v>2706.05</v>
      </c>
      <c r="C859" s="13">
        <f t="shared" si="1"/>
        <v>2674.19</v>
      </c>
      <c r="D859" s="13">
        <f t="shared" si="2"/>
        <v>2561.335</v>
      </c>
      <c r="E859" s="13" t="str">
        <f t="shared" si="3"/>
        <v>LONG</v>
      </c>
      <c r="F859" s="3">
        <f t="shared" si="4"/>
        <v>-0.009357119062</v>
      </c>
      <c r="G859" s="4">
        <f t="shared" si="5"/>
        <v>1.301386003</v>
      </c>
      <c r="H859" s="3">
        <f t="shared" si="6"/>
        <v>-0.009357119062</v>
      </c>
      <c r="I859" s="5">
        <f t="shared" si="7"/>
        <v>1.143190625</v>
      </c>
    </row>
    <row r="860">
      <c r="A860" s="12">
        <f>IFERROR(__xludf.DUMMYFUNCTION("""COMPUTED_VALUE"""),43504.66666666667)</f>
        <v>43504.66667</v>
      </c>
      <c r="B860" s="13">
        <f>IFERROR(__xludf.DUMMYFUNCTION("""COMPUTED_VALUE"""),2707.88)</f>
        <v>2707.88</v>
      </c>
      <c r="C860" s="13">
        <f t="shared" si="1"/>
        <v>2686.32</v>
      </c>
      <c r="D860" s="13">
        <f t="shared" si="2"/>
        <v>2529.49</v>
      </c>
      <c r="E860" s="13" t="str">
        <f t="shared" si="3"/>
        <v>LONG</v>
      </c>
      <c r="F860" s="3">
        <f t="shared" si="4"/>
        <v>0.000676262449</v>
      </c>
      <c r="G860" s="4">
        <f t="shared" si="5"/>
        <v>1.302266082</v>
      </c>
      <c r="H860" s="3">
        <f t="shared" si="6"/>
        <v>0.000676262449</v>
      </c>
      <c r="I860" s="5">
        <f t="shared" si="7"/>
        <v>1.143963722</v>
      </c>
    </row>
    <row r="861">
      <c r="A861" s="12">
        <f>IFERROR(__xludf.DUMMYFUNCTION("""COMPUTED_VALUE"""),43507.66666666667)</f>
        <v>43507.66667</v>
      </c>
      <c r="B861" s="13">
        <f>IFERROR(__xludf.DUMMYFUNCTION("""COMPUTED_VALUE"""),2709.8)</f>
        <v>2709.8</v>
      </c>
      <c r="C861" s="13">
        <f t="shared" si="1"/>
        <v>2676.825</v>
      </c>
      <c r="D861" s="13">
        <f t="shared" si="2"/>
        <v>2588.75</v>
      </c>
      <c r="E861" s="13" t="str">
        <f t="shared" si="3"/>
        <v>LONG</v>
      </c>
      <c r="F861" s="3">
        <f t="shared" si="4"/>
        <v>0.0007090417596</v>
      </c>
      <c r="G861" s="4">
        <f t="shared" si="5"/>
        <v>1.303189443</v>
      </c>
      <c r="H861" s="3">
        <f t="shared" si="6"/>
        <v>0.0007090417596</v>
      </c>
      <c r="I861" s="5">
        <f t="shared" si="7"/>
        <v>1.14477484</v>
      </c>
    </row>
    <row r="862">
      <c r="A862" s="12">
        <f>IFERROR(__xludf.DUMMYFUNCTION("""COMPUTED_VALUE"""),43508.66666666667)</f>
        <v>43508.66667</v>
      </c>
      <c r="B862" s="13">
        <f>IFERROR(__xludf.DUMMYFUNCTION("""COMPUTED_VALUE"""),2744.73)</f>
        <v>2744.73</v>
      </c>
      <c r="C862" s="13">
        <f t="shared" si="1"/>
        <v>2692.365</v>
      </c>
      <c r="D862" s="13">
        <f t="shared" si="2"/>
        <v>2616.78</v>
      </c>
      <c r="E862" s="13" t="str">
        <f t="shared" si="3"/>
        <v>LONG</v>
      </c>
      <c r="F862" s="3">
        <f t="shared" si="4"/>
        <v>0.0128902502</v>
      </c>
      <c r="G862" s="4">
        <f t="shared" si="5"/>
        <v>1.319987881</v>
      </c>
      <c r="H862" s="3">
        <f t="shared" si="6"/>
        <v>0.0128902502</v>
      </c>
      <c r="I862" s="5">
        <f t="shared" si="7"/>
        <v>1.159531274</v>
      </c>
    </row>
    <row r="863">
      <c r="A863" s="12">
        <f>IFERROR(__xludf.DUMMYFUNCTION("""COMPUTED_VALUE"""),43509.66666666667)</f>
        <v>43509.66667</v>
      </c>
      <c r="B863" s="13">
        <f>IFERROR(__xludf.DUMMYFUNCTION("""COMPUTED_VALUE"""),2753.03)</f>
        <v>2753.03</v>
      </c>
      <c r="C863" s="13">
        <f t="shared" si="1"/>
        <v>2717.04</v>
      </c>
      <c r="D863" s="13">
        <f t="shared" si="2"/>
        <v>2619.385</v>
      </c>
      <c r="E863" s="13" t="str">
        <f t="shared" si="3"/>
        <v>LONG</v>
      </c>
      <c r="F863" s="3">
        <f t="shared" si="4"/>
        <v>0.003023976857</v>
      </c>
      <c r="G863" s="4">
        <f t="shared" si="5"/>
        <v>1.323979494</v>
      </c>
      <c r="H863" s="3">
        <f t="shared" si="6"/>
        <v>0.003023976857</v>
      </c>
      <c r="I863" s="5">
        <f t="shared" si="7"/>
        <v>1.16303767</v>
      </c>
    </row>
    <row r="864">
      <c r="A864" s="12">
        <f>IFERROR(__xludf.DUMMYFUNCTION("""COMPUTED_VALUE"""),43510.66666666667)</f>
        <v>43510.66667</v>
      </c>
      <c r="B864" s="13">
        <f>IFERROR(__xludf.DUMMYFUNCTION("""COMPUTED_VALUE"""),2745.73)</f>
        <v>2745.73</v>
      </c>
      <c r="C864" s="13">
        <f t="shared" si="1"/>
        <v>2724.915</v>
      </c>
      <c r="D864" s="13">
        <f t="shared" si="2"/>
        <v>2626.29</v>
      </c>
      <c r="E864" s="13" t="str">
        <f t="shared" si="3"/>
        <v>LONG</v>
      </c>
      <c r="F864" s="3">
        <f t="shared" si="4"/>
        <v>-0.002651623847</v>
      </c>
      <c r="G864" s="4">
        <f t="shared" si="5"/>
        <v>1.320468798</v>
      </c>
      <c r="H864" s="3">
        <f t="shared" si="6"/>
        <v>-0.002651623847</v>
      </c>
      <c r="I864" s="5">
        <f t="shared" si="7"/>
        <v>1.159953732</v>
      </c>
    </row>
    <row r="865">
      <c r="A865" s="12">
        <f>IFERROR(__xludf.DUMMYFUNCTION("""COMPUTED_VALUE"""),43511.66666666667)</f>
        <v>43511.66667</v>
      </c>
      <c r="B865" s="13">
        <f>IFERROR(__xludf.DUMMYFUNCTION("""COMPUTED_VALUE"""),2775.6)</f>
        <v>2775.6</v>
      </c>
      <c r="C865" s="13">
        <f t="shared" si="1"/>
        <v>2741.065</v>
      </c>
      <c r="D865" s="13">
        <f t="shared" si="2"/>
        <v>2642.815</v>
      </c>
      <c r="E865" s="13" t="str">
        <f t="shared" si="3"/>
        <v>LONG</v>
      </c>
      <c r="F865" s="3">
        <f t="shared" si="4"/>
        <v>0.01087870985</v>
      </c>
      <c r="G865" s="4">
        <f t="shared" si="5"/>
        <v>1.334833795</v>
      </c>
      <c r="H865" s="3">
        <f t="shared" si="6"/>
        <v>0.01087870985</v>
      </c>
      <c r="I865" s="5">
        <f t="shared" si="7"/>
        <v>1.172572532</v>
      </c>
    </row>
    <row r="866">
      <c r="A866" s="12">
        <f>IFERROR(__xludf.DUMMYFUNCTION("""COMPUTED_VALUE"""),43515.66666666667)</f>
        <v>43515.66667</v>
      </c>
      <c r="B866" s="13">
        <f>IFERROR(__xludf.DUMMYFUNCTION("""COMPUTED_VALUE"""),2779.76)</f>
        <v>2779.76</v>
      </c>
      <c r="C866" s="13">
        <f t="shared" si="1"/>
        <v>2752.315</v>
      </c>
      <c r="D866" s="13">
        <f t="shared" si="2"/>
        <v>2613.825</v>
      </c>
      <c r="E866" s="13" t="str">
        <f t="shared" si="3"/>
        <v>LONG</v>
      </c>
      <c r="F866" s="3">
        <f t="shared" si="4"/>
        <v>0.00149877504</v>
      </c>
      <c r="G866" s="4">
        <f t="shared" si="5"/>
        <v>1.336834411</v>
      </c>
      <c r="H866" s="3">
        <f t="shared" si="6"/>
        <v>0.00149877504</v>
      </c>
      <c r="I866" s="5">
        <f t="shared" si="7"/>
        <v>1.174329954</v>
      </c>
    </row>
    <row r="867">
      <c r="A867" s="12">
        <f>IFERROR(__xludf.DUMMYFUNCTION("""COMPUTED_VALUE"""),43516.66666666667)</f>
        <v>43516.66667</v>
      </c>
      <c r="B867" s="13">
        <f>IFERROR(__xludf.DUMMYFUNCTION("""COMPUTED_VALUE"""),2784.7)</f>
        <v>2784.7</v>
      </c>
      <c r="C867" s="13">
        <f t="shared" si="1"/>
        <v>2761.2</v>
      </c>
      <c r="D867" s="13">
        <f t="shared" si="2"/>
        <v>2658.32</v>
      </c>
      <c r="E867" s="13" t="str">
        <f t="shared" si="3"/>
        <v>LONG</v>
      </c>
      <c r="F867" s="3">
        <f t="shared" si="4"/>
        <v>0.001777131839</v>
      </c>
      <c r="G867" s="4">
        <f t="shared" si="5"/>
        <v>1.339210142</v>
      </c>
      <c r="H867" s="3">
        <f t="shared" si="6"/>
        <v>0.001777131839</v>
      </c>
      <c r="I867" s="5">
        <f t="shared" si="7"/>
        <v>1.176416893</v>
      </c>
    </row>
    <row r="868">
      <c r="A868" s="12">
        <f>IFERROR(__xludf.DUMMYFUNCTION("""COMPUTED_VALUE"""),43517.66666666667)</f>
        <v>43517.66667</v>
      </c>
      <c r="B868" s="13">
        <f>IFERROR(__xludf.DUMMYFUNCTION("""COMPUTED_VALUE"""),2774.88)</f>
        <v>2774.88</v>
      </c>
      <c r="C868" s="13">
        <f t="shared" si="1"/>
        <v>2753.245</v>
      </c>
      <c r="D868" s="13">
        <f t="shared" si="2"/>
        <v>2662.285</v>
      </c>
      <c r="E868" s="13" t="str">
        <f t="shared" si="3"/>
        <v>LONG</v>
      </c>
      <c r="F868" s="3">
        <f t="shared" si="4"/>
        <v>-0.003526412181</v>
      </c>
      <c r="G868" s="4">
        <f t="shared" si="5"/>
        <v>1.334487535</v>
      </c>
      <c r="H868" s="3">
        <f t="shared" si="6"/>
        <v>-0.003526412181</v>
      </c>
      <c r="I868" s="5">
        <f t="shared" si="7"/>
        <v>1.172268363</v>
      </c>
    </row>
    <row r="869">
      <c r="A869" s="12">
        <f>IFERROR(__xludf.DUMMYFUNCTION("""COMPUTED_VALUE"""),43518.66666666667)</f>
        <v>43518.66667</v>
      </c>
      <c r="B869" s="13">
        <f>IFERROR(__xludf.DUMMYFUNCTION("""COMPUTED_VALUE"""),2792.67)</f>
        <v>2792.67</v>
      </c>
      <c r="C869" s="13">
        <f t="shared" si="1"/>
        <v>2749.36</v>
      </c>
      <c r="D869" s="13">
        <f t="shared" si="2"/>
        <v>2683.54</v>
      </c>
      <c r="E869" s="13" t="str">
        <f t="shared" si="3"/>
        <v>LONG</v>
      </c>
      <c r="F869" s="3">
        <f t="shared" si="4"/>
        <v>0.006411088047</v>
      </c>
      <c r="G869" s="4">
        <f t="shared" si="5"/>
        <v>1.343043052</v>
      </c>
      <c r="H869" s="3">
        <f t="shared" si="6"/>
        <v>0.006411088047</v>
      </c>
      <c r="I869" s="5">
        <f t="shared" si="7"/>
        <v>1.179783878</v>
      </c>
    </row>
    <row r="870">
      <c r="A870" s="12">
        <f>IFERROR(__xludf.DUMMYFUNCTION("""COMPUTED_VALUE"""),43521.66666666667)</f>
        <v>43521.66667</v>
      </c>
      <c r="B870" s="13">
        <f>IFERROR(__xludf.DUMMYFUNCTION("""COMPUTED_VALUE"""),2796.11)</f>
        <v>2796.11</v>
      </c>
      <c r="C870" s="13">
        <f t="shared" si="1"/>
        <v>2751.995</v>
      </c>
      <c r="D870" s="13">
        <f t="shared" si="2"/>
        <v>2690.535</v>
      </c>
      <c r="E870" s="13" t="str">
        <f t="shared" si="3"/>
        <v>LONG</v>
      </c>
      <c r="F870" s="3">
        <f t="shared" si="4"/>
        <v>0.001231796095</v>
      </c>
      <c r="G870" s="4">
        <f t="shared" si="5"/>
        <v>1.344697407</v>
      </c>
      <c r="H870" s="3">
        <f t="shared" si="6"/>
        <v>0.001231796095</v>
      </c>
      <c r="I870" s="5">
        <f t="shared" si="7"/>
        <v>1.181237131</v>
      </c>
    </row>
    <row r="871">
      <c r="A871" s="12">
        <f>IFERROR(__xludf.DUMMYFUNCTION("""COMPUTED_VALUE"""),43522.66666666667)</f>
        <v>43522.66667</v>
      </c>
      <c r="B871" s="13">
        <f>IFERROR(__xludf.DUMMYFUNCTION("""COMPUTED_VALUE"""),2793.9)</f>
        <v>2793.9</v>
      </c>
      <c r="C871" s="13">
        <f t="shared" si="1"/>
        <v>2751.85</v>
      </c>
      <c r="D871" s="13">
        <f t="shared" si="2"/>
        <v>2695.27</v>
      </c>
      <c r="E871" s="13" t="str">
        <f t="shared" si="3"/>
        <v>LONG</v>
      </c>
      <c r="F871" s="3">
        <f t="shared" si="4"/>
        <v>-0.0007903837832</v>
      </c>
      <c r="G871" s="4">
        <f t="shared" si="5"/>
        <v>1.34363458</v>
      </c>
      <c r="H871" s="3">
        <f t="shared" si="6"/>
        <v>-0.0007903837832</v>
      </c>
      <c r="I871" s="5">
        <f t="shared" si="7"/>
        <v>1.180303501</v>
      </c>
    </row>
    <row r="872">
      <c r="A872" s="12">
        <f>IFERROR(__xludf.DUMMYFUNCTION("""COMPUTED_VALUE"""),43523.66666666667)</f>
        <v>43523.66667</v>
      </c>
      <c r="B872" s="13">
        <f>IFERROR(__xludf.DUMMYFUNCTION("""COMPUTED_VALUE"""),2792.38)</f>
        <v>2792.38</v>
      </c>
      <c r="C872" s="13">
        <f t="shared" si="1"/>
        <v>2768.555</v>
      </c>
      <c r="D872" s="13">
        <f t="shared" si="2"/>
        <v>2694.32</v>
      </c>
      <c r="E872" s="13" t="str">
        <f t="shared" si="3"/>
        <v>LONG</v>
      </c>
      <c r="F872" s="3">
        <f t="shared" si="4"/>
        <v>-0.000544042378</v>
      </c>
      <c r="G872" s="4">
        <f t="shared" si="5"/>
        <v>1.342903586</v>
      </c>
      <c r="H872" s="3">
        <f t="shared" si="6"/>
        <v>-0.000544042378</v>
      </c>
      <c r="I872" s="5">
        <f t="shared" si="7"/>
        <v>1.179661366</v>
      </c>
    </row>
    <row r="873">
      <c r="A873" s="12">
        <f>IFERROR(__xludf.DUMMYFUNCTION("""COMPUTED_VALUE"""),43524.66666666667)</f>
        <v>43524.66667</v>
      </c>
      <c r="B873" s="13">
        <f>IFERROR(__xludf.DUMMYFUNCTION("""COMPUTED_VALUE"""),2784.49)</f>
        <v>2784.49</v>
      </c>
      <c r="C873" s="13">
        <f t="shared" si="1"/>
        <v>2768.76</v>
      </c>
      <c r="D873" s="13">
        <f t="shared" si="2"/>
        <v>2683.55</v>
      </c>
      <c r="E873" s="13" t="str">
        <f t="shared" si="3"/>
        <v>LONG</v>
      </c>
      <c r="F873" s="3">
        <f t="shared" si="4"/>
        <v>-0.002825546666</v>
      </c>
      <c r="G873" s="4">
        <f t="shared" si="5"/>
        <v>1.339109149</v>
      </c>
      <c r="H873" s="3">
        <f t="shared" si="6"/>
        <v>-0.002825546666</v>
      </c>
      <c r="I873" s="5">
        <f t="shared" si="7"/>
        <v>1.176328177</v>
      </c>
    </row>
    <row r="874">
      <c r="A874" s="12">
        <f>IFERROR(__xludf.DUMMYFUNCTION("""COMPUTED_VALUE"""),43525.66666666667)</f>
        <v>43525.66667</v>
      </c>
      <c r="B874" s="13">
        <f>IFERROR(__xludf.DUMMYFUNCTION("""COMPUTED_VALUE"""),2803.69)</f>
        <v>2803.69</v>
      </c>
      <c r="C874" s="13">
        <f t="shared" si="1"/>
        <v>2774.71</v>
      </c>
      <c r="D874" s="13">
        <f t="shared" si="2"/>
        <v>2706.995</v>
      </c>
      <c r="E874" s="13" t="str">
        <f t="shared" si="3"/>
        <v>LONG</v>
      </c>
      <c r="F874" s="3">
        <f t="shared" si="4"/>
        <v>0.006895338105</v>
      </c>
      <c r="G874" s="4">
        <f t="shared" si="5"/>
        <v>1.348342759</v>
      </c>
      <c r="H874" s="3">
        <f t="shared" si="6"/>
        <v>0.006895338105</v>
      </c>
      <c r="I874" s="5">
        <f t="shared" si="7"/>
        <v>1.184439358</v>
      </c>
    </row>
    <row r="875">
      <c r="A875" s="12">
        <f>IFERROR(__xludf.DUMMYFUNCTION("""COMPUTED_VALUE"""),43528.66666666667)</f>
        <v>43528.66667</v>
      </c>
      <c r="B875" s="13">
        <f>IFERROR(__xludf.DUMMYFUNCTION("""COMPUTED_VALUE"""),2792.81)</f>
        <v>2792.81</v>
      </c>
      <c r="C875" s="13">
        <f t="shared" si="1"/>
        <v>2784.205</v>
      </c>
      <c r="D875" s="13">
        <f t="shared" si="2"/>
        <v>2704.455</v>
      </c>
      <c r="E875" s="13" t="str">
        <f t="shared" si="3"/>
        <v>LONG</v>
      </c>
      <c r="F875" s="3">
        <f t="shared" si="4"/>
        <v>-0.003880600209</v>
      </c>
      <c r="G875" s="4">
        <f t="shared" si="5"/>
        <v>1.34311038</v>
      </c>
      <c r="H875" s="3">
        <f t="shared" si="6"/>
        <v>-0.003880600209</v>
      </c>
      <c r="I875" s="5">
        <f t="shared" si="7"/>
        <v>1.179843022</v>
      </c>
    </row>
    <row r="876">
      <c r="A876" s="12">
        <f>IFERROR(__xludf.DUMMYFUNCTION("""COMPUTED_VALUE"""),43529.66666666667)</f>
        <v>43529.66667</v>
      </c>
      <c r="B876" s="13">
        <f>IFERROR(__xludf.DUMMYFUNCTION("""COMPUTED_VALUE"""),2789.65)</f>
        <v>2789.65</v>
      </c>
      <c r="C876" s="13">
        <f t="shared" si="1"/>
        <v>2784.705</v>
      </c>
      <c r="D876" s="13">
        <f t="shared" si="2"/>
        <v>2712.805</v>
      </c>
      <c r="E876" s="13" t="str">
        <f t="shared" si="3"/>
        <v>LONG</v>
      </c>
      <c r="F876" s="3">
        <f t="shared" si="4"/>
        <v>-0.0011314769</v>
      </c>
      <c r="G876" s="4">
        <f t="shared" si="5"/>
        <v>1.341590682</v>
      </c>
      <c r="H876" s="3">
        <f t="shared" si="6"/>
        <v>-0.0011314769</v>
      </c>
      <c r="I876" s="5">
        <f t="shared" si="7"/>
        <v>1.178508057</v>
      </c>
    </row>
    <row r="877">
      <c r="A877" s="12">
        <f>IFERROR(__xludf.DUMMYFUNCTION("""COMPUTED_VALUE"""),43530.66666666667)</f>
        <v>43530.66667</v>
      </c>
      <c r="B877" s="13">
        <f>IFERROR(__xludf.DUMMYFUNCTION("""COMPUTED_VALUE"""),2771.45)</f>
        <v>2771.45</v>
      </c>
      <c r="C877" s="13">
        <f t="shared" si="1"/>
        <v>2778.075</v>
      </c>
      <c r="D877" s="13">
        <f t="shared" si="2"/>
        <v>2721.08</v>
      </c>
      <c r="E877" s="13" t="str">
        <f t="shared" si="3"/>
        <v>LONG</v>
      </c>
      <c r="F877" s="3">
        <f t="shared" si="4"/>
        <v>-0.006524115929</v>
      </c>
      <c r="G877" s="4">
        <f t="shared" si="5"/>
        <v>1.332837989</v>
      </c>
      <c r="H877" s="3">
        <f t="shared" si="6"/>
        <v>-0.006524115929</v>
      </c>
      <c r="I877" s="5">
        <f t="shared" si="7"/>
        <v>1.170819334</v>
      </c>
    </row>
    <row r="878">
      <c r="A878" s="12">
        <f>IFERROR(__xludf.DUMMYFUNCTION("""COMPUTED_VALUE"""),43531.66666666667)</f>
        <v>43531.66667</v>
      </c>
      <c r="B878" s="13">
        <f>IFERROR(__xludf.DUMMYFUNCTION("""COMPUTED_VALUE"""),2748.93)</f>
        <v>2748.93</v>
      </c>
      <c r="C878" s="13">
        <f t="shared" si="1"/>
        <v>2761.905</v>
      </c>
      <c r="D878" s="13">
        <f t="shared" si="2"/>
        <v>2690.915</v>
      </c>
      <c r="E878" s="13" t="str">
        <f t="shared" si="3"/>
        <v>LONG</v>
      </c>
      <c r="F878" s="3">
        <f t="shared" si="4"/>
        <v>-0.008125710368</v>
      </c>
      <c r="G878" s="4">
        <f t="shared" si="5"/>
        <v>1.322007733</v>
      </c>
      <c r="H878" s="3">
        <f t="shared" si="6"/>
        <v>-0.008125710368</v>
      </c>
      <c r="I878" s="5">
        <f t="shared" si="7"/>
        <v>1.161305595</v>
      </c>
    </row>
    <row r="879">
      <c r="A879" s="12">
        <f>IFERROR(__xludf.DUMMYFUNCTION("""COMPUTED_VALUE"""),43532.66666666667)</f>
        <v>43532.66667</v>
      </c>
      <c r="B879" s="13">
        <f>IFERROR(__xludf.DUMMYFUNCTION("""COMPUTED_VALUE"""),2743.07)</f>
        <v>2743.07</v>
      </c>
      <c r="C879" s="13">
        <f t="shared" si="1"/>
        <v>2767.87</v>
      </c>
      <c r="D879" s="13">
        <f t="shared" si="2"/>
        <v>2690.885</v>
      </c>
      <c r="E879" s="13" t="str">
        <f t="shared" si="3"/>
        <v>LONG</v>
      </c>
      <c r="F879" s="3">
        <f t="shared" si="4"/>
        <v>-0.002131738531</v>
      </c>
      <c r="G879" s="4">
        <f t="shared" si="5"/>
        <v>1.319189558</v>
      </c>
      <c r="H879" s="3">
        <f t="shared" si="6"/>
        <v>-0.002131738531</v>
      </c>
      <c r="I879" s="5">
        <f t="shared" si="7"/>
        <v>1.158829995</v>
      </c>
    </row>
    <row r="880">
      <c r="A880" s="12">
        <f>IFERROR(__xludf.DUMMYFUNCTION("""COMPUTED_VALUE"""),43535.66666666667)</f>
        <v>43535.66667</v>
      </c>
      <c r="B880" s="13">
        <f>IFERROR(__xludf.DUMMYFUNCTION("""COMPUTED_VALUE"""),2783.3)</f>
        <v>2783.3</v>
      </c>
      <c r="C880" s="13">
        <f t="shared" si="1"/>
        <v>2789.705</v>
      </c>
      <c r="D880" s="13">
        <f t="shared" si="2"/>
        <v>2712.815</v>
      </c>
      <c r="E880" s="13" t="str">
        <f t="shared" si="3"/>
        <v>LONG</v>
      </c>
      <c r="F880" s="3">
        <f t="shared" si="4"/>
        <v>0.01466604935</v>
      </c>
      <c r="G880" s="4">
        <f t="shared" si="5"/>
        <v>1.338536857</v>
      </c>
      <c r="H880" s="3">
        <f t="shared" si="6"/>
        <v>0.01466604935</v>
      </c>
      <c r="I880" s="5">
        <f t="shared" si="7"/>
        <v>1.175825453</v>
      </c>
    </row>
    <row r="881">
      <c r="A881" s="12">
        <f>IFERROR(__xludf.DUMMYFUNCTION("""COMPUTED_VALUE"""),43536.66666666667)</f>
        <v>43536.66667</v>
      </c>
      <c r="B881" s="13">
        <f>IFERROR(__xludf.DUMMYFUNCTION("""COMPUTED_VALUE"""),2791.52)</f>
        <v>2791.52</v>
      </c>
      <c r="C881" s="13">
        <f t="shared" si="1"/>
        <v>2792.71</v>
      </c>
      <c r="D881" s="13">
        <f t="shared" si="2"/>
        <v>2728.14</v>
      </c>
      <c r="E881" s="13" t="str">
        <f t="shared" si="3"/>
        <v>LONG</v>
      </c>
      <c r="F881" s="3">
        <f t="shared" si="4"/>
        <v>0.002953328782</v>
      </c>
      <c r="G881" s="4">
        <f t="shared" si="5"/>
        <v>1.342489997</v>
      </c>
      <c r="H881" s="3">
        <f t="shared" si="6"/>
        <v>0.002953328782</v>
      </c>
      <c r="I881" s="5">
        <f t="shared" si="7"/>
        <v>1.179298052</v>
      </c>
    </row>
    <row r="882">
      <c r="A882" s="12">
        <f>IFERROR(__xludf.DUMMYFUNCTION("""COMPUTED_VALUE"""),43537.66666666667)</f>
        <v>43537.66667</v>
      </c>
      <c r="B882" s="13">
        <f>IFERROR(__xludf.DUMMYFUNCTION("""COMPUTED_VALUE"""),2810.92)</f>
        <v>2810.92</v>
      </c>
      <c r="C882" s="13">
        <f t="shared" si="1"/>
        <v>2801.65</v>
      </c>
      <c r="D882" s="13">
        <f t="shared" si="2"/>
        <v>2727.385</v>
      </c>
      <c r="E882" s="13" t="str">
        <f t="shared" si="3"/>
        <v>LONG</v>
      </c>
      <c r="F882" s="3">
        <f t="shared" si="4"/>
        <v>0.006949618846</v>
      </c>
      <c r="G882" s="4">
        <f t="shared" si="5"/>
        <v>1.351819791</v>
      </c>
      <c r="H882" s="3">
        <f t="shared" si="6"/>
        <v>0.006949618846</v>
      </c>
      <c r="I882" s="5">
        <f t="shared" si="7"/>
        <v>1.187493724</v>
      </c>
    </row>
    <row r="883">
      <c r="A883" s="12">
        <f>IFERROR(__xludf.DUMMYFUNCTION("""COMPUTED_VALUE"""),43538.66666666667)</f>
        <v>43538.66667</v>
      </c>
      <c r="B883" s="13">
        <f>IFERROR(__xludf.DUMMYFUNCTION("""COMPUTED_VALUE"""),2808.48)</f>
        <v>2808.48</v>
      </c>
      <c r="C883" s="13">
        <f t="shared" si="1"/>
        <v>2796.485</v>
      </c>
      <c r="D883" s="13">
        <f t="shared" si="2"/>
        <v>2724.24</v>
      </c>
      <c r="E883" s="13" t="str">
        <f t="shared" si="3"/>
        <v>LONG</v>
      </c>
      <c r="F883" s="3">
        <f t="shared" si="4"/>
        <v>-0.0008680432029</v>
      </c>
      <c r="G883" s="4">
        <f t="shared" si="5"/>
        <v>1.350646353</v>
      </c>
      <c r="H883" s="3">
        <f t="shared" si="6"/>
        <v>-0.0008680432029</v>
      </c>
      <c r="I883" s="5">
        <f t="shared" si="7"/>
        <v>1.186462928</v>
      </c>
    </row>
    <row r="884">
      <c r="A884" s="12">
        <f>IFERROR(__xludf.DUMMYFUNCTION("""COMPUTED_VALUE"""),43539.66666666667)</f>
        <v>43539.66667</v>
      </c>
      <c r="B884" s="13">
        <f>IFERROR(__xludf.DUMMYFUNCTION("""COMPUTED_VALUE"""),2822.48)</f>
        <v>2822.48</v>
      </c>
      <c r="C884" s="13">
        <f t="shared" si="1"/>
        <v>2813.085</v>
      </c>
      <c r="D884" s="13">
        <f t="shared" si="2"/>
        <v>2751.765</v>
      </c>
      <c r="E884" s="13" t="str">
        <f t="shared" si="3"/>
        <v>LONG</v>
      </c>
      <c r="F884" s="3">
        <f t="shared" si="4"/>
        <v>0.004984902866</v>
      </c>
      <c r="G884" s="4">
        <f t="shared" si="5"/>
        <v>1.357379194</v>
      </c>
      <c r="H884" s="3">
        <f t="shared" si="6"/>
        <v>0.004984902866</v>
      </c>
      <c r="I884" s="5">
        <f t="shared" si="7"/>
        <v>1.192377331</v>
      </c>
    </row>
    <row r="885">
      <c r="A885" s="12">
        <f>IFERROR(__xludf.DUMMYFUNCTION("""COMPUTED_VALUE"""),43542.66666666667)</f>
        <v>43542.66667</v>
      </c>
      <c r="B885" s="13">
        <f>IFERROR(__xludf.DUMMYFUNCTION("""COMPUTED_VALUE"""),2832.94)</f>
        <v>2832.94</v>
      </c>
      <c r="C885" s="13">
        <f t="shared" si="1"/>
        <v>2812.875</v>
      </c>
      <c r="D885" s="13">
        <f t="shared" si="2"/>
        <v>2768.52</v>
      </c>
      <c r="E885" s="13" t="str">
        <f t="shared" si="3"/>
        <v>LONG</v>
      </c>
      <c r="F885" s="3">
        <f t="shared" si="4"/>
        <v>0.003705960715</v>
      </c>
      <c r="G885" s="4">
        <f t="shared" si="5"/>
        <v>1.362409588</v>
      </c>
      <c r="H885" s="3">
        <f t="shared" si="6"/>
        <v>0.003705960715</v>
      </c>
      <c r="I885" s="5">
        <f t="shared" si="7"/>
        <v>1.196796234</v>
      </c>
    </row>
    <row r="886">
      <c r="A886" s="12">
        <f>IFERROR(__xludf.DUMMYFUNCTION("""COMPUTED_VALUE"""),43543.66666666667)</f>
        <v>43543.66667</v>
      </c>
      <c r="B886" s="13">
        <f>IFERROR(__xludf.DUMMYFUNCTION("""COMPUTED_VALUE"""),2832.57)</f>
        <v>2832.57</v>
      </c>
      <c r="C886" s="13">
        <f t="shared" si="1"/>
        <v>2811.11</v>
      </c>
      <c r="D886" s="13">
        <f t="shared" si="2"/>
        <v>2769.55</v>
      </c>
      <c r="E886" s="13" t="str">
        <f t="shared" si="3"/>
        <v>LONG</v>
      </c>
      <c r="F886" s="3">
        <f t="shared" si="4"/>
        <v>-0.0001306063665</v>
      </c>
      <c r="G886" s="4">
        <f t="shared" si="5"/>
        <v>1.362231648</v>
      </c>
      <c r="H886" s="3">
        <f t="shared" si="6"/>
        <v>-0.0001306063665</v>
      </c>
      <c r="I886" s="5">
        <f t="shared" si="7"/>
        <v>1.196639925</v>
      </c>
    </row>
    <row r="887">
      <c r="A887" s="12">
        <f>IFERROR(__xludf.DUMMYFUNCTION("""COMPUTED_VALUE"""),43544.66666666667)</f>
        <v>43544.66667</v>
      </c>
      <c r="B887" s="13">
        <f>IFERROR(__xludf.DUMMYFUNCTION("""COMPUTED_VALUE"""),2824.23)</f>
        <v>2824.23</v>
      </c>
      <c r="C887" s="13">
        <f t="shared" si="1"/>
        <v>2797.84</v>
      </c>
      <c r="D887" s="13">
        <f t="shared" si="2"/>
        <v>2774.55</v>
      </c>
      <c r="E887" s="13" t="str">
        <f t="shared" si="3"/>
        <v>LONG</v>
      </c>
      <c r="F887" s="3">
        <f t="shared" si="4"/>
        <v>-0.002944322647</v>
      </c>
      <c r="G887" s="4">
        <f t="shared" si="5"/>
        <v>1.358220799</v>
      </c>
      <c r="H887" s="3">
        <f t="shared" si="6"/>
        <v>-0.002944322647</v>
      </c>
      <c r="I887" s="5">
        <f t="shared" si="7"/>
        <v>1.193116631</v>
      </c>
    </row>
    <row r="888">
      <c r="A888" s="12">
        <f>IFERROR(__xludf.DUMMYFUNCTION("""COMPUTED_VALUE"""),43545.66666666667)</f>
        <v>43545.66667</v>
      </c>
      <c r="B888" s="13">
        <f>IFERROR(__xludf.DUMMYFUNCTION("""COMPUTED_VALUE"""),2854.88)</f>
        <v>2854.88</v>
      </c>
      <c r="C888" s="13">
        <f t="shared" si="1"/>
        <v>2801.905</v>
      </c>
      <c r="D888" s="13">
        <f t="shared" si="2"/>
        <v>2796.29</v>
      </c>
      <c r="E888" s="13" t="str">
        <f t="shared" si="3"/>
        <v>LONG</v>
      </c>
      <c r="F888" s="3">
        <f t="shared" si="4"/>
        <v>0.01085251555</v>
      </c>
      <c r="G888" s="4">
        <f t="shared" si="5"/>
        <v>1.372960911</v>
      </c>
      <c r="H888" s="3">
        <f t="shared" si="6"/>
        <v>0.01085251555</v>
      </c>
      <c r="I888" s="5">
        <f t="shared" si="7"/>
        <v>1.206064948</v>
      </c>
    </row>
    <row r="889">
      <c r="A889" s="12">
        <f>IFERROR(__xludf.DUMMYFUNCTION("""COMPUTED_VALUE"""),43546.66666666667)</f>
        <v>43546.66667</v>
      </c>
      <c r="B889" s="13">
        <f>IFERROR(__xludf.DUMMYFUNCTION("""COMPUTED_VALUE"""),2800.71)</f>
        <v>2800.71</v>
      </c>
      <c r="C889" s="13">
        <f t="shared" si="1"/>
        <v>2771.89</v>
      </c>
      <c r="D889" s="13">
        <f t="shared" si="2"/>
        <v>2766.16</v>
      </c>
      <c r="E889" s="13" t="str">
        <f t="shared" si="3"/>
        <v>LONG</v>
      </c>
      <c r="F889" s="3">
        <f t="shared" si="4"/>
        <v>-0.01897452783</v>
      </c>
      <c r="G889" s="4">
        <f t="shared" si="5"/>
        <v>1.346909626</v>
      </c>
      <c r="H889" s="3">
        <f t="shared" si="6"/>
        <v>-0.01897452783</v>
      </c>
      <c r="I889" s="5">
        <f t="shared" si="7"/>
        <v>1.183180435</v>
      </c>
    </row>
    <row r="890">
      <c r="A890" s="12">
        <f>IFERROR(__xludf.DUMMYFUNCTION("""COMPUTED_VALUE"""),43549.66666666667)</f>
        <v>43549.66667</v>
      </c>
      <c r="B890" s="13">
        <f>IFERROR(__xludf.DUMMYFUNCTION("""COMPUTED_VALUE"""),2798.36)</f>
        <v>2798.36</v>
      </c>
      <c r="C890" s="13">
        <f t="shared" si="1"/>
        <v>2790.83</v>
      </c>
      <c r="D890" s="13">
        <f t="shared" si="2"/>
        <v>2752.205</v>
      </c>
      <c r="E890" s="13" t="str">
        <f t="shared" si="3"/>
        <v>LONG</v>
      </c>
      <c r="F890" s="3">
        <f t="shared" si="4"/>
        <v>-0.0008390729494</v>
      </c>
      <c r="G890" s="4">
        <f t="shared" si="5"/>
        <v>1.345779471</v>
      </c>
      <c r="H890" s="3">
        <f t="shared" si="6"/>
        <v>-0.0008390729494</v>
      </c>
      <c r="I890" s="5">
        <f t="shared" si="7"/>
        <v>1.18218766</v>
      </c>
    </row>
    <row r="891">
      <c r="A891" s="12">
        <f>IFERROR(__xludf.DUMMYFUNCTION("""COMPUTED_VALUE"""),43550.66666666667)</f>
        <v>43550.66667</v>
      </c>
      <c r="B891" s="13">
        <f>IFERROR(__xludf.DUMMYFUNCTION("""COMPUTED_VALUE"""),2818.46)</f>
        <v>2818.46</v>
      </c>
      <c r="C891" s="13">
        <f t="shared" si="1"/>
        <v>2804.99</v>
      </c>
      <c r="D891" s="13">
        <f t="shared" si="2"/>
        <v>2763.17</v>
      </c>
      <c r="E891" s="13" t="str">
        <f t="shared" si="3"/>
        <v>LONG</v>
      </c>
      <c r="F891" s="3">
        <f t="shared" si="4"/>
        <v>0.007182778485</v>
      </c>
      <c r="G891" s="4">
        <f t="shared" si="5"/>
        <v>1.355445906</v>
      </c>
      <c r="H891" s="3">
        <f t="shared" si="6"/>
        <v>0.007182778485</v>
      </c>
      <c r="I891" s="5">
        <f t="shared" si="7"/>
        <v>1.190679052</v>
      </c>
    </row>
    <row r="892">
      <c r="A892" s="12">
        <f>IFERROR(__xludf.DUMMYFUNCTION("""COMPUTED_VALUE"""),43551.66666666667)</f>
        <v>43551.66667</v>
      </c>
      <c r="B892" s="13">
        <f>IFERROR(__xludf.DUMMYFUNCTION("""COMPUTED_VALUE"""),2805.37)</f>
        <v>2805.37</v>
      </c>
      <c r="C892" s="13">
        <f t="shared" si="1"/>
        <v>2808.145</v>
      </c>
      <c r="D892" s="13">
        <f t="shared" si="2"/>
        <v>2757.585</v>
      </c>
      <c r="E892" s="13" t="str">
        <f t="shared" si="3"/>
        <v>LONG</v>
      </c>
      <c r="F892" s="3">
        <f t="shared" si="4"/>
        <v>-0.004644380264</v>
      </c>
      <c r="G892" s="4">
        <f t="shared" si="5"/>
        <v>1.3491507</v>
      </c>
      <c r="H892" s="3">
        <f t="shared" si="6"/>
        <v>-0.004644380264</v>
      </c>
      <c r="I892" s="5">
        <f t="shared" si="7"/>
        <v>1.185149086</v>
      </c>
    </row>
    <row r="893">
      <c r="A893" s="12">
        <f>IFERROR(__xludf.DUMMYFUNCTION("""COMPUTED_VALUE"""),43552.66666666667)</f>
        <v>43552.66667</v>
      </c>
      <c r="B893" s="13">
        <f>IFERROR(__xludf.DUMMYFUNCTION("""COMPUTED_VALUE"""),2815.44)</f>
        <v>2815.44</v>
      </c>
      <c r="C893" s="13">
        <f t="shared" si="1"/>
        <v>2811.96</v>
      </c>
      <c r="D893" s="13">
        <f t="shared" si="2"/>
        <v>2780.085</v>
      </c>
      <c r="E893" s="13" t="str">
        <f t="shared" si="3"/>
        <v>LONG</v>
      </c>
      <c r="F893" s="3">
        <f t="shared" si="4"/>
        <v>0.003589544338</v>
      </c>
      <c r="G893" s="4">
        <f t="shared" si="5"/>
        <v>1.353993536</v>
      </c>
      <c r="H893" s="3">
        <f t="shared" si="6"/>
        <v>0.003589544338</v>
      </c>
      <c r="I893" s="5">
        <f t="shared" si="7"/>
        <v>1.189403231</v>
      </c>
    </row>
    <row r="894">
      <c r="A894" s="12">
        <f>IFERROR(__xludf.DUMMYFUNCTION("""COMPUTED_VALUE"""),43553.66666666667)</f>
        <v>43553.66667</v>
      </c>
      <c r="B894" s="13">
        <f>IFERROR(__xludf.DUMMYFUNCTION("""COMPUTED_VALUE"""),2834.4)</f>
        <v>2834.4</v>
      </c>
      <c r="C894" s="13">
        <f t="shared" si="1"/>
        <v>2828.44</v>
      </c>
      <c r="D894" s="13">
        <f t="shared" si="2"/>
        <v>2793.715</v>
      </c>
      <c r="E894" s="13" t="str">
        <f t="shared" si="3"/>
        <v>LONG</v>
      </c>
      <c r="F894" s="3">
        <f t="shared" si="4"/>
        <v>0.006734293752</v>
      </c>
      <c r="G894" s="4">
        <f t="shared" si="5"/>
        <v>1.363111727</v>
      </c>
      <c r="H894" s="3">
        <f t="shared" si="6"/>
        <v>0.006734293752</v>
      </c>
      <c r="I894" s="5">
        <f t="shared" si="7"/>
        <v>1.197413022</v>
      </c>
    </row>
    <row r="895">
      <c r="A895" s="12">
        <f>IFERROR(__xludf.DUMMYFUNCTION("""COMPUTED_VALUE"""),43556.66666666667)</f>
        <v>43556.66667</v>
      </c>
      <c r="B895" s="13">
        <f>IFERROR(__xludf.DUMMYFUNCTION("""COMPUTED_VALUE"""),2867.19)</f>
        <v>2867.19</v>
      </c>
      <c r="C895" s="13">
        <f t="shared" si="1"/>
        <v>2850.065</v>
      </c>
      <c r="D895" s="13">
        <f t="shared" si="2"/>
        <v>2806.46</v>
      </c>
      <c r="E895" s="13" t="str">
        <f t="shared" si="3"/>
        <v>LONG</v>
      </c>
      <c r="F895" s="3">
        <f t="shared" si="4"/>
        <v>0.01156858594</v>
      </c>
      <c r="G895" s="4">
        <f t="shared" si="5"/>
        <v>1.378881002</v>
      </c>
      <c r="H895" s="3">
        <f t="shared" si="6"/>
        <v>0.01156858594</v>
      </c>
      <c r="I895" s="5">
        <f t="shared" si="7"/>
        <v>1.211265398</v>
      </c>
    </row>
    <row r="896">
      <c r="A896" s="12">
        <f>IFERROR(__xludf.DUMMYFUNCTION("""COMPUTED_VALUE"""),43557.66666666667)</f>
        <v>43557.66667</v>
      </c>
      <c r="B896" s="13">
        <f>IFERROR(__xludf.DUMMYFUNCTION("""COMPUTED_VALUE"""),2867.24)</f>
        <v>2867.24</v>
      </c>
      <c r="C896" s="13">
        <f t="shared" si="1"/>
        <v>2849.905</v>
      </c>
      <c r="D896" s="13">
        <f t="shared" si="2"/>
        <v>2821.42</v>
      </c>
      <c r="E896" s="13" t="str">
        <f t="shared" si="3"/>
        <v>LONG</v>
      </c>
      <c r="F896" s="3">
        <f t="shared" si="4"/>
        <v>0.00001743867689</v>
      </c>
      <c r="G896" s="4">
        <f t="shared" si="5"/>
        <v>1.378905048</v>
      </c>
      <c r="H896" s="3">
        <f t="shared" si="6"/>
        <v>0.00001743867689</v>
      </c>
      <c r="I896" s="5">
        <f t="shared" si="7"/>
        <v>1.21128652</v>
      </c>
    </row>
    <row r="897">
      <c r="A897" s="12">
        <f>IFERROR(__xludf.DUMMYFUNCTION("""COMPUTED_VALUE"""),43558.66666666667)</f>
        <v>43558.66667</v>
      </c>
      <c r="B897" s="13">
        <f>IFERROR(__xludf.DUMMYFUNCTION("""COMPUTED_VALUE"""),2873.4)</f>
        <v>2873.4</v>
      </c>
      <c r="C897" s="13">
        <f t="shared" si="1"/>
        <v>2848.815</v>
      </c>
      <c r="D897" s="13">
        <f t="shared" si="2"/>
        <v>2826.58</v>
      </c>
      <c r="E897" s="13" t="str">
        <f t="shared" si="3"/>
        <v>LONG</v>
      </c>
      <c r="F897" s="3">
        <f t="shared" si="4"/>
        <v>0.002148407528</v>
      </c>
      <c r="G897" s="4">
        <f t="shared" si="5"/>
        <v>1.381867498</v>
      </c>
      <c r="H897" s="3">
        <f t="shared" si="6"/>
        <v>0.002148407528</v>
      </c>
      <c r="I897" s="5">
        <f t="shared" si="7"/>
        <v>1.213888858</v>
      </c>
    </row>
    <row r="898">
      <c r="A898" s="12">
        <f>IFERROR(__xludf.DUMMYFUNCTION("""COMPUTED_VALUE"""),43559.66666666667)</f>
        <v>43559.66667</v>
      </c>
      <c r="B898" s="13">
        <f>IFERROR(__xludf.DUMMYFUNCTION("""COMPUTED_VALUE"""),2879.39)</f>
        <v>2879.39</v>
      </c>
      <c r="C898" s="13">
        <f t="shared" si="1"/>
        <v>2867.135</v>
      </c>
      <c r="D898" s="13">
        <f t="shared" si="2"/>
        <v>2832.045</v>
      </c>
      <c r="E898" s="13" t="str">
        <f t="shared" si="3"/>
        <v>LONG</v>
      </c>
      <c r="F898" s="3">
        <f t="shared" si="4"/>
        <v>0.002084638407</v>
      </c>
      <c r="G898" s="4">
        <f t="shared" si="5"/>
        <v>1.384748192</v>
      </c>
      <c r="H898" s="3">
        <f t="shared" si="6"/>
        <v>0.002084638407</v>
      </c>
      <c r="I898" s="5">
        <f t="shared" si="7"/>
        <v>1.216419377</v>
      </c>
    </row>
    <row r="899">
      <c r="A899" s="12">
        <f>IFERROR(__xludf.DUMMYFUNCTION("""COMPUTED_VALUE"""),43560.66666666667)</f>
        <v>43560.66667</v>
      </c>
      <c r="B899" s="13">
        <f>IFERROR(__xludf.DUMMYFUNCTION("""COMPUTED_VALUE"""),2892.74)</f>
        <v>2892.74</v>
      </c>
      <c r="C899" s="13">
        <f t="shared" si="1"/>
        <v>2846.725</v>
      </c>
      <c r="D899" s="13">
        <f t="shared" si="2"/>
        <v>2833.81</v>
      </c>
      <c r="E899" s="13" t="str">
        <f t="shared" si="3"/>
        <v>LONG</v>
      </c>
      <c r="F899" s="3">
        <f t="shared" si="4"/>
        <v>0.004636398682</v>
      </c>
      <c r="G899" s="4">
        <f t="shared" si="5"/>
        <v>1.391168436</v>
      </c>
      <c r="H899" s="3">
        <f t="shared" si="6"/>
        <v>0.004636398682</v>
      </c>
      <c r="I899" s="5">
        <f t="shared" si="7"/>
        <v>1.222059182</v>
      </c>
    </row>
    <row r="900">
      <c r="A900" s="12">
        <f>IFERROR(__xludf.DUMMYFUNCTION("""COMPUTED_VALUE"""),43563.66666666667)</f>
        <v>43563.66667</v>
      </c>
      <c r="B900" s="13">
        <f>IFERROR(__xludf.DUMMYFUNCTION("""COMPUTED_VALUE"""),2895.77)</f>
        <v>2895.77</v>
      </c>
      <c r="C900" s="13">
        <f t="shared" si="1"/>
        <v>2847.065</v>
      </c>
      <c r="D900" s="13">
        <f t="shared" si="2"/>
        <v>2844.22</v>
      </c>
      <c r="E900" s="13" t="str">
        <f t="shared" si="3"/>
        <v>LONG</v>
      </c>
      <c r="F900" s="3">
        <f t="shared" si="4"/>
        <v>0.001047449823</v>
      </c>
      <c r="G900" s="4">
        <f t="shared" si="5"/>
        <v>1.392625616</v>
      </c>
      <c r="H900" s="3">
        <f t="shared" si="6"/>
        <v>0.001047449823</v>
      </c>
      <c r="I900" s="5">
        <f t="shared" si="7"/>
        <v>1.223339228</v>
      </c>
    </row>
    <row r="901">
      <c r="A901" s="12">
        <f>IFERROR(__xludf.DUMMYFUNCTION("""COMPUTED_VALUE"""),43564.66666666667)</f>
        <v>43564.66667</v>
      </c>
      <c r="B901" s="13">
        <f>IFERROR(__xludf.DUMMYFUNCTION("""COMPUTED_VALUE"""),2878.2)</f>
        <v>2878.2</v>
      </c>
      <c r="C901" s="13">
        <f t="shared" si="1"/>
        <v>2848.33</v>
      </c>
      <c r="D901" s="13">
        <f t="shared" si="2"/>
        <v>2837.155</v>
      </c>
      <c r="E901" s="13" t="str">
        <f t="shared" si="3"/>
        <v>LONG</v>
      </c>
      <c r="F901" s="3">
        <f t="shared" si="4"/>
        <v>-0.006067470828</v>
      </c>
      <c r="G901" s="4">
        <f t="shared" si="5"/>
        <v>1.3841759</v>
      </c>
      <c r="H901" s="3">
        <f t="shared" si="6"/>
        <v>-0.006067470828</v>
      </c>
      <c r="I901" s="5">
        <f t="shared" si="7"/>
        <v>1.215916653</v>
      </c>
    </row>
    <row r="902">
      <c r="A902" s="12">
        <f>IFERROR(__xludf.DUMMYFUNCTION("""COMPUTED_VALUE"""),43565.66666666667)</f>
        <v>43565.66667</v>
      </c>
      <c r="B902" s="13">
        <f>IFERROR(__xludf.DUMMYFUNCTION("""COMPUTED_VALUE"""),2888.21)</f>
        <v>2888.21</v>
      </c>
      <c r="C902" s="13">
        <f t="shared" si="1"/>
        <v>2846.79</v>
      </c>
      <c r="D902" s="13">
        <f t="shared" si="2"/>
        <v>2841.055</v>
      </c>
      <c r="E902" s="13" t="str">
        <f t="shared" si="3"/>
        <v>LONG</v>
      </c>
      <c r="F902" s="3">
        <f t="shared" si="4"/>
        <v>0.003477868112</v>
      </c>
      <c r="G902" s="4">
        <f t="shared" si="5"/>
        <v>1.388989882</v>
      </c>
      <c r="H902" s="3">
        <f t="shared" si="6"/>
        <v>0.003477868112</v>
      </c>
      <c r="I902" s="5">
        <f t="shared" si="7"/>
        <v>1.22014545</v>
      </c>
    </row>
    <row r="903">
      <c r="A903" s="12">
        <f>IFERROR(__xludf.DUMMYFUNCTION("""COMPUTED_VALUE"""),43566.66666666667)</f>
        <v>43566.66667</v>
      </c>
      <c r="B903" s="13">
        <f>IFERROR(__xludf.DUMMYFUNCTION("""COMPUTED_VALUE"""),2888.32)</f>
        <v>2888.32</v>
      </c>
      <c r="C903" s="13">
        <f t="shared" si="1"/>
        <v>2851.88</v>
      </c>
      <c r="D903" s="13">
        <f t="shared" si="2"/>
        <v>2840.35</v>
      </c>
      <c r="E903" s="13" t="str">
        <f t="shared" si="3"/>
        <v>LONG</v>
      </c>
      <c r="F903" s="3">
        <f t="shared" si="4"/>
        <v>0.00003808587326</v>
      </c>
      <c r="G903" s="4">
        <f t="shared" si="5"/>
        <v>1.389042782</v>
      </c>
      <c r="H903" s="3">
        <f t="shared" si="6"/>
        <v>0.00003808587326</v>
      </c>
      <c r="I903" s="5">
        <f t="shared" si="7"/>
        <v>1.220191921</v>
      </c>
    </row>
    <row r="904">
      <c r="A904" s="12">
        <f>IFERROR(__xludf.DUMMYFUNCTION("""COMPUTED_VALUE"""),43567.66666666667)</f>
        <v>43567.66667</v>
      </c>
      <c r="B904" s="13">
        <f>IFERROR(__xludf.DUMMYFUNCTION("""COMPUTED_VALUE"""),2907.41)</f>
        <v>2907.41</v>
      </c>
      <c r="C904" s="13">
        <f t="shared" si="1"/>
        <v>2870.905</v>
      </c>
      <c r="D904" s="13">
        <f t="shared" si="2"/>
        <v>2845.95</v>
      </c>
      <c r="E904" s="13" t="str">
        <f t="shared" si="3"/>
        <v>LONG</v>
      </c>
      <c r="F904" s="3">
        <f t="shared" si="4"/>
        <v>0.006609378462</v>
      </c>
      <c r="G904" s="4">
        <f t="shared" si="5"/>
        <v>1.398223492</v>
      </c>
      <c r="H904" s="3">
        <f t="shared" si="6"/>
        <v>0.006609378462</v>
      </c>
      <c r="I904" s="5">
        <f t="shared" si="7"/>
        <v>1.228256631</v>
      </c>
    </row>
    <row r="905">
      <c r="A905" s="12">
        <f>IFERROR(__xludf.DUMMYFUNCTION("""COMPUTED_VALUE"""),43570.66666666667)</f>
        <v>43570.66667</v>
      </c>
      <c r="B905" s="13">
        <f>IFERROR(__xludf.DUMMYFUNCTION("""COMPUTED_VALUE"""),2905.58)</f>
        <v>2905.58</v>
      </c>
      <c r="C905" s="13">
        <f t="shared" si="1"/>
        <v>2886.385</v>
      </c>
      <c r="D905" s="13">
        <f t="shared" si="2"/>
        <v>2854.635</v>
      </c>
      <c r="E905" s="13" t="str">
        <f t="shared" si="3"/>
        <v>LONG</v>
      </c>
      <c r="F905" s="3">
        <f t="shared" si="4"/>
        <v>-0.0006294261903</v>
      </c>
      <c r="G905" s="4">
        <f t="shared" si="5"/>
        <v>1.397343413</v>
      </c>
      <c r="H905" s="3">
        <f t="shared" si="6"/>
        <v>-0.0006294261903</v>
      </c>
      <c r="I905" s="5">
        <f t="shared" si="7"/>
        <v>1.227483534</v>
      </c>
    </row>
    <row r="906">
      <c r="A906" s="12">
        <f>IFERROR(__xludf.DUMMYFUNCTION("""COMPUTED_VALUE"""),43571.66666666667)</f>
        <v>43571.66667</v>
      </c>
      <c r="B906" s="13">
        <f>IFERROR(__xludf.DUMMYFUNCTION("""COMPUTED_VALUE"""),2907.06)</f>
        <v>2907.06</v>
      </c>
      <c r="C906" s="13">
        <f t="shared" si="1"/>
        <v>2887.15</v>
      </c>
      <c r="D906" s="13">
        <f t="shared" si="2"/>
        <v>2849.935</v>
      </c>
      <c r="E906" s="13" t="str">
        <f t="shared" si="3"/>
        <v>LONG</v>
      </c>
      <c r="F906" s="3">
        <f t="shared" si="4"/>
        <v>0.0005093647396</v>
      </c>
      <c r="G906" s="4">
        <f t="shared" si="5"/>
        <v>1.398055171</v>
      </c>
      <c r="H906" s="3">
        <f t="shared" si="6"/>
        <v>0.0005093647396</v>
      </c>
      <c r="I906" s="5">
        <f t="shared" si="7"/>
        <v>1.228108771</v>
      </c>
    </row>
    <row r="907">
      <c r="A907" s="12">
        <f>IFERROR(__xludf.DUMMYFUNCTION("""COMPUTED_VALUE"""),43572.66666666667)</f>
        <v>43572.66667</v>
      </c>
      <c r="B907" s="13">
        <f>IFERROR(__xludf.DUMMYFUNCTION("""COMPUTED_VALUE"""),2900.45)</f>
        <v>2900.45</v>
      </c>
      <c r="C907" s="13">
        <f t="shared" si="1"/>
        <v>2886.925</v>
      </c>
      <c r="D907" s="13">
        <f t="shared" si="2"/>
        <v>2845.05</v>
      </c>
      <c r="E907" s="13" t="str">
        <f t="shared" si="3"/>
        <v>LONG</v>
      </c>
      <c r="F907" s="3">
        <f t="shared" si="4"/>
        <v>-0.002273774879</v>
      </c>
      <c r="G907" s="4">
        <f t="shared" si="5"/>
        <v>1.394876308</v>
      </c>
      <c r="H907" s="3">
        <f t="shared" si="6"/>
        <v>-0.002273774879</v>
      </c>
      <c r="I907" s="5">
        <f t="shared" si="7"/>
        <v>1.225316328</v>
      </c>
    </row>
    <row r="908">
      <c r="A908" s="12">
        <f>IFERROR(__xludf.DUMMYFUNCTION("""COMPUTED_VALUE"""),43573.66666666667)</f>
        <v>43573.66667</v>
      </c>
      <c r="B908" s="13">
        <f>IFERROR(__xludf.DUMMYFUNCTION("""COMPUTED_VALUE"""),2905.03)</f>
        <v>2905.03</v>
      </c>
      <c r="C908" s="13">
        <f t="shared" si="1"/>
        <v>2892.21</v>
      </c>
      <c r="D908" s="13">
        <f t="shared" si="2"/>
        <v>2838.24</v>
      </c>
      <c r="E908" s="13" t="str">
        <f t="shared" si="3"/>
        <v>LONG</v>
      </c>
      <c r="F908" s="3">
        <f t="shared" si="4"/>
        <v>0.001579065317</v>
      </c>
      <c r="G908" s="4">
        <f t="shared" si="5"/>
        <v>1.397078909</v>
      </c>
      <c r="H908" s="3">
        <f t="shared" si="6"/>
        <v>0.001579065317</v>
      </c>
      <c r="I908" s="5">
        <f t="shared" si="7"/>
        <v>1.227251182</v>
      </c>
    </row>
    <row r="909">
      <c r="A909" s="12">
        <f>IFERROR(__xludf.DUMMYFUNCTION("""COMPUTED_VALUE"""),43577.66666666667)</f>
        <v>43577.66667</v>
      </c>
      <c r="B909" s="13">
        <f>IFERROR(__xludf.DUMMYFUNCTION("""COMPUTED_VALUE"""),2907.97)</f>
        <v>2907.97</v>
      </c>
      <c r="C909" s="13">
        <f t="shared" si="1"/>
        <v>2900.355</v>
      </c>
      <c r="D909" s="13">
        <f t="shared" si="2"/>
        <v>2828.45</v>
      </c>
      <c r="E909" s="13" t="str">
        <f t="shared" si="3"/>
        <v>LONG</v>
      </c>
      <c r="F909" s="3">
        <f t="shared" si="4"/>
        <v>0.001012037741</v>
      </c>
      <c r="G909" s="4">
        <f t="shared" si="5"/>
        <v>1.398492805</v>
      </c>
      <c r="H909" s="3">
        <f t="shared" si="6"/>
        <v>0.001012037741</v>
      </c>
      <c r="I909" s="5">
        <f t="shared" si="7"/>
        <v>1.228493207</v>
      </c>
    </row>
    <row r="910">
      <c r="A910" s="12">
        <f>IFERROR(__xludf.DUMMYFUNCTION("""COMPUTED_VALUE"""),43578.66666666667)</f>
        <v>43578.66667</v>
      </c>
      <c r="B910" s="13">
        <f>IFERROR(__xludf.DUMMYFUNCTION("""COMPUTED_VALUE"""),2933.68)</f>
        <v>2933.68</v>
      </c>
      <c r="C910" s="13">
        <f t="shared" si="1"/>
        <v>2914.725</v>
      </c>
      <c r="D910" s="13">
        <f t="shared" si="2"/>
        <v>2838.375</v>
      </c>
      <c r="E910" s="13" t="str">
        <f t="shared" si="3"/>
        <v>LONG</v>
      </c>
      <c r="F910" s="3">
        <f t="shared" si="4"/>
        <v>0.008841219132</v>
      </c>
      <c r="G910" s="4">
        <f t="shared" si="5"/>
        <v>1.410857187</v>
      </c>
      <c r="H910" s="3">
        <f t="shared" si="6"/>
        <v>0.008841219132</v>
      </c>
      <c r="I910" s="5">
        <f t="shared" si="7"/>
        <v>1.239354585</v>
      </c>
    </row>
    <row r="911">
      <c r="A911" s="12">
        <f>IFERROR(__xludf.DUMMYFUNCTION("""COMPUTED_VALUE"""),43579.66666666667)</f>
        <v>43579.66667</v>
      </c>
      <c r="B911" s="13">
        <f>IFERROR(__xludf.DUMMYFUNCTION("""COMPUTED_VALUE"""),2927.25)</f>
        <v>2927.25</v>
      </c>
      <c r="C911" s="13">
        <f t="shared" si="1"/>
        <v>2902.725</v>
      </c>
      <c r="D911" s="13">
        <f t="shared" si="2"/>
        <v>2855.275</v>
      </c>
      <c r="E911" s="13" t="str">
        <f t="shared" si="3"/>
        <v>LONG</v>
      </c>
      <c r="F911" s="3">
        <f t="shared" si="4"/>
        <v>-0.002191786425</v>
      </c>
      <c r="G911" s="4">
        <f t="shared" si="5"/>
        <v>1.407764889</v>
      </c>
      <c r="H911" s="3">
        <f t="shared" si="6"/>
        <v>-0.002191786425</v>
      </c>
      <c r="I911" s="5">
        <f t="shared" si="7"/>
        <v>1.236638184</v>
      </c>
    </row>
    <row r="912">
      <c r="A912" s="12">
        <f>IFERROR(__xludf.DUMMYFUNCTION("""COMPUTED_VALUE"""),43580.66666666667)</f>
        <v>43580.66667</v>
      </c>
      <c r="B912" s="13">
        <f>IFERROR(__xludf.DUMMYFUNCTION("""COMPUTED_VALUE"""),2926.17)</f>
        <v>2926.17</v>
      </c>
      <c r="C912" s="13">
        <f t="shared" si="1"/>
        <v>2907.19</v>
      </c>
      <c r="D912" s="13">
        <f t="shared" si="2"/>
        <v>2858.845</v>
      </c>
      <c r="E912" s="13" t="str">
        <f t="shared" si="3"/>
        <v>LONG</v>
      </c>
      <c r="F912" s="3">
        <f t="shared" si="4"/>
        <v>-0.0003689469639</v>
      </c>
      <c r="G912" s="4">
        <f t="shared" si="5"/>
        <v>1.407245499</v>
      </c>
      <c r="H912" s="3">
        <f t="shared" si="6"/>
        <v>-0.0003689469639</v>
      </c>
      <c r="I912" s="5">
        <f t="shared" si="7"/>
        <v>1.23618193</v>
      </c>
    </row>
    <row r="913">
      <c r="A913" s="12">
        <f>IFERROR(__xludf.DUMMYFUNCTION("""COMPUTED_VALUE"""),43581.66666666667)</f>
        <v>43581.66667</v>
      </c>
      <c r="B913" s="13">
        <f>IFERROR(__xludf.DUMMYFUNCTION("""COMPUTED_VALUE"""),2939.88)</f>
        <v>2939.88</v>
      </c>
      <c r="C913" s="13">
        <f t="shared" si="1"/>
        <v>2914.1</v>
      </c>
      <c r="D913" s="13">
        <f t="shared" si="2"/>
        <v>2875.4</v>
      </c>
      <c r="E913" s="13" t="str">
        <f t="shared" si="3"/>
        <v>LONG</v>
      </c>
      <c r="F913" s="3">
        <f t="shared" si="4"/>
        <v>0.004685305365</v>
      </c>
      <c r="G913" s="4">
        <f t="shared" si="5"/>
        <v>1.413838873</v>
      </c>
      <c r="H913" s="3">
        <f t="shared" si="6"/>
        <v>0.004685305365</v>
      </c>
      <c r="I913" s="5">
        <f t="shared" si="7"/>
        <v>1.24197382</v>
      </c>
    </row>
    <row r="914">
      <c r="A914" s="12">
        <f>IFERROR(__xludf.DUMMYFUNCTION("""COMPUTED_VALUE"""),43584.66666666667)</f>
        <v>43584.66667</v>
      </c>
      <c r="B914" s="13">
        <f>IFERROR(__xludf.DUMMYFUNCTION("""COMPUTED_VALUE"""),2943.03)</f>
        <v>2943.03</v>
      </c>
      <c r="C914" s="13">
        <f t="shared" si="1"/>
        <v>2925.22</v>
      </c>
      <c r="D914" s="13">
        <f t="shared" si="2"/>
        <v>2875.755</v>
      </c>
      <c r="E914" s="13" t="str">
        <f t="shared" si="3"/>
        <v>LONG</v>
      </c>
      <c r="F914" s="3">
        <f t="shared" si="4"/>
        <v>0.001071472305</v>
      </c>
      <c r="G914" s="4">
        <f t="shared" si="5"/>
        <v>1.415353763</v>
      </c>
      <c r="H914" s="3">
        <f t="shared" si="6"/>
        <v>0.001071472305</v>
      </c>
      <c r="I914" s="5">
        <f t="shared" si="7"/>
        <v>1.243304561</v>
      </c>
    </row>
    <row r="915">
      <c r="A915" s="12">
        <f>IFERROR(__xludf.DUMMYFUNCTION("""COMPUTED_VALUE"""),43585.66666666667)</f>
        <v>43585.66667</v>
      </c>
      <c r="B915" s="13">
        <f>IFERROR(__xludf.DUMMYFUNCTION("""COMPUTED_VALUE"""),2945.83)</f>
        <v>2945.83</v>
      </c>
      <c r="C915" s="13">
        <f t="shared" si="1"/>
        <v>2925.705</v>
      </c>
      <c r="D915" s="13">
        <f t="shared" si="2"/>
        <v>2884.155</v>
      </c>
      <c r="E915" s="13" t="str">
        <f t="shared" si="3"/>
        <v>LONG</v>
      </c>
      <c r="F915" s="3">
        <f t="shared" si="4"/>
        <v>0.0009514004275</v>
      </c>
      <c r="G915" s="4">
        <f t="shared" si="5"/>
        <v>1.416700331</v>
      </c>
      <c r="H915" s="3">
        <f t="shared" si="6"/>
        <v>0.0009514004275</v>
      </c>
      <c r="I915" s="5">
        <f t="shared" si="7"/>
        <v>1.244487441</v>
      </c>
    </row>
    <row r="916">
      <c r="A916" s="12">
        <f>IFERROR(__xludf.DUMMYFUNCTION("""COMPUTED_VALUE"""),43586.66666666667)</f>
        <v>43586.66667</v>
      </c>
      <c r="B916" s="13">
        <f>IFERROR(__xludf.DUMMYFUNCTION("""COMPUTED_VALUE"""),2923.73)</f>
        <v>2923.73</v>
      </c>
      <c r="C916" s="13">
        <f t="shared" si="1"/>
        <v>2915.395</v>
      </c>
      <c r="D916" s="13">
        <f t="shared" si="2"/>
        <v>2878.335</v>
      </c>
      <c r="E916" s="13" t="str">
        <f t="shared" si="3"/>
        <v>LONG</v>
      </c>
      <c r="F916" s="3">
        <f t="shared" si="4"/>
        <v>-0.00750213013</v>
      </c>
      <c r="G916" s="4">
        <f t="shared" si="5"/>
        <v>1.406072061</v>
      </c>
      <c r="H916" s="3">
        <f t="shared" si="6"/>
        <v>-0.00750213013</v>
      </c>
      <c r="I916" s="5">
        <f t="shared" si="7"/>
        <v>1.235151134</v>
      </c>
    </row>
    <row r="917">
      <c r="A917" s="12">
        <f>IFERROR(__xludf.DUMMYFUNCTION("""COMPUTED_VALUE"""),43587.66666666667)</f>
        <v>43587.66667</v>
      </c>
      <c r="B917" s="13">
        <f>IFERROR(__xludf.DUMMYFUNCTION("""COMPUTED_VALUE"""),2917.52)</f>
        <v>2917.52</v>
      </c>
      <c r="C917" s="13">
        <f t="shared" si="1"/>
        <v>2908.985</v>
      </c>
      <c r="D917" s="13">
        <f t="shared" si="2"/>
        <v>2875.045</v>
      </c>
      <c r="E917" s="13" t="str">
        <f t="shared" si="3"/>
        <v>LONG</v>
      </c>
      <c r="F917" s="3">
        <f t="shared" si="4"/>
        <v>-0.002123999138</v>
      </c>
      <c r="G917" s="4">
        <f t="shared" si="5"/>
        <v>1.403085565</v>
      </c>
      <c r="H917" s="3">
        <f t="shared" si="6"/>
        <v>-0.002123999138</v>
      </c>
      <c r="I917" s="5">
        <f t="shared" si="7"/>
        <v>1.232527674</v>
      </c>
    </row>
    <row r="918">
      <c r="A918" s="12">
        <f>IFERROR(__xludf.DUMMYFUNCTION("""COMPUTED_VALUE"""),43588.66666666667)</f>
        <v>43588.66667</v>
      </c>
      <c r="B918" s="13">
        <f>IFERROR(__xludf.DUMMYFUNCTION("""COMPUTED_VALUE"""),2945.64)</f>
        <v>2945.64</v>
      </c>
      <c r="C918" s="13">
        <f t="shared" si="1"/>
        <v>2925.335</v>
      </c>
      <c r="D918" s="13">
        <f t="shared" si="2"/>
        <v>2884.935</v>
      </c>
      <c r="E918" s="13" t="str">
        <f t="shared" si="3"/>
        <v>LONG</v>
      </c>
      <c r="F918" s="3">
        <f t="shared" si="4"/>
        <v>0.009638322959</v>
      </c>
      <c r="G918" s="4">
        <f t="shared" si="5"/>
        <v>1.416608957</v>
      </c>
      <c r="H918" s="3">
        <f t="shared" si="6"/>
        <v>0.009638322959</v>
      </c>
      <c r="I918" s="5">
        <f t="shared" si="7"/>
        <v>1.244407174</v>
      </c>
    </row>
    <row r="919">
      <c r="A919" s="12">
        <f>IFERROR(__xludf.DUMMYFUNCTION("""COMPUTED_VALUE"""),43591.66666666667)</f>
        <v>43591.66667</v>
      </c>
      <c r="B919" s="13">
        <f>IFERROR(__xludf.DUMMYFUNCTION("""COMPUTED_VALUE"""),2932.47)</f>
        <v>2932.47</v>
      </c>
      <c r="C919" s="13">
        <f t="shared" si="1"/>
        <v>2920.22</v>
      </c>
      <c r="D919" s="13">
        <f t="shared" si="2"/>
        <v>2893.675</v>
      </c>
      <c r="E919" s="13" t="str">
        <f t="shared" si="3"/>
        <v>LONG</v>
      </c>
      <c r="F919" s="3">
        <f t="shared" si="4"/>
        <v>-0.004471014788</v>
      </c>
      <c r="G919" s="4">
        <f t="shared" si="5"/>
        <v>1.410275277</v>
      </c>
      <c r="H919" s="3">
        <f t="shared" si="6"/>
        <v>-0.004471014788</v>
      </c>
      <c r="I919" s="5">
        <f t="shared" si="7"/>
        <v>1.238843411</v>
      </c>
    </row>
    <row r="920">
      <c r="A920" s="12">
        <f>IFERROR(__xludf.DUMMYFUNCTION("""COMPUTED_VALUE"""),43592.66666666667)</f>
        <v>43592.66667</v>
      </c>
      <c r="B920" s="13">
        <f>IFERROR(__xludf.DUMMYFUNCTION("""COMPUTED_VALUE"""),2884.05)</f>
        <v>2884.05</v>
      </c>
      <c r="C920" s="13">
        <f t="shared" si="1"/>
        <v>2908.865</v>
      </c>
      <c r="D920" s="13">
        <f t="shared" si="2"/>
        <v>2842.38</v>
      </c>
      <c r="E920" s="13" t="str">
        <f t="shared" si="3"/>
        <v>LONG</v>
      </c>
      <c r="F920" s="3">
        <f t="shared" si="4"/>
        <v>-0.01651167787</v>
      </c>
      <c r="G920" s="4">
        <f t="shared" si="5"/>
        <v>1.386989266</v>
      </c>
      <c r="H920" s="3">
        <f t="shared" si="6"/>
        <v>-0.01651167787</v>
      </c>
      <c r="I920" s="5">
        <f t="shared" si="7"/>
        <v>1.218388028</v>
      </c>
    </row>
    <row r="921">
      <c r="A921" s="12">
        <f>IFERROR(__xludf.DUMMYFUNCTION("""COMPUTED_VALUE"""),43593.66666666667)</f>
        <v>43593.66667</v>
      </c>
      <c r="B921" s="13">
        <f>IFERROR(__xludf.DUMMYFUNCTION("""COMPUTED_VALUE"""),2879.42)</f>
        <v>2879.42</v>
      </c>
      <c r="C921" s="13">
        <f t="shared" si="1"/>
        <v>2903.335</v>
      </c>
      <c r="D921" s="13">
        <f t="shared" si="2"/>
        <v>2838.89</v>
      </c>
      <c r="E921" s="13" t="str">
        <f t="shared" si="3"/>
        <v>LONG</v>
      </c>
      <c r="F921" s="3">
        <f t="shared" si="4"/>
        <v>-0.001605381321</v>
      </c>
      <c r="G921" s="4">
        <f t="shared" si="5"/>
        <v>1.384762619</v>
      </c>
      <c r="H921" s="3">
        <f t="shared" si="6"/>
        <v>-0.001605381321</v>
      </c>
      <c r="I921" s="5">
        <f t="shared" si="7"/>
        <v>1.216432051</v>
      </c>
    </row>
    <row r="922">
      <c r="A922" s="12">
        <f>IFERROR(__xludf.DUMMYFUNCTION("""COMPUTED_VALUE"""),43594.66666666667)</f>
        <v>43594.66667</v>
      </c>
      <c r="B922" s="13">
        <f>IFERROR(__xludf.DUMMYFUNCTION("""COMPUTED_VALUE"""),2870.72)</f>
        <v>2870.72</v>
      </c>
      <c r="C922" s="13">
        <f t="shared" si="1"/>
        <v>2898.445</v>
      </c>
      <c r="D922" s="13">
        <f t="shared" si="2"/>
        <v>2844.59</v>
      </c>
      <c r="E922" s="13" t="str">
        <f t="shared" si="3"/>
        <v>LONG</v>
      </c>
      <c r="F922" s="3">
        <f t="shared" si="4"/>
        <v>-0.003021441818</v>
      </c>
      <c r="G922" s="4">
        <f t="shared" si="5"/>
        <v>1.38057864</v>
      </c>
      <c r="H922" s="3">
        <f t="shared" si="6"/>
        <v>-0.003021441818</v>
      </c>
      <c r="I922" s="5">
        <f t="shared" si="7"/>
        <v>1.212756672</v>
      </c>
    </row>
    <row r="923">
      <c r="A923" s="12">
        <f>IFERROR(__xludf.DUMMYFUNCTION("""COMPUTED_VALUE"""),43595.66666666667)</f>
        <v>43595.66667</v>
      </c>
      <c r="B923" s="13">
        <f>IFERROR(__xludf.DUMMYFUNCTION("""COMPUTED_VALUE"""),2881.4)</f>
        <v>2881.4</v>
      </c>
      <c r="C923" s="13">
        <f t="shared" si="1"/>
        <v>2910.64</v>
      </c>
      <c r="D923" s="13">
        <f t="shared" si="2"/>
        <v>2843.385</v>
      </c>
      <c r="E923" s="13" t="str">
        <f t="shared" si="3"/>
        <v>LONG</v>
      </c>
      <c r="F923" s="3">
        <f t="shared" si="4"/>
        <v>0.003720321034</v>
      </c>
      <c r="G923" s="4">
        <f t="shared" si="5"/>
        <v>1.385714835</v>
      </c>
      <c r="H923" s="3">
        <f t="shared" si="6"/>
        <v>0.003720321034</v>
      </c>
      <c r="I923" s="5">
        <f t="shared" si="7"/>
        <v>1.217268516</v>
      </c>
    </row>
    <row r="924">
      <c r="A924" s="12">
        <f>IFERROR(__xludf.DUMMYFUNCTION("""COMPUTED_VALUE"""),43598.66666666667)</f>
        <v>43598.66667</v>
      </c>
      <c r="B924" s="13">
        <f>IFERROR(__xludf.DUMMYFUNCTION("""COMPUTED_VALUE"""),2811.87)</f>
        <v>2811.87</v>
      </c>
      <c r="C924" s="13">
        <f t="shared" si="1"/>
        <v>2877.45</v>
      </c>
      <c r="D924" s="13">
        <f t="shared" si="2"/>
        <v>2813.655</v>
      </c>
      <c r="E924" s="13" t="str">
        <f t="shared" si="3"/>
        <v>LONG</v>
      </c>
      <c r="F924" s="3">
        <f t="shared" si="4"/>
        <v>-0.02413063094</v>
      </c>
      <c r="G924" s="4">
        <f t="shared" si="5"/>
        <v>1.352276662</v>
      </c>
      <c r="H924" s="3">
        <f t="shared" si="6"/>
        <v>-0.02413063094</v>
      </c>
      <c r="I924" s="5">
        <f t="shared" si="7"/>
        <v>1.187895059</v>
      </c>
    </row>
    <row r="925">
      <c r="A925" s="12">
        <f>IFERROR(__xludf.DUMMYFUNCTION("""COMPUTED_VALUE"""),43599.66666666667)</f>
        <v>43599.66667</v>
      </c>
      <c r="B925" s="13">
        <f>IFERROR(__xludf.DUMMYFUNCTION("""COMPUTED_VALUE"""),2834.41)</f>
        <v>2834.41</v>
      </c>
      <c r="C925" s="13">
        <f t="shared" si="1"/>
        <v>2890.12</v>
      </c>
      <c r="D925" s="13">
        <f t="shared" si="2"/>
        <v>2834.405</v>
      </c>
      <c r="E925" s="13" t="str">
        <f t="shared" si="3"/>
        <v>LONG</v>
      </c>
      <c r="F925" s="3">
        <f t="shared" si="4"/>
        <v>0.00801601781</v>
      </c>
      <c r="G925" s="4">
        <f t="shared" si="5"/>
        <v>1.363116536</v>
      </c>
      <c r="H925" s="3">
        <f t="shared" si="6"/>
        <v>0.00801601781</v>
      </c>
      <c r="I925" s="5">
        <f t="shared" si="7"/>
        <v>1.197417247</v>
      </c>
    </row>
    <row r="926">
      <c r="A926" s="12">
        <f>IFERROR(__xludf.DUMMYFUNCTION("""COMPUTED_VALUE"""),43600.66666666667)</f>
        <v>43600.66667</v>
      </c>
      <c r="B926" s="13">
        <f>IFERROR(__xludf.DUMMYFUNCTION("""COMPUTED_VALUE"""),2850.96)</f>
        <v>2850.96</v>
      </c>
      <c r="C926" s="13">
        <f t="shared" si="1"/>
        <v>2887.345</v>
      </c>
      <c r="D926" s="13">
        <f t="shared" si="2"/>
        <v>2859.075</v>
      </c>
      <c r="E926" s="13" t="str">
        <f t="shared" si="3"/>
        <v>LONG</v>
      </c>
      <c r="F926" s="3">
        <f t="shared" si="4"/>
        <v>0.005838957667</v>
      </c>
      <c r="G926" s="4">
        <f t="shared" si="5"/>
        <v>1.371075716</v>
      </c>
      <c r="H926" s="3">
        <f t="shared" si="6"/>
        <v>0.005838957667</v>
      </c>
      <c r="I926" s="5">
        <f t="shared" si="7"/>
        <v>1.204408915</v>
      </c>
    </row>
    <row r="927">
      <c r="A927" s="12">
        <f>IFERROR(__xludf.DUMMYFUNCTION("""COMPUTED_VALUE"""),43601.66666666667)</f>
        <v>43601.66667</v>
      </c>
      <c r="B927" s="13">
        <f>IFERROR(__xludf.DUMMYFUNCTION("""COMPUTED_VALUE"""),2876.32)</f>
        <v>2876.32</v>
      </c>
      <c r="C927" s="13">
        <f t="shared" si="1"/>
        <v>2896.92</v>
      </c>
      <c r="D927" s="13">
        <f t="shared" si="2"/>
        <v>2871.78</v>
      </c>
      <c r="E927" s="13" t="str">
        <f t="shared" si="3"/>
        <v>LONG</v>
      </c>
      <c r="F927" s="3">
        <f t="shared" si="4"/>
        <v>0.00889524932</v>
      </c>
      <c r="G927" s="4">
        <f t="shared" si="5"/>
        <v>1.383271776</v>
      </c>
      <c r="H927" s="3">
        <f t="shared" si="6"/>
        <v>0.00889524932</v>
      </c>
      <c r="I927" s="5">
        <f t="shared" si="7"/>
        <v>1.215122433</v>
      </c>
    </row>
    <row r="928">
      <c r="A928" s="12">
        <f>IFERROR(__xludf.DUMMYFUNCTION("""COMPUTED_VALUE"""),43602.66666666667)</f>
        <v>43602.66667</v>
      </c>
      <c r="B928" s="13">
        <f>IFERROR(__xludf.DUMMYFUNCTION("""COMPUTED_VALUE"""),2859.53)</f>
        <v>2859.53</v>
      </c>
      <c r="C928" s="13">
        <f t="shared" si="1"/>
        <v>2902.585</v>
      </c>
      <c r="D928" s="13">
        <f t="shared" si="2"/>
        <v>2866.465</v>
      </c>
      <c r="E928" s="13" t="str">
        <f t="shared" si="3"/>
        <v>LONG</v>
      </c>
      <c r="F928" s="3">
        <f t="shared" si="4"/>
        <v>-0.005837319909</v>
      </c>
      <c r="G928" s="4">
        <f t="shared" si="5"/>
        <v>1.375197176</v>
      </c>
      <c r="H928" s="3">
        <f t="shared" si="6"/>
        <v>-0.005837319909</v>
      </c>
      <c r="I928" s="5">
        <f t="shared" si="7"/>
        <v>1.208029375</v>
      </c>
    </row>
    <row r="929">
      <c r="A929" s="12">
        <f>IFERROR(__xludf.DUMMYFUNCTION("""COMPUTED_VALUE"""),43605.66666666667)</f>
        <v>43605.66667</v>
      </c>
      <c r="B929" s="13">
        <f>IFERROR(__xludf.DUMMYFUNCTION("""COMPUTED_VALUE"""),2840.23)</f>
        <v>2840.23</v>
      </c>
      <c r="C929" s="13">
        <f t="shared" si="1"/>
        <v>2886.35</v>
      </c>
      <c r="D929" s="13">
        <f t="shared" si="2"/>
        <v>2859.81</v>
      </c>
      <c r="E929" s="13" t="str">
        <f t="shared" si="3"/>
        <v>LONG</v>
      </c>
      <c r="F929" s="3">
        <f t="shared" si="4"/>
        <v>-0.006749360909</v>
      </c>
      <c r="G929" s="4">
        <f t="shared" si="5"/>
        <v>1.365915474</v>
      </c>
      <c r="H929" s="3">
        <f t="shared" si="6"/>
        <v>-0.006749360909</v>
      </c>
      <c r="I929" s="5">
        <f t="shared" si="7"/>
        <v>1.199875948</v>
      </c>
    </row>
    <row r="930">
      <c r="A930" s="12">
        <f>IFERROR(__xludf.DUMMYFUNCTION("""COMPUTED_VALUE"""),43606.66666666667)</f>
        <v>43606.66667</v>
      </c>
      <c r="B930" s="13">
        <f>IFERROR(__xludf.DUMMYFUNCTION("""COMPUTED_VALUE"""),2864.36)</f>
        <v>2864.36</v>
      </c>
      <c r="C930" s="13">
        <f t="shared" si="1"/>
        <v>2874.205</v>
      </c>
      <c r="D930" s="13">
        <f t="shared" si="2"/>
        <v>2878.55</v>
      </c>
      <c r="E930" s="13" t="str">
        <f t="shared" si="3"/>
        <v/>
      </c>
      <c r="F930" s="3">
        <f t="shared" si="4"/>
        <v>0.008495790834</v>
      </c>
      <c r="G930" s="4">
        <f t="shared" si="5"/>
        <v>1.377520006</v>
      </c>
      <c r="H930" s="5">
        <f t="shared" si="6"/>
        <v>0</v>
      </c>
      <c r="I930" s="5">
        <f t="shared" si="7"/>
        <v>1.199875948</v>
      </c>
    </row>
    <row r="931">
      <c r="A931" s="12">
        <f>IFERROR(__xludf.DUMMYFUNCTION("""COMPUTED_VALUE"""),43607.66666666667)</f>
        <v>43607.66667</v>
      </c>
      <c r="B931" s="13">
        <f>IFERROR(__xludf.DUMMYFUNCTION("""COMPUTED_VALUE"""),2856.27)</f>
        <v>2856.27</v>
      </c>
      <c r="C931" s="13">
        <f t="shared" si="1"/>
        <v>2867.845</v>
      </c>
      <c r="D931" s="13">
        <f t="shared" si="2"/>
        <v>2876.02</v>
      </c>
      <c r="E931" s="13" t="str">
        <f t="shared" si="3"/>
        <v/>
      </c>
      <c r="F931" s="3">
        <f t="shared" si="4"/>
        <v>-0.002824365652</v>
      </c>
      <c r="G931" s="4">
        <f t="shared" si="5"/>
        <v>1.373629386</v>
      </c>
      <c r="H931" s="5">
        <f t="shared" si="6"/>
        <v>0</v>
      </c>
      <c r="I931" s="5">
        <f t="shared" si="7"/>
        <v>1.199875948</v>
      </c>
    </row>
    <row r="932">
      <c r="A932" s="12">
        <f>IFERROR(__xludf.DUMMYFUNCTION("""COMPUTED_VALUE"""),43608.66666666667)</f>
        <v>43608.66667</v>
      </c>
      <c r="B932" s="13">
        <f>IFERROR(__xludf.DUMMYFUNCTION("""COMPUTED_VALUE"""),2822.24)</f>
        <v>2822.24</v>
      </c>
      <c r="C932" s="13">
        <f t="shared" si="1"/>
        <v>2846.48</v>
      </c>
      <c r="D932" s="13">
        <f t="shared" si="2"/>
        <v>2850.22</v>
      </c>
      <c r="E932" s="13" t="str">
        <f t="shared" si="3"/>
        <v/>
      </c>
      <c r="F932" s="3">
        <f t="shared" si="4"/>
        <v>-0.01191413977</v>
      </c>
      <c r="G932" s="4">
        <f t="shared" si="5"/>
        <v>1.357263773</v>
      </c>
      <c r="H932" s="5">
        <f t="shared" si="6"/>
        <v>0</v>
      </c>
      <c r="I932" s="5">
        <f t="shared" si="7"/>
        <v>1.199875948</v>
      </c>
    </row>
    <row r="933">
      <c r="A933" s="12">
        <f>IFERROR(__xludf.DUMMYFUNCTION("""COMPUTED_VALUE"""),43609.66666666667)</f>
        <v>43609.66667</v>
      </c>
      <c r="B933" s="13">
        <f>IFERROR(__xludf.DUMMYFUNCTION("""COMPUTED_VALUE"""),2826.06)</f>
        <v>2826.06</v>
      </c>
      <c r="C933" s="13">
        <f t="shared" si="1"/>
        <v>2853.73</v>
      </c>
      <c r="D933" s="13">
        <f t="shared" si="2"/>
        <v>2857.135</v>
      </c>
      <c r="E933" s="13" t="str">
        <f t="shared" si="3"/>
        <v/>
      </c>
      <c r="F933" s="3">
        <f t="shared" si="4"/>
        <v>0.001353534781</v>
      </c>
      <c r="G933" s="4">
        <f t="shared" si="5"/>
        <v>1.359100877</v>
      </c>
      <c r="H933" s="5">
        <f t="shared" si="6"/>
        <v>0</v>
      </c>
      <c r="I933" s="5">
        <f t="shared" si="7"/>
        <v>1.199875948</v>
      </c>
    </row>
    <row r="934">
      <c r="A934" s="12">
        <f>IFERROR(__xludf.DUMMYFUNCTION("""COMPUTED_VALUE"""),43613.66666666667)</f>
        <v>43613.66667</v>
      </c>
      <c r="B934" s="13">
        <f>IFERROR(__xludf.DUMMYFUNCTION("""COMPUTED_VALUE"""),2802.39)</f>
        <v>2802.39</v>
      </c>
      <c r="C934" s="13">
        <f t="shared" si="1"/>
        <v>2807.13</v>
      </c>
      <c r="D934" s="13">
        <f t="shared" si="2"/>
        <v>2845.355</v>
      </c>
      <c r="E934" s="13" t="str">
        <f t="shared" si="3"/>
        <v/>
      </c>
      <c r="F934" s="3">
        <f t="shared" si="4"/>
        <v>-0.008375618352</v>
      </c>
      <c r="G934" s="4">
        <f t="shared" si="5"/>
        <v>1.347717567</v>
      </c>
      <c r="H934" s="5">
        <f t="shared" si="6"/>
        <v>0</v>
      </c>
      <c r="I934" s="5">
        <f t="shared" si="7"/>
        <v>1.199875948</v>
      </c>
    </row>
    <row r="935">
      <c r="A935" s="12">
        <f>IFERROR(__xludf.DUMMYFUNCTION("""COMPUTED_VALUE"""),43614.66666666667)</f>
        <v>43614.66667</v>
      </c>
      <c r="B935" s="13">
        <f>IFERROR(__xludf.DUMMYFUNCTION("""COMPUTED_VALUE"""),2783.02)</f>
        <v>2783.02</v>
      </c>
      <c r="C935" s="13">
        <f t="shared" si="1"/>
        <v>2808.715</v>
      </c>
      <c r="D935" s="13">
        <f t="shared" si="2"/>
        <v>2845.215</v>
      </c>
      <c r="E935" s="13" t="str">
        <f t="shared" si="3"/>
        <v/>
      </c>
      <c r="F935" s="3">
        <f t="shared" si="4"/>
        <v>-0.006911957294</v>
      </c>
      <c r="G935" s="4">
        <f t="shared" si="5"/>
        <v>1.338402201</v>
      </c>
      <c r="H935" s="5">
        <f t="shared" si="6"/>
        <v>0</v>
      </c>
      <c r="I935" s="5">
        <f t="shared" si="7"/>
        <v>1.199875948</v>
      </c>
    </row>
    <row r="936">
      <c r="A936" s="12">
        <f>IFERROR(__xludf.DUMMYFUNCTION("""COMPUTED_VALUE"""),43615.66666666667)</f>
        <v>43615.66667</v>
      </c>
      <c r="B936" s="13">
        <f>IFERROR(__xludf.DUMMYFUNCTION("""COMPUTED_VALUE"""),2788.86)</f>
        <v>2788.86</v>
      </c>
      <c r="C936" s="13">
        <f t="shared" si="1"/>
        <v>2819.91</v>
      </c>
      <c r="D936" s="13">
        <f t="shared" si="2"/>
        <v>2847.22</v>
      </c>
      <c r="E936" s="13" t="str">
        <f t="shared" si="3"/>
        <v/>
      </c>
      <c r="F936" s="3">
        <f t="shared" si="4"/>
        <v>0.002098439824</v>
      </c>
      <c r="G936" s="4">
        <f t="shared" si="5"/>
        <v>1.341210757</v>
      </c>
      <c r="H936" s="5">
        <f t="shared" si="6"/>
        <v>0</v>
      </c>
      <c r="I936" s="5">
        <f t="shared" si="7"/>
        <v>1.199875948</v>
      </c>
    </row>
    <row r="937">
      <c r="A937" s="12">
        <f>IFERROR(__xludf.DUMMYFUNCTION("""COMPUTED_VALUE"""),43616.66666666667)</f>
        <v>43616.66667</v>
      </c>
      <c r="B937" s="13">
        <f>IFERROR(__xludf.DUMMYFUNCTION("""COMPUTED_VALUE"""),2752.06)</f>
        <v>2752.06</v>
      </c>
      <c r="C937" s="13">
        <f t="shared" si="1"/>
        <v>2814.19</v>
      </c>
      <c r="D937" s="13">
        <f t="shared" si="2"/>
        <v>2829.56</v>
      </c>
      <c r="E937" s="13" t="str">
        <f t="shared" si="3"/>
        <v/>
      </c>
      <c r="F937" s="3">
        <f t="shared" si="4"/>
        <v>-0.01319535581</v>
      </c>
      <c r="G937" s="4">
        <f t="shared" si="5"/>
        <v>1.323513004</v>
      </c>
      <c r="H937" s="5">
        <f t="shared" si="6"/>
        <v>0</v>
      </c>
      <c r="I937" s="5">
        <f t="shared" si="7"/>
        <v>1.199875948</v>
      </c>
    </row>
    <row r="938">
      <c r="A938" s="12">
        <f>IFERROR(__xludf.DUMMYFUNCTION("""COMPUTED_VALUE"""),43619.66666666667)</f>
        <v>43619.66667</v>
      </c>
      <c r="B938" s="13">
        <f>IFERROR(__xludf.DUMMYFUNCTION("""COMPUTED_VALUE"""),2744.45)</f>
        <v>2744.45</v>
      </c>
      <c r="C938" s="13">
        <f t="shared" si="1"/>
        <v>2801.99</v>
      </c>
      <c r="D938" s="13">
        <f t="shared" si="2"/>
        <v>2822.45</v>
      </c>
      <c r="E938" s="13" t="str">
        <f t="shared" si="3"/>
        <v/>
      </c>
      <c r="F938" s="3">
        <f t="shared" si="4"/>
        <v>-0.00276520134</v>
      </c>
      <c r="G938" s="4">
        <f t="shared" si="5"/>
        <v>1.319853224</v>
      </c>
      <c r="H938" s="5">
        <f t="shared" si="6"/>
        <v>0</v>
      </c>
      <c r="I938" s="5">
        <f t="shared" si="7"/>
        <v>1.199875948</v>
      </c>
    </row>
    <row r="939">
      <c r="A939" s="12">
        <f>IFERROR(__xludf.DUMMYFUNCTION("""COMPUTED_VALUE"""),43620.66666666667)</f>
        <v>43620.66667</v>
      </c>
      <c r="B939" s="13">
        <f>IFERROR(__xludf.DUMMYFUNCTION("""COMPUTED_VALUE"""),2803.27)</f>
        <v>2803.27</v>
      </c>
      <c r="C939" s="13">
        <f t="shared" si="1"/>
        <v>2821.75</v>
      </c>
      <c r="D939" s="13">
        <f t="shared" si="2"/>
        <v>2854.15</v>
      </c>
      <c r="E939" s="13" t="str">
        <f t="shared" si="3"/>
        <v/>
      </c>
      <c r="F939" s="3">
        <f t="shared" si="4"/>
        <v>0.02143234528</v>
      </c>
      <c r="G939" s="4">
        <f t="shared" si="5"/>
        <v>1.348140774</v>
      </c>
      <c r="H939" s="5">
        <f t="shared" si="6"/>
        <v>0</v>
      </c>
      <c r="I939" s="5">
        <f t="shared" si="7"/>
        <v>1.199875948</v>
      </c>
    </row>
    <row r="940">
      <c r="A940" s="12">
        <f>IFERROR(__xludf.DUMMYFUNCTION("""COMPUTED_VALUE"""),43621.66666666667)</f>
        <v>43621.66667</v>
      </c>
      <c r="B940" s="13">
        <f>IFERROR(__xludf.DUMMYFUNCTION("""COMPUTED_VALUE"""),2826.15)</f>
        <v>2826.15</v>
      </c>
      <c r="C940" s="13">
        <f t="shared" si="1"/>
        <v>2845.255</v>
      </c>
      <c r="D940" s="13">
        <f t="shared" si="2"/>
        <v>2867.06</v>
      </c>
      <c r="E940" s="13" t="str">
        <f t="shared" si="3"/>
        <v/>
      </c>
      <c r="F940" s="3">
        <f t="shared" si="4"/>
        <v>0.008161896642</v>
      </c>
      <c r="G940" s="4">
        <f t="shared" si="5"/>
        <v>1.35914416</v>
      </c>
      <c r="H940" s="5">
        <f t="shared" si="6"/>
        <v>0</v>
      </c>
      <c r="I940" s="5">
        <f t="shared" si="7"/>
        <v>1.199875948</v>
      </c>
    </row>
    <row r="941">
      <c r="A941" s="12">
        <f>IFERROR(__xludf.DUMMYFUNCTION("""COMPUTED_VALUE"""),43622.66666666667)</f>
        <v>43622.66667</v>
      </c>
      <c r="B941" s="13">
        <f>IFERROR(__xludf.DUMMYFUNCTION("""COMPUTED_VALUE"""),2843.49)</f>
        <v>2843.49</v>
      </c>
      <c r="C941" s="13">
        <f t="shared" si="1"/>
        <v>2849.88</v>
      </c>
      <c r="D941" s="13">
        <f t="shared" si="2"/>
        <v>2888.585</v>
      </c>
      <c r="E941" s="13" t="str">
        <f t="shared" si="3"/>
        <v/>
      </c>
      <c r="F941" s="3">
        <f t="shared" si="4"/>
        <v>0.006135555438</v>
      </c>
      <c r="G941" s="4">
        <f t="shared" si="5"/>
        <v>1.367483264</v>
      </c>
      <c r="H941" s="5">
        <f t="shared" si="6"/>
        <v>0</v>
      </c>
      <c r="I941" s="5">
        <f t="shared" si="7"/>
        <v>1.199875948</v>
      </c>
    </row>
    <row r="942">
      <c r="A942" s="12">
        <f>IFERROR(__xludf.DUMMYFUNCTION("""COMPUTED_VALUE"""),43623.66666666667)</f>
        <v>43623.66667</v>
      </c>
      <c r="B942" s="13">
        <f>IFERROR(__xludf.DUMMYFUNCTION("""COMPUTED_VALUE"""),2873.34)</f>
        <v>2873.34</v>
      </c>
      <c r="C942" s="13">
        <f t="shared" si="1"/>
        <v>2847.79</v>
      </c>
      <c r="D942" s="13">
        <f t="shared" si="2"/>
        <v>2900.295</v>
      </c>
      <c r="E942" s="13" t="str">
        <f t="shared" si="3"/>
        <v/>
      </c>
      <c r="F942" s="3">
        <f t="shared" si="4"/>
        <v>0.01049766308</v>
      </c>
      <c r="G942" s="4">
        <f t="shared" si="5"/>
        <v>1.381838643</v>
      </c>
      <c r="H942" s="5">
        <f t="shared" si="6"/>
        <v>0</v>
      </c>
      <c r="I942" s="5">
        <f t="shared" si="7"/>
        <v>1.199875948</v>
      </c>
    </row>
    <row r="943">
      <c r="A943" s="12">
        <f>IFERROR(__xludf.DUMMYFUNCTION("""COMPUTED_VALUE"""),43626.66666666667)</f>
        <v>43626.66667</v>
      </c>
      <c r="B943" s="13">
        <f>IFERROR(__xludf.DUMMYFUNCTION("""COMPUTED_VALUE"""),2886.73)</f>
        <v>2886.73</v>
      </c>
      <c r="C943" s="13">
        <f t="shared" si="1"/>
        <v>2856.395</v>
      </c>
      <c r="D943" s="13">
        <f t="shared" si="2"/>
        <v>2906.45</v>
      </c>
      <c r="E943" s="13" t="str">
        <f t="shared" si="3"/>
        <v/>
      </c>
      <c r="F943" s="3">
        <f t="shared" si="4"/>
        <v>0.004660081995</v>
      </c>
      <c r="G943" s="4">
        <f t="shared" si="5"/>
        <v>1.388278124</v>
      </c>
      <c r="H943" s="5">
        <f t="shared" si="6"/>
        <v>0</v>
      </c>
      <c r="I943" s="5">
        <f t="shared" si="7"/>
        <v>1.199875948</v>
      </c>
    </row>
    <row r="944">
      <c r="A944" s="12">
        <f>IFERROR(__xludf.DUMMYFUNCTION("""COMPUTED_VALUE"""),43627.66666666667)</f>
        <v>43627.66667</v>
      </c>
      <c r="B944" s="13">
        <f>IFERROR(__xludf.DUMMYFUNCTION("""COMPUTED_VALUE"""),2885.72)</f>
        <v>2885.72</v>
      </c>
      <c r="C944" s="13">
        <f t="shared" si="1"/>
        <v>2844.055</v>
      </c>
      <c r="D944" s="13">
        <f t="shared" si="2"/>
        <v>2912.8</v>
      </c>
      <c r="E944" s="13" t="str">
        <f t="shared" si="3"/>
        <v/>
      </c>
      <c r="F944" s="3">
        <f t="shared" si="4"/>
        <v>-0.0003498768503</v>
      </c>
      <c r="G944" s="4">
        <f t="shared" si="5"/>
        <v>1.387792398</v>
      </c>
      <c r="H944" s="5">
        <f t="shared" si="6"/>
        <v>0</v>
      </c>
      <c r="I944" s="5">
        <f t="shared" si="7"/>
        <v>1.199875948</v>
      </c>
    </row>
    <row r="945">
      <c r="A945" s="12">
        <f>IFERROR(__xludf.DUMMYFUNCTION("""COMPUTED_VALUE"""),43628.66666666667)</f>
        <v>43628.66667</v>
      </c>
      <c r="B945" s="13">
        <f>IFERROR(__xludf.DUMMYFUNCTION("""COMPUTED_VALUE"""),2879.84)</f>
        <v>2879.84</v>
      </c>
      <c r="C945" s="13">
        <f t="shared" si="1"/>
        <v>2831.43</v>
      </c>
      <c r="D945" s="13">
        <f t="shared" si="2"/>
        <v>2911.435</v>
      </c>
      <c r="E945" s="13" t="str">
        <f t="shared" si="3"/>
        <v/>
      </c>
      <c r="F945" s="3">
        <f t="shared" si="4"/>
        <v>-0.002037619727</v>
      </c>
      <c r="G945" s="4">
        <f t="shared" si="5"/>
        <v>1.384964604</v>
      </c>
      <c r="H945" s="5">
        <f t="shared" si="6"/>
        <v>0</v>
      </c>
      <c r="I945" s="5">
        <f t="shared" si="7"/>
        <v>1.199875948</v>
      </c>
    </row>
    <row r="946">
      <c r="A946" s="12">
        <f>IFERROR(__xludf.DUMMYFUNCTION("""COMPUTED_VALUE"""),43629.66666666667)</f>
        <v>43629.66667</v>
      </c>
      <c r="B946" s="13">
        <f>IFERROR(__xludf.DUMMYFUNCTION("""COMPUTED_VALUE"""),2891.64)</f>
        <v>2891.64</v>
      </c>
      <c r="C946" s="13">
        <f t="shared" si="1"/>
        <v>2840.25</v>
      </c>
      <c r="D946" s="13">
        <f t="shared" si="2"/>
        <v>2918.735</v>
      </c>
      <c r="E946" s="13" t="str">
        <f t="shared" si="3"/>
        <v/>
      </c>
      <c r="F946" s="3">
        <f t="shared" si="4"/>
        <v>0.004097449858</v>
      </c>
      <c r="G946" s="4">
        <f t="shared" si="5"/>
        <v>1.390639428</v>
      </c>
      <c r="H946" s="5">
        <f t="shared" si="6"/>
        <v>0</v>
      </c>
      <c r="I946" s="5">
        <f t="shared" si="7"/>
        <v>1.199875948</v>
      </c>
    </row>
    <row r="947">
      <c r="A947" s="12">
        <f>IFERROR(__xludf.DUMMYFUNCTION("""COMPUTED_VALUE"""),43630.66666666667)</f>
        <v>43630.66667</v>
      </c>
      <c r="B947" s="13">
        <f>IFERROR(__xludf.DUMMYFUNCTION("""COMPUTED_VALUE"""),2886.98)</f>
        <v>2886.98</v>
      </c>
      <c r="C947" s="13">
        <f t="shared" si="1"/>
        <v>2819.52</v>
      </c>
      <c r="D947" s="13">
        <f t="shared" si="2"/>
        <v>2905.355</v>
      </c>
      <c r="E947" s="13" t="str">
        <f t="shared" si="3"/>
        <v/>
      </c>
      <c r="F947" s="3">
        <f t="shared" si="4"/>
        <v>-0.001611542239</v>
      </c>
      <c r="G947" s="4">
        <f t="shared" si="5"/>
        <v>1.388398353</v>
      </c>
      <c r="H947" s="5">
        <f t="shared" si="6"/>
        <v>0</v>
      </c>
      <c r="I947" s="5">
        <f t="shared" si="7"/>
        <v>1.199875948</v>
      </c>
    </row>
    <row r="948">
      <c r="A948" s="12">
        <f>IFERROR(__xludf.DUMMYFUNCTION("""COMPUTED_VALUE"""),43633.66666666667)</f>
        <v>43633.66667</v>
      </c>
      <c r="B948" s="13">
        <f>IFERROR(__xludf.DUMMYFUNCTION("""COMPUTED_VALUE"""),2889.67)</f>
        <v>2889.67</v>
      </c>
      <c r="C948" s="13">
        <f t="shared" si="1"/>
        <v>2817.06</v>
      </c>
      <c r="D948" s="13">
        <f t="shared" si="2"/>
        <v>2903.595</v>
      </c>
      <c r="E948" s="13" t="str">
        <f t="shared" si="3"/>
        <v/>
      </c>
      <c r="F948" s="3">
        <f t="shared" si="4"/>
        <v>0.0009317695308</v>
      </c>
      <c r="G948" s="4">
        <f t="shared" si="5"/>
        <v>1.389692021</v>
      </c>
      <c r="H948" s="5">
        <f t="shared" si="6"/>
        <v>0</v>
      </c>
      <c r="I948" s="5">
        <f t="shared" si="7"/>
        <v>1.199875948</v>
      </c>
    </row>
    <row r="949">
      <c r="A949" s="12">
        <f>IFERROR(__xludf.DUMMYFUNCTION("""COMPUTED_VALUE"""),43634.66666666667)</f>
        <v>43634.66667</v>
      </c>
      <c r="B949" s="13">
        <f>IFERROR(__xludf.DUMMYFUNCTION("""COMPUTED_VALUE"""),2917.75)</f>
        <v>2917.75</v>
      </c>
      <c r="C949" s="13">
        <f t="shared" si="1"/>
        <v>2860.51</v>
      </c>
      <c r="D949" s="13">
        <f t="shared" si="2"/>
        <v>2931.695</v>
      </c>
      <c r="E949" s="13" t="str">
        <f t="shared" si="3"/>
        <v/>
      </c>
      <c r="F949" s="3">
        <f t="shared" si="4"/>
        <v>0.009717372572</v>
      </c>
      <c r="G949" s="4">
        <f t="shared" si="5"/>
        <v>1.403196176</v>
      </c>
      <c r="H949" s="5">
        <f t="shared" si="6"/>
        <v>0</v>
      </c>
      <c r="I949" s="5">
        <f t="shared" si="7"/>
        <v>1.199875948</v>
      </c>
    </row>
    <row r="950">
      <c r="A950" s="12">
        <f>IFERROR(__xludf.DUMMYFUNCTION("""COMPUTED_VALUE"""),43635.66666666667)</f>
        <v>43635.66667</v>
      </c>
      <c r="B950" s="13">
        <f>IFERROR(__xludf.DUMMYFUNCTION("""COMPUTED_VALUE"""),2926.46)</f>
        <v>2926.46</v>
      </c>
      <c r="C950" s="13">
        <f t="shared" si="1"/>
        <v>2876.305</v>
      </c>
      <c r="D950" s="13">
        <f t="shared" si="2"/>
        <v>2929.465</v>
      </c>
      <c r="E950" s="13" t="str">
        <f t="shared" si="3"/>
        <v/>
      </c>
      <c r="F950" s="3">
        <f t="shared" si="4"/>
        <v>0.002985176934</v>
      </c>
      <c r="G950" s="4">
        <f t="shared" si="5"/>
        <v>1.407384965</v>
      </c>
      <c r="H950" s="5">
        <f t="shared" si="6"/>
        <v>0</v>
      </c>
      <c r="I950" s="5">
        <f t="shared" si="7"/>
        <v>1.199875948</v>
      </c>
    </row>
    <row r="951">
      <c r="A951" s="12">
        <f>IFERROR(__xludf.DUMMYFUNCTION("""COMPUTED_VALUE"""),43636.66666666667)</f>
        <v>43636.66667</v>
      </c>
      <c r="B951" s="13">
        <f>IFERROR(__xludf.DUMMYFUNCTION("""COMPUTED_VALUE"""),2954.18)</f>
        <v>2954.18</v>
      </c>
      <c r="C951" s="13">
        <f t="shared" si="1"/>
        <v>2898.835</v>
      </c>
      <c r="D951" s="13">
        <f t="shared" si="2"/>
        <v>2919.115</v>
      </c>
      <c r="E951" s="13" t="str">
        <f t="shared" si="3"/>
        <v/>
      </c>
      <c r="F951" s="3">
        <f t="shared" si="4"/>
        <v>0.009472195075</v>
      </c>
      <c r="G951" s="4">
        <f t="shared" si="5"/>
        <v>1.42071599</v>
      </c>
      <c r="H951" s="5">
        <f t="shared" si="6"/>
        <v>0</v>
      </c>
      <c r="I951" s="5">
        <f t="shared" si="7"/>
        <v>1.199875948</v>
      </c>
    </row>
    <row r="952">
      <c r="A952" s="12">
        <f>IFERROR(__xludf.DUMMYFUNCTION("""COMPUTED_VALUE"""),43637.66666666667)</f>
        <v>43637.66667</v>
      </c>
      <c r="B952" s="13">
        <f>IFERROR(__xludf.DUMMYFUNCTION("""COMPUTED_VALUE"""),2950.46)</f>
        <v>2950.46</v>
      </c>
      <c r="C952" s="13">
        <f t="shared" si="1"/>
        <v>2911.9</v>
      </c>
      <c r="D952" s="13">
        <f t="shared" si="2"/>
        <v>2914.94</v>
      </c>
      <c r="E952" s="13" t="str">
        <f t="shared" si="3"/>
        <v/>
      </c>
      <c r="F952" s="3">
        <f t="shared" si="4"/>
        <v>-0.00125923268</v>
      </c>
      <c r="G952" s="4">
        <f t="shared" si="5"/>
        <v>1.418926978</v>
      </c>
      <c r="H952" s="5">
        <f t="shared" si="6"/>
        <v>0</v>
      </c>
      <c r="I952" s="5">
        <f t="shared" si="7"/>
        <v>1.199875948</v>
      </c>
    </row>
    <row r="953">
      <c r="A953" s="12">
        <f>IFERROR(__xludf.DUMMYFUNCTION("""COMPUTED_VALUE"""),43640.66666666667)</f>
        <v>43640.66667</v>
      </c>
      <c r="B953" s="13">
        <f>IFERROR(__xludf.DUMMYFUNCTION("""COMPUTED_VALUE"""),2945.35)</f>
        <v>2945.35</v>
      </c>
      <c r="C953" s="13">
        <f t="shared" si="1"/>
        <v>2916.04</v>
      </c>
      <c r="D953" s="13">
        <f t="shared" si="2"/>
        <v>2908.035</v>
      </c>
      <c r="E953" s="13" t="str">
        <f t="shared" si="3"/>
        <v>LONG</v>
      </c>
      <c r="F953" s="3">
        <f t="shared" si="4"/>
        <v>-0.001731933326</v>
      </c>
      <c r="G953" s="4">
        <f t="shared" si="5"/>
        <v>1.416469491</v>
      </c>
      <c r="H953" s="3">
        <f t="shared" si="6"/>
        <v>-0.001731933326</v>
      </c>
      <c r="I953" s="5">
        <f t="shared" si="7"/>
        <v>1.197797843</v>
      </c>
    </row>
    <row r="954">
      <c r="A954" s="12">
        <f>IFERROR(__xludf.DUMMYFUNCTION("""COMPUTED_VALUE"""),43641.66666666667)</f>
        <v>43641.66667</v>
      </c>
      <c r="B954" s="13">
        <f>IFERROR(__xludf.DUMMYFUNCTION("""COMPUTED_VALUE"""),2917.38)</f>
        <v>2917.38</v>
      </c>
      <c r="C954" s="13">
        <f t="shared" si="1"/>
        <v>2901.55</v>
      </c>
      <c r="D954" s="13">
        <f t="shared" si="2"/>
        <v>2899.39</v>
      </c>
      <c r="E954" s="13" t="str">
        <f t="shared" si="3"/>
        <v>LONG</v>
      </c>
      <c r="F954" s="3">
        <f t="shared" si="4"/>
        <v>-0.009496324715</v>
      </c>
      <c r="G954" s="4">
        <f t="shared" si="5"/>
        <v>1.403018236</v>
      </c>
      <c r="H954" s="3">
        <f t="shared" si="6"/>
        <v>-0.009496324715</v>
      </c>
      <c r="I954" s="5">
        <f t="shared" si="7"/>
        <v>1.186423166</v>
      </c>
    </row>
    <row r="955">
      <c r="A955" s="12">
        <f>IFERROR(__xludf.DUMMYFUNCTION("""COMPUTED_VALUE"""),43642.66666666667)</f>
        <v>43642.66667</v>
      </c>
      <c r="B955" s="13">
        <f>IFERROR(__xludf.DUMMYFUNCTION("""COMPUTED_VALUE"""),2913.78)</f>
        <v>2913.78</v>
      </c>
      <c r="C955" s="13">
        <f t="shared" si="1"/>
        <v>2896.81</v>
      </c>
      <c r="D955" s="13">
        <f t="shared" si="2"/>
        <v>2862.825</v>
      </c>
      <c r="E955" s="13" t="str">
        <f t="shared" si="3"/>
        <v>LONG</v>
      </c>
      <c r="F955" s="3">
        <f t="shared" si="4"/>
        <v>-0.001233983917</v>
      </c>
      <c r="G955" s="4">
        <f t="shared" si="5"/>
        <v>1.401286934</v>
      </c>
      <c r="H955" s="3">
        <f t="shared" si="6"/>
        <v>-0.001233983917</v>
      </c>
      <c r="I955" s="5">
        <f t="shared" si="7"/>
        <v>1.184959139</v>
      </c>
    </row>
    <row r="956">
      <c r="A956" s="12">
        <f>IFERROR(__xludf.DUMMYFUNCTION("""COMPUTED_VALUE"""),43643.66666666667)</f>
        <v>43643.66667</v>
      </c>
      <c r="B956" s="13">
        <f>IFERROR(__xludf.DUMMYFUNCTION("""COMPUTED_VALUE"""),2924.92)</f>
        <v>2924.92</v>
      </c>
      <c r="C956" s="13">
        <f t="shared" si="1"/>
        <v>2908.28</v>
      </c>
      <c r="D956" s="13">
        <f t="shared" si="2"/>
        <v>2879.665</v>
      </c>
      <c r="E956" s="13" t="str">
        <f t="shared" si="3"/>
        <v>LONG</v>
      </c>
      <c r="F956" s="3">
        <f t="shared" si="4"/>
        <v>0.003823212459</v>
      </c>
      <c r="G956" s="4">
        <f t="shared" si="5"/>
        <v>1.406644352</v>
      </c>
      <c r="H956" s="3">
        <f t="shared" si="6"/>
        <v>0.003823212459</v>
      </c>
      <c r="I956" s="5">
        <f t="shared" si="7"/>
        <v>1.189489489</v>
      </c>
    </row>
    <row r="957">
      <c r="A957" s="12">
        <f>IFERROR(__xludf.DUMMYFUNCTION("""COMPUTED_VALUE"""),43644.66666666667)</f>
        <v>43644.66667</v>
      </c>
      <c r="B957" s="13">
        <f>IFERROR(__xludf.DUMMYFUNCTION("""COMPUTED_VALUE"""),2941.76)</f>
        <v>2941.76</v>
      </c>
      <c r="C957" s="13">
        <f t="shared" si="1"/>
        <v>2914.37</v>
      </c>
      <c r="D957" s="13">
        <f t="shared" si="2"/>
        <v>2896.36</v>
      </c>
      <c r="E957" s="13" t="str">
        <f t="shared" si="3"/>
        <v>LONG</v>
      </c>
      <c r="F957" s="3">
        <f t="shared" si="4"/>
        <v>0.005757422425</v>
      </c>
      <c r="G957" s="4">
        <f t="shared" si="5"/>
        <v>1.414742998</v>
      </c>
      <c r="H957" s="3">
        <f t="shared" si="6"/>
        <v>0.005757422425</v>
      </c>
      <c r="I957" s="5">
        <f t="shared" si="7"/>
        <v>1.196337883</v>
      </c>
    </row>
    <row r="958">
      <c r="A958" s="12">
        <f>IFERROR(__xludf.DUMMYFUNCTION("""COMPUTED_VALUE"""),43647.66666666667)</f>
        <v>43647.66667</v>
      </c>
      <c r="B958" s="13">
        <f>IFERROR(__xludf.DUMMYFUNCTION("""COMPUTED_VALUE"""),2964.33)</f>
        <v>2964.33</v>
      </c>
      <c r="C958" s="13">
        <f t="shared" si="1"/>
        <v>2927</v>
      </c>
      <c r="D958" s="13">
        <f t="shared" si="2"/>
        <v>2920.325</v>
      </c>
      <c r="E958" s="13" t="str">
        <f t="shared" si="3"/>
        <v>LONG</v>
      </c>
      <c r="F958" s="3">
        <f t="shared" si="4"/>
        <v>0.00767227782</v>
      </c>
      <c r="G958" s="4">
        <f t="shared" si="5"/>
        <v>1.425597299</v>
      </c>
      <c r="H958" s="3">
        <f t="shared" si="6"/>
        <v>0.00767227782</v>
      </c>
      <c r="I958" s="5">
        <f t="shared" si="7"/>
        <v>1.205516519</v>
      </c>
    </row>
    <row r="959">
      <c r="A959" s="12">
        <f>IFERROR(__xludf.DUMMYFUNCTION("""COMPUTED_VALUE"""),43648.66666666667)</f>
        <v>43648.66667</v>
      </c>
      <c r="B959" s="13">
        <f>IFERROR(__xludf.DUMMYFUNCTION("""COMPUTED_VALUE"""),2973.01)</f>
        <v>2973.01</v>
      </c>
      <c r="C959" s="13">
        <f t="shared" si="1"/>
        <v>2945.38</v>
      </c>
      <c r="D959" s="13">
        <f t="shared" si="2"/>
        <v>2916.27</v>
      </c>
      <c r="E959" s="13" t="str">
        <f t="shared" si="3"/>
        <v>LONG</v>
      </c>
      <c r="F959" s="3">
        <f t="shared" si="4"/>
        <v>0.002928149025</v>
      </c>
      <c r="G959" s="4">
        <f t="shared" si="5"/>
        <v>1.429771661</v>
      </c>
      <c r="H959" s="3">
        <f t="shared" si="6"/>
        <v>0.002928149025</v>
      </c>
      <c r="I959" s="5">
        <f t="shared" si="7"/>
        <v>1.209046451</v>
      </c>
    </row>
    <row r="960">
      <c r="A960" s="12">
        <f>IFERROR(__xludf.DUMMYFUNCTION("""COMPUTED_VALUE"""),43649.54166666667)</f>
        <v>43649.54167</v>
      </c>
      <c r="B960" s="13">
        <f>IFERROR(__xludf.DUMMYFUNCTION("""COMPUTED_VALUE"""),2995.82)</f>
        <v>2995.82</v>
      </c>
      <c r="C960" s="13">
        <f t="shared" si="1"/>
        <v>2961.14</v>
      </c>
      <c r="D960" s="13">
        <f t="shared" si="2"/>
        <v>2918.025</v>
      </c>
      <c r="E960" s="13" t="str">
        <f t="shared" si="3"/>
        <v>LONG</v>
      </c>
      <c r="F960" s="3">
        <f t="shared" si="4"/>
        <v>0.00767235899</v>
      </c>
      <c r="G960" s="4">
        <f t="shared" si="5"/>
        <v>1.440741382</v>
      </c>
      <c r="H960" s="3">
        <f t="shared" si="6"/>
        <v>0.00767235899</v>
      </c>
      <c r="I960" s="5">
        <f t="shared" si="7"/>
        <v>1.21832269</v>
      </c>
    </row>
    <row r="961">
      <c r="A961" s="12">
        <f>IFERROR(__xludf.DUMMYFUNCTION("""COMPUTED_VALUE"""),43651.66666666667)</f>
        <v>43651.66667</v>
      </c>
      <c r="B961" s="13">
        <f>IFERROR(__xludf.DUMMYFUNCTION("""COMPUTED_VALUE"""),2990.41)</f>
        <v>2990.41</v>
      </c>
      <c r="C961" s="13">
        <f t="shared" si="1"/>
        <v>2972.295</v>
      </c>
      <c r="D961" s="13">
        <f t="shared" si="2"/>
        <v>2927.385</v>
      </c>
      <c r="E961" s="13" t="str">
        <f t="shared" si="3"/>
        <v>LONG</v>
      </c>
      <c r="F961" s="3">
        <f t="shared" si="4"/>
        <v>-0.001805849484</v>
      </c>
      <c r="G961" s="4">
        <f t="shared" si="5"/>
        <v>1.43813962</v>
      </c>
      <c r="H961" s="3">
        <f t="shared" si="6"/>
        <v>-0.001805849484</v>
      </c>
      <c r="I961" s="5">
        <f t="shared" si="7"/>
        <v>1.216122582</v>
      </c>
    </row>
    <row r="962">
      <c r="A962" s="12">
        <f>IFERROR(__xludf.DUMMYFUNCTION("""COMPUTED_VALUE"""),43654.66666666667)</f>
        <v>43654.66667</v>
      </c>
      <c r="B962" s="13">
        <f>IFERROR(__xludf.DUMMYFUNCTION("""COMPUTED_VALUE"""),2975.95)</f>
        <v>2975.95</v>
      </c>
      <c r="C962" s="13">
        <f t="shared" si="1"/>
        <v>2963.205</v>
      </c>
      <c r="D962" s="13">
        <f t="shared" si="2"/>
        <v>2916.11</v>
      </c>
      <c r="E962" s="13" t="str">
        <f t="shared" si="3"/>
        <v>LONG</v>
      </c>
      <c r="F962" s="3">
        <f t="shared" si="4"/>
        <v>-0.004835457345</v>
      </c>
      <c r="G962" s="4">
        <f t="shared" si="5"/>
        <v>1.431185557</v>
      </c>
      <c r="H962" s="3">
        <f t="shared" si="6"/>
        <v>-0.004835457345</v>
      </c>
      <c r="I962" s="5">
        <f t="shared" si="7"/>
        <v>1.210242074</v>
      </c>
    </row>
    <row r="963">
      <c r="A963" s="12">
        <f>IFERROR(__xludf.DUMMYFUNCTION("""COMPUTED_VALUE"""),43655.66666666667)</f>
        <v>43655.66667</v>
      </c>
      <c r="B963" s="13">
        <f>IFERROR(__xludf.DUMMYFUNCTION("""COMPUTED_VALUE"""),2979.63)</f>
        <v>2979.63</v>
      </c>
      <c r="C963" s="13">
        <f t="shared" si="1"/>
        <v>2962.49</v>
      </c>
      <c r="D963" s="13">
        <f t="shared" si="2"/>
        <v>2900.935</v>
      </c>
      <c r="E963" s="13" t="str">
        <f t="shared" si="3"/>
        <v>LONG</v>
      </c>
      <c r="F963" s="3">
        <f t="shared" si="4"/>
        <v>0.001236579916</v>
      </c>
      <c r="G963" s="4">
        <f t="shared" si="5"/>
        <v>1.432955332</v>
      </c>
      <c r="H963" s="3">
        <f t="shared" si="6"/>
        <v>0.001236579916</v>
      </c>
      <c r="I963" s="5">
        <f t="shared" si="7"/>
        <v>1.211738635</v>
      </c>
    </row>
    <row r="964">
      <c r="A964" s="12">
        <f>IFERROR(__xludf.DUMMYFUNCTION("""COMPUTED_VALUE"""),43656.66666666667)</f>
        <v>43656.66667</v>
      </c>
      <c r="B964" s="13">
        <f>IFERROR(__xludf.DUMMYFUNCTION("""COMPUTED_VALUE"""),2993.07)</f>
        <v>2993.07</v>
      </c>
      <c r="C964" s="13">
        <f t="shared" si="1"/>
        <v>2955.225</v>
      </c>
      <c r="D964" s="13">
        <f t="shared" si="2"/>
        <v>2909.565</v>
      </c>
      <c r="E964" s="13" t="str">
        <f t="shared" si="3"/>
        <v>LONG</v>
      </c>
      <c r="F964" s="3">
        <f t="shared" si="4"/>
        <v>0.004510627158</v>
      </c>
      <c r="G964" s="4">
        <f t="shared" si="5"/>
        <v>1.43941886</v>
      </c>
      <c r="H964" s="3">
        <f t="shared" si="6"/>
        <v>0.004510627158</v>
      </c>
      <c r="I964" s="5">
        <f t="shared" si="7"/>
        <v>1.217204336</v>
      </c>
    </row>
    <row r="965">
      <c r="A965" s="12">
        <f>IFERROR(__xludf.DUMMYFUNCTION("""COMPUTED_VALUE"""),43657.66666666667)</f>
        <v>43657.66667</v>
      </c>
      <c r="B965" s="13">
        <f>IFERROR(__xludf.DUMMYFUNCTION("""COMPUTED_VALUE"""),2999.91)</f>
        <v>2999.91</v>
      </c>
      <c r="C965" s="13">
        <f t="shared" si="1"/>
        <v>2956.845</v>
      </c>
      <c r="D965" s="13">
        <f t="shared" si="2"/>
        <v>2901.15</v>
      </c>
      <c r="E965" s="13" t="str">
        <f t="shared" si="3"/>
        <v>LONG</v>
      </c>
      <c r="F965" s="3">
        <f t="shared" si="4"/>
        <v>0.002285278994</v>
      </c>
      <c r="G965" s="4">
        <f t="shared" si="5"/>
        <v>1.442708333</v>
      </c>
      <c r="H965" s="3">
        <f t="shared" si="6"/>
        <v>0.002285278994</v>
      </c>
      <c r="I965" s="5">
        <f t="shared" si="7"/>
        <v>1.219985987</v>
      </c>
    </row>
    <row r="966">
      <c r="A966" s="12">
        <f>IFERROR(__xludf.DUMMYFUNCTION("""COMPUTED_VALUE"""),43658.66666666667)</f>
        <v>43658.66667</v>
      </c>
      <c r="B966" s="13">
        <f>IFERROR(__xludf.DUMMYFUNCTION("""COMPUTED_VALUE"""),3013.77)</f>
        <v>3013.77</v>
      </c>
      <c r="C966" s="13">
        <f t="shared" si="1"/>
        <v>2969.345</v>
      </c>
      <c r="D966" s="13">
        <f t="shared" si="2"/>
        <v>2898.395</v>
      </c>
      <c r="E966" s="13" t="str">
        <f t="shared" si="3"/>
        <v>LONG</v>
      </c>
      <c r="F966" s="3">
        <f t="shared" si="4"/>
        <v>0.004620138604</v>
      </c>
      <c r="G966" s="4">
        <f t="shared" si="5"/>
        <v>1.449373846</v>
      </c>
      <c r="H966" s="3">
        <f t="shared" si="6"/>
        <v>0.004620138604</v>
      </c>
      <c r="I966" s="5">
        <f t="shared" si="7"/>
        <v>1.225622492</v>
      </c>
    </row>
    <row r="967">
      <c r="A967" s="12">
        <f>IFERROR(__xludf.DUMMYFUNCTION("""COMPUTED_VALUE"""),43661.66666666667)</f>
        <v>43661.66667</v>
      </c>
      <c r="B967" s="13">
        <f>IFERROR(__xludf.DUMMYFUNCTION("""COMPUTED_VALUE"""),3014.3)</f>
        <v>3014.3</v>
      </c>
      <c r="C967" s="13">
        <f t="shared" si="1"/>
        <v>2978.03</v>
      </c>
      <c r="D967" s="13">
        <f t="shared" si="2"/>
        <v>2901.58</v>
      </c>
      <c r="E967" s="13" t="str">
        <f t="shared" si="3"/>
        <v>LONG</v>
      </c>
      <c r="F967" s="3">
        <f t="shared" si="4"/>
        <v>0.0001758594717</v>
      </c>
      <c r="G967" s="4">
        <f t="shared" si="5"/>
        <v>1.449628732</v>
      </c>
      <c r="H967" s="3">
        <f t="shared" si="6"/>
        <v>0.0001758594717</v>
      </c>
      <c r="I967" s="5">
        <f t="shared" si="7"/>
        <v>1.225838029</v>
      </c>
    </row>
    <row r="968">
      <c r="A968" s="12">
        <f>IFERROR(__xludf.DUMMYFUNCTION("""COMPUTED_VALUE"""),43662.66666666667)</f>
        <v>43662.66667</v>
      </c>
      <c r="B968" s="13">
        <f>IFERROR(__xludf.DUMMYFUNCTION("""COMPUTED_VALUE"""),3004.04)</f>
        <v>3004.04</v>
      </c>
      <c r="C968" s="13">
        <f t="shared" si="1"/>
        <v>2984.185</v>
      </c>
      <c r="D968" s="13">
        <f t="shared" si="2"/>
        <v>2878.05</v>
      </c>
      <c r="E968" s="13" t="str">
        <f t="shared" si="3"/>
        <v>LONG</v>
      </c>
      <c r="F968" s="3">
        <f t="shared" si="4"/>
        <v>-0.003403775338</v>
      </c>
      <c r="G968" s="4">
        <f t="shared" si="5"/>
        <v>1.444694521</v>
      </c>
      <c r="H968" s="3">
        <f t="shared" si="6"/>
        <v>-0.003403775338</v>
      </c>
      <c r="I968" s="5">
        <f t="shared" si="7"/>
        <v>1.221665552</v>
      </c>
    </row>
    <row r="969">
      <c r="A969" s="12">
        <f>IFERROR(__xludf.DUMMYFUNCTION("""COMPUTED_VALUE"""),43663.66666666667)</f>
        <v>43663.66667</v>
      </c>
      <c r="B969" s="13">
        <f>IFERROR(__xludf.DUMMYFUNCTION("""COMPUTED_VALUE"""),2984.42)</f>
        <v>2984.42</v>
      </c>
      <c r="C969" s="13">
        <f t="shared" si="1"/>
        <v>2978.715</v>
      </c>
      <c r="D969" s="13">
        <f t="shared" si="2"/>
        <v>2864.435</v>
      </c>
      <c r="E969" s="13" t="str">
        <f t="shared" si="3"/>
        <v>LONG</v>
      </c>
      <c r="F969" s="3">
        <f t="shared" si="4"/>
        <v>-0.006531204644</v>
      </c>
      <c r="G969" s="4">
        <f t="shared" si="5"/>
        <v>1.435258926</v>
      </c>
      <c r="H969" s="3">
        <f t="shared" si="6"/>
        <v>-0.006531204644</v>
      </c>
      <c r="I969" s="5">
        <f t="shared" si="7"/>
        <v>1.213686604</v>
      </c>
    </row>
    <row r="970">
      <c r="A970" s="12">
        <f>IFERROR(__xludf.DUMMYFUNCTION("""COMPUTED_VALUE"""),43664.66666666667)</f>
        <v>43664.66667</v>
      </c>
      <c r="B970" s="13">
        <f>IFERROR(__xludf.DUMMYFUNCTION("""COMPUTED_VALUE"""),2995.11)</f>
        <v>2995.11</v>
      </c>
      <c r="C970" s="13">
        <f t="shared" si="1"/>
        <v>2995.465</v>
      </c>
      <c r="D970" s="13">
        <f t="shared" si="2"/>
        <v>2899.19</v>
      </c>
      <c r="E970" s="13" t="str">
        <f t="shared" si="3"/>
        <v>LONG</v>
      </c>
      <c r="F970" s="3">
        <f t="shared" si="4"/>
        <v>0.003581935518</v>
      </c>
      <c r="G970" s="4">
        <f t="shared" si="5"/>
        <v>1.440399931</v>
      </c>
      <c r="H970" s="3">
        <f t="shared" si="6"/>
        <v>0.003581935518</v>
      </c>
      <c r="I970" s="5">
        <f t="shared" si="7"/>
        <v>1.218033951</v>
      </c>
    </row>
    <row r="971">
      <c r="A971" s="12">
        <f>IFERROR(__xludf.DUMMYFUNCTION("""COMPUTED_VALUE"""),43665.66666666667)</f>
        <v>43665.66667</v>
      </c>
      <c r="B971" s="13">
        <f>IFERROR(__xludf.DUMMYFUNCTION("""COMPUTED_VALUE"""),2976.61)</f>
        <v>2976.61</v>
      </c>
      <c r="C971" s="13">
        <f t="shared" si="1"/>
        <v>2983.51</v>
      </c>
      <c r="D971" s="13">
        <f t="shared" si="2"/>
        <v>2901.38</v>
      </c>
      <c r="E971" s="13" t="str">
        <f t="shared" si="3"/>
        <v>LONG</v>
      </c>
      <c r="F971" s="3">
        <f t="shared" si="4"/>
        <v>-0.006176734744</v>
      </c>
      <c r="G971" s="4">
        <f t="shared" si="5"/>
        <v>1.431502962</v>
      </c>
      <c r="H971" s="3">
        <f t="shared" si="6"/>
        <v>-0.006176734744</v>
      </c>
      <c r="I971" s="5">
        <f t="shared" si="7"/>
        <v>1.210510479</v>
      </c>
    </row>
    <row r="972">
      <c r="A972" s="12">
        <f>IFERROR(__xludf.DUMMYFUNCTION("""COMPUTED_VALUE"""),43668.66666666667)</f>
        <v>43668.66667</v>
      </c>
      <c r="B972" s="13">
        <f>IFERROR(__xludf.DUMMYFUNCTION("""COMPUTED_VALUE"""),2985.03)</f>
        <v>2985.03</v>
      </c>
      <c r="C972" s="13">
        <f t="shared" si="1"/>
        <v>2980.49</v>
      </c>
      <c r="D972" s="13">
        <f t="shared" si="2"/>
        <v>2914.26</v>
      </c>
      <c r="E972" s="13" t="str">
        <f t="shared" si="3"/>
        <v>LONG</v>
      </c>
      <c r="F972" s="3">
        <f t="shared" si="4"/>
        <v>0.002828721263</v>
      </c>
      <c r="G972" s="4">
        <f t="shared" si="5"/>
        <v>1.435552285</v>
      </c>
      <c r="H972" s="3">
        <f t="shared" si="6"/>
        <v>0.002828721263</v>
      </c>
      <c r="I972" s="5">
        <f t="shared" si="7"/>
        <v>1.213934675</v>
      </c>
    </row>
    <row r="973">
      <c r="A973" s="12">
        <f>IFERROR(__xludf.DUMMYFUNCTION("""COMPUTED_VALUE"""),43669.66666666667)</f>
        <v>43669.66667</v>
      </c>
      <c r="B973" s="13">
        <f>IFERROR(__xludf.DUMMYFUNCTION("""COMPUTED_VALUE"""),3005.47)</f>
        <v>3005.47</v>
      </c>
      <c r="C973" s="13">
        <f t="shared" si="1"/>
        <v>2992.55</v>
      </c>
      <c r="D973" s="13">
        <f t="shared" si="2"/>
        <v>2939.405</v>
      </c>
      <c r="E973" s="13" t="str">
        <f t="shared" si="3"/>
        <v>LONG</v>
      </c>
      <c r="F973" s="3">
        <f t="shared" si="4"/>
        <v>0.00684750237</v>
      </c>
      <c r="G973" s="4">
        <f t="shared" si="5"/>
        <v>1.445382233</v>
      </c>
      <c r="H973" s="3">
        <f t="shared" si="6"/>
        <v>0.00684750237</v>
      </c>
      <c r="I973" s="5">
        <f t="shared" si="7"/>
        <v>1.222247096</v>
      </c>
    </row>
    <row r="974">
      <c r="A974" s="12">
        <f>IFERROR(__xludf.DUMMYFUNCTION("""COMPUTED_VALUE"""),43670.66666666667)</f>
        <v>43670.66667</v>
      </c>
      <c r="B974" s="13">
        <f>IFERROR(__xludf.DUMMYFUNCTION("""COMPUTED_VALUE"""),3019.56)</f>
        <v>3019.56</v>
      </c>
      <c r="C974" s="13">
        <f t="shared" si="1"/>
        <v>3006.315</v>
      </c>
      <c r="D974" s="13">
        <f t="shared" si="2"/>
        <v>2953.145</v>
      </c>
      <c r="E974" s="13" t="str">
        <f t="shared" si="3"/>
        <v>LONG</v>
      </c>
      <c r="F974" s="3">
        <f t="shared" si="4"/>
        <v>0.004688118664</v>
      </c>
      <c r="G974" s="4">
        <f t="shared" si="5"/>
        <v>1.452158356</v>
      </c>
      <c r="H974" s="3">
        <f t="shared" si="6"/>
        <v>0.004688118664</v>
      </c>
      <c r="I974" s="5">
        <f t="shared" si="7"/>
        <v>1.227977135</v>
      </c>
    </row>
    <row r="975">
      <c r="A975" s="12">
        <f>IFERROR(__xludf.DUMMYFUNCTION("""COMPUTED_VALUE"""),43671.66666666667)</f>
        <v>43671.66667</v>
      </c>
      <c r="B975" s="13">
        <f>IFERROR(__xludf.DUMMYFUNCTION("""COMPUTED_VALUE"""),3003.67)</f>
        <v>3003.67</v>
      </c>
      <c r="C975" s="13">
        <f t="shared" si="1"/>
        <v>3001.79</v>
      </c>
      <c r="D975" s="13">
        <f t="shared" si="2"/>
        <v>2944.695</v>
      </c>
      <c r="E975" s="13" t="str">
        <f t="shared" si="3"/>
        <v>LONG</v>
      </c>
      <c r="F975" s="3">
        <f t="shared" si="4"/>
        <v>-0.005262356105</v>
      </c>
      <c r="G975" s="4">
        <f t="shared" si="5"/>
        <v>1.444516582</v>
      </c>
      <c r="H975" s="3">
        <f t="shared" si="6"/>
        <v>-0.005262356105</v>
      </c>
      <c r="I975" s="5">
        <f t="shared" si="7"/>
        <v>1.221515082</v>
      </c>
    </row>
    <row r="976">
      <c r="A976" s="12">
        <f>IFERROR(__xludf.DUMMYFUNCTION("""COMPUTED_VALUE"""),43672.66666666667)</f>
        <v>43672.66667</v>
      </c>
      <c r="B976" s="13">
        <f>IFERROR(__xludf.DUMMYFUNCTION("""COMPUTED_VALUE"""),3025.86)</f>
        <v>3025.86</v>
      </c>
      <c r="C976" s="13">
        <f t="shared" si="1"/>
        <v>3019.815</v>
      </c>
      <c r="D976" s="13">
        <f t="shared" si="2"/>
        <v>2952.85</v>
      </c>
      <c r="E976" s="13" t="str">
        <f t="shared" si="3"/>
        <v>LONG</v>
      </c>
      <c r="F976" s="3">
        <f t="shared" si="4"/>
        <v>0.007387629134</v>
      </c>
      <c r="G976" s="4">
        <f t="shared" si="5"/>
        <v>1.455188135</v>
      </c>
      <c r="H976" s="3">
        <f t="shared" si="6"/>
        <v>0.007387629134</v>
      </c>
      <c r="I976" s="5">
        <f t="shared" si="7"/>
        <v>1.230539183</v>
      </c>
    </row>
    <row r="977">
      <c r="A977" s="12">
        <f>IFERROR(__xludf.DUMMYFUNCTION("""COMPUTED_VALUE"""),43675.66666666667)</f>
        <v>43675.66667</v>
      </c>
      <c r="B977" s="13">
        <f>IFERROR(__xludf.DUMMYFUNCTION("""COMPUTED_VALUE"""),3020.97)</f>
        <v>3020.97</v>
      </c>
      <c r="C977" s="13">
        <f t="shared" si="1"/>
        <v>3017.635</v>
      </c>
      <c r="D977" s="13">
        <f t="shared" si="2"/>
        <v>2956.305</v>
      </c>
      <c r="E977" s="13" t="str">
        <f t="shared" si="3"/>
        <v>LONG</v>
      </c>
      <c r="F977" s="3">
        <f t="shared" si="4"/>
        <v>-0.001616069481</v>
      </c>
      <c r="G977" s="4">
        <f t="shared" si="5"/>
        <v>1.45283645</v>
      </c>
      <c r="H977" s="3">
        <f t="shared" si="6"/>
        <v>-0.001616069481</v>
      </c>
      <c r="I977" s="5">
        <f t="shared" si="7"/>
        <v>1.228550546</v>
      </c>
    </row>
    <row r="978">
      <c r="A978" s="12">
        <f>IFERROR(__xludf.DUMMYFUNCTION("""COMPUTED_VALUE"""),43676.66666666667)</f>
        <v>43676.66667</v>
      </c>
      <c r="B978" s="13">
        <f>IFERROR(__xludf.DUMMYFUNCTION("""COMPUTED_VALUE"""),3013.18)</f>
        <v>3013.18</v>
      </c>
      <c r="C978" s="13">
        <f t="shared" si="1"/>
        <v>3008.61</v>
      </c>
      <c r="D978" s="13">
        <f t="shared" si="2"/>
        <v>2950.08</v>
      </c>
      <c r="E978" s="13" t="str">
        <f t="shared" si="3"/>
        <v>LONG</v>
      </c>
      <c r="F978" s="3">
        <f t="shared" si="4"/>
        <v>-0.002578641959</v>
      </c>
      <c r="G978" s="4">
        <f t="shared" si="5"/>
        <v>1.449090105</v>
      </c>
      <c r="H978" s="3">
        <f t="shared" si="6"/>
        <v>-0.002578641959</v>
      </c>
      <c r="I978" s="5">
        <f t="shared" si="7"/>
        <v>1.225382554</v>
      </c>
    </row>
    <row r="979">
      <c r="A979" s="12">
        <f>IFERROR(__xludf.DUMMYFUNCTION("""COMPUTED_VALUE"""),43677.66666666667)</f>
        <v>43677.66667</v>
      </c>
      <c r="B979" s="13">
        <f>IFERROR(__xludf.DUMMYFUNCTION("""COMPUTED_VALUE"""),2980.38)</f>
        <v>2980.38</v>
      </c>
      <c r="C979" s="13">
        <f t="shared" si="1"/>
        <v>2982.4</v>
      </c>
      <c r="D979" s="13">
        <f t="shared" si="2"/>
        <v>2935.025</v>
      </c>
      <c r="E979" s="13" t="str">
        <f t="shared" si="3"/>
        <v>LONG</v>
      </c>
      <c r="F979" s="3">
        <f t="shared" si="4"/>
        <v>-0.01088550966</v>
      </c>
      <c r="G979" s="4">
        <f t="shared" si="5"/>
        <v>1.43331602</v>
      </c>
      <c r="H979" s="3">
        <f t="shared" si="6"/>
        <v>-0.01088550966</v>
      </c>
      <c r="I979" s="5">
        <f t="shared" si="7"/>
        <v>1.21204364</v>
      </c>
    </row>
    <row r="980">
      <c r="A980" s="12">
        <f>IFERROR(__xludf.DUMMYFUNCTION("""COMPUTED_VALUE"""),43678.66666666667)</f>
        <v>43678.66667</v>
      </c>
      <c r="B980" s="13">
        <f>IFERROR(__xludf.DUMMYFUNCTION("""COMPUTED_VALUE"""),2953.56)</f>
        <v>2953.56</v>
      </c>
      <c r="C980" s="13">
        <f t="shared" si="1"/>
        <v>2974.335</v>
      </c>
      <c r="D980" s="13">
        <f t="shared" si="2"/>
        <v>2935.655</v>
      </c>
      <c r="E980" s="13" t="str">
        <f t="shared" si="3"/>
        <v>LONG</v>
      </c>
      <c r="F980" s="3">
        <f t="shared" si="4"/>
        <v>-0.008998852495</v>
      </c>
      <c r="G980" s="4">
        <f t="shared" si="5"/>
        <v>1.420417821</v>
      </c>
      <c r="H980" s="3">
        <f t="shared" si="6"/>
        <v>-0.008998852495</v>
      </c>
      <c r="I980" s="5">
        <f t="shared" si="7"/>
        <v>1.201136638</v>
      </c>
    </row>
    <row r="981">
      <c r="A981" s="12">
        <f>IFERROR(__xludf.DUMMYFUNCTION("""COMPUTED_VALUE"""),43679.66666666667)</f>
        <v>43679.66667</v>
      </c>
      <c r="B981" s="13">
        <f>IFERROR(__xludf.DUMMYFUNCTION("""COMPUTED_VALUE"""),2932.05)</f>
        <v>2932.05</v>
      </c>
      <c r="C981" s="13">
        <f t="shared" si="1"/>
        <v>2954.33</v>
      </c>
      <c r="D981" s="13">
        <f t="shared" si="2"/>
        <v>2929.255</v>
      </c>
      <c r="E981" s="13" t="str">
        <f t="shared" si="3"/>
        <v>LONG</v>
      </c>
      <c r="F981" s="3">
        <f t="shared" si="4"/>
        <v>-0.007282736765</v>
      </c>
      <c r="G981" s="4">
        <f t="shared" si="5"/>
        <v>1.410073292</v>
      </c>
      <c r="H981" s="3">
        <f t="shared" si="6"/>
        <v>-0.007282736765</v>
      </c>
      <c r="I981" s="5">
        <f t="shared" si="7"/>
        <v>1.192389076</v>
      </c>
    </row>
    <row r="982">
      <c r="A982" s="12">
        <f>IFERROR(__xludf.DUMMYFUNCTION("""COMPUTED_VALUE"""),43682.66666666667)</f>
        <v>43682.66667</v>
      </c>
      <c r="B982" s="13">
        <f>IFERROR(__xludf.DUMMYFUNCTION("""COMPUTED_VALUE"""),2844.74)</f>
        <v>2844.74</v>
      </c>
      <c r="C982" s="13">
        <f t="shared" si="1"/>
        <v>2914.885</v>
      </c>
      <c r="D982" s="13">
        <f t="shared" si="2"/>
        <v>2899.46</v>
      </c>
      <c r="E982" s="13" t="str">
        <f t="shared" si="3"/>
        <v>LONG</v>
      </c>
      <c r="F982" s="3">
        <f t="shared" si="4"/>
        <v>-0.02977780051</v>
      </c>
      <c r="G982" s="4">
        <f t="shared" si="5"/>
        <v>1.368084411</v>
      </c>
      <c r="H982" s="3">
        <f t="shared" si="6"/>
        <v>-0.02977780051</v>
      </c>
      <c r="I982" s="5">
        <f t="shared" si="7"/>
        <v>1.156882352</v>
      </c>
    </row>
    <row r="983">
      <c r="A983" s="12">
        <f>IFERROR(__xludf.DUMMYFUNCTION("""COMPUTED_VALUE"""),43683.66666666667)</f>
        <v>43683.66667</v>
      </c>
      <c r="B983" s="13">
        <f>IFERROR(__xludf.DUMMYFUNCTION("""COMPUTED_VALUE"""),2881.77)</f>
        <v>2881.77</v>
      </c>
      <c r="C983" s="13">
        <f t="shared" si="1"/>
        <v>2943.62</v>
      </c>
      <c r="D983" s="13">
        <f t="shared" si="2"/>
        <v>2916.115</v>
      </c>
      <c r="E983" s="13" t="str">
        <f t="shared" si="3"/>
        <v>LONG</v>
      </c>
      <c r="F983" s="3">
        <f t="shared" si="4"/>
        <v>0.01301700683</v>
      </c>
      <c r="G983" s="4">
        <f t="shared" si="5"/>
        <v>1.385892775</v>
      </c>
      <c r="H983" s="3">
        <f t="shared" si="6"/>
        <v>0.01301700683</v>
      </c>
      <c r="I983" s="5">
        <f t="shared" si="7"/>
        <v>1.171941498</v>
      </c>
    </row>
    <row r="984">
      <c r="A984" s="12">
        <f>IFERROR(__xludf.DUMMYFUNCTION("""COMPUTED_VALUE"""),43684.66666666667)</f>
        <v>43684.66667</v>
      </c>
      <c r="B984" s="13">
        <f>IFERROR(__xludf.DUMMYFUNCTION("""COMPUTED_VALUE"""),2883.98)</f>
        <v>2883.98</v>
      </c>
      <c r="C984" s="13">
        <f t="shared" si="1"/>
        <v>2951.77</v>
      </c>
      <c r="D984" s="13">
        <f t="shared" si="2"/>
        <v>2914.665</v>
      </c>
      <c r="E984" s="13" t="str">
        <f t="shared" si="3"/>
        <v>LONG</v>
      </c>
      <c r="F984" s="3">
        <f t="shared" si="4"/>
        <v>0.0007668897934</v>
      </c>
      <c r="G984" s="4">
        <f t="shared" si="5"/>
        <v>1.386955602</v>
      </c>
      <c r="H984" s="3">
        <f t="shared" si="6"/>
        <v>0.0007668897934</v>
      </c>
      <c r="I984" s="5">
        <f t="shared" si="7"/>
        <v>1.172840248</v>
      </c>
    </row>
    <row r="985">
      <c r="A985" s="12">
        <f>IFERROR(__xludf.DUMMYFUNCTION("""COMPUTED_VALUE"""),43685.66666666667)</f>
        <v>43685.66667</v>
      </c>
      <c r="B985" s="13">
        <f>IFERROR(__xludf.DUMMYFUNCTION("""COMPUTED_VALUE"""),2938.09)</f>
        <v>2938.09</v>
      </c>
      <c r="C985" s="13">
        <f t="shared" si="1"/>
        <v>2970.88</v>
      </c>
      <c r="D985" s="13">
        <f t="shared" si="2"/>
        <v>2927.735</v>
      </c>
      <c r="E985" s="13" t="str">
        <f t="shared" si="3"/>
        <v>LONG</v>
      </c>
      <c r="F985" s="3">
        <f t="shared" si="4"/>
        <v>0.01876226604</v>
      </c>
      <c r="G985" s="4">
        <f t="shared" si="5"/>
        <v>1.412978032</v>
      </c>
      <c r="H985" s="3">
        <f t="shared" si="6"/>
        <v>0.01876226604</v>
      </c>
      <c r="I985" s="5">
        <f t="shared" si="7"/>
        <v>1.194845388</v>
      </c>
    </row>
    <row r="986">
      <c r="A986" s="12">
        <f>IFERROR(__xludf.DUMMYFUNCTION("""COMPUTED_VALUE"""),43686.66666666667)</f>
        <v>43686.66667</v>
      </c>
      <c r="B986" s="13">
        <f>IFERROR(__xludf.DUMMYFUNCTION("""COMPUTED_VALUE"""),2918.65)</f>
        <v>2918.65</v>
      </c>
      <c r="C986" s="13">
        <f t="shared" si="1"/>
        <v>2972.255</v>
      </c>
      <c r="D986" s="13">
        <f t="shared" si="2"/>
        <v>2916.215</v>
      </c>
      <c r="E986" s="13" t="str">
        <f t="shared" si="3"/>
        <v>LONG</v>
      </c>
      <c r="F986" s="3">
        <f t="shared" si="4"/>
        <v>-0.006616543401</v>
      </c>
      <c r="G986" s="4">
        <f t="shared" si="5"/>
        <v>1.403629001</v>
      </c>
      <c r="H986" s="3">
        <f t="shared" si="6"/>
        <v>-0.006616543401</v>
      </c>
      <c r="I986" s="5">
        <f t="shared" si="7"/>
        <v>1.186939642</v>
      </c>
    </row>
    <row r="987">
      <c r="A987" s="12">
        <f>IFERROR(__xludf.DUMMYFUNCTION("""COMPUTED_VALUE"""),43689.66666666667)</f>
        <v>43689.66667</v>
      </c>
      <c r="B987" s="13">
        <f>IFERROR(__xludf.DUMMYFUNCTION("""COMPUTED_VALUE"""),2883.09)</f>
        <v>2883.09</v>
      </c>
      <c r="C987" s="13">
        <f t="shared" si="1"/>
        <v>2952.03</v>
      </c>
      <c r="D987" s="13">
        <f t="shared" si="2"/>
        <v>2904.005</v>
      </c>
      <c r="E987" s="13" t="str">
        <f t="shared" si="3"/>
        <v>LONG</v>
      </c>
      <c r="F987" s="3">
        <f t="shared" si="4"/>
        <v>-0.01218371507</v>
      </c>
      <c r="G987" s="4">
        <f t="shared" si="5"/>
        <v>1.386527585</v>
      </c>
      <c r="H987" s="3">
        <f t="shared" si="6"/>
        <v>-0.01218371507</v>
      </c>
      <c r="I987" s="5">
        <f t="shared" si="7"/>
        <v>1.172478308</v>
      </c>
    </row>
    <row r="988">
      <c r="A988" s="12">
        <f>IFERROR(__xludf.DUMMYFUNCTION("""COMPUTED_VALUE"""),43690.66666666667)</f>
        <v>43690.66667</v>
      </c>
      <c r="B988" s="13">
        <f>IFERROR(__xludf.DUMMYFUNCTION("""COMPUTED_VALUE"""),2926.32)</f>
        <v>2926.32</v>
      </c>
      <c r="C988" s="13">
        <f t="shared" si="1"/>
        <v>2969.75</v>
      </c>
      <c r="D988" s="13">
        <f t="shared" si="2"/>
        <v>2934.04</v>
      </c>
      <c r="E988" s="13" t="str">
        <f t="shared" si="3"/>
        <v>LONG</v>
      </c>
      <c r="F988" s="3">
        <f t="shared" si="4"/>
        <v>0.014994329</v>
      </c>
      <c r="G988" s="4">
        <f t="shared" si="5"/>
        <v>1.407317636</v>
      </c>
      <c r="H988" s="3">
        <f t="shared" si="6"/>
        <v>0.014994329</v>
      </c>
      <c r="I988" s="5">
        <f t="shared" si="7"/>
        <v>1.190058833</v>
      </c>
    </row>
    <row r="989">
      <c r="A989" s="12">
        <f>IFERROR(__xludf.DUMMYFUNCTION("""COMPUTED_VALUE"""),43691.66666666667)</f>
        <v>43691.66667</v>
      </c>
      <c r="B989" s="13">
        <f>IFERROR(__xludf.DUMMYFUNCTION("""COMPUTED_VALUE"""),2840.6)</f>
        <v>2840.6</v>
      </c>
      <c r="C989" s="13">
        <f t="shared" si="1"/>
        <v>2910.49</v>
      </c>
      <c r="D989" s="13">
        <f t="shared" si="2"/>
        <v>2902.465</v>
      </c>
      <c r="E989" s="13" t="str">
        <f t="shared" si="3"/>
        <v>LONG</v>
      </c>
      <c r="F989" s="3">
        <f t="shared" si="4"/>
        <v>-0.02929276361</v>
      </c>
      <c r="G989" s="4">
        <f t="shared" si="5"/>
        <v>1.366093413</v>
      </c>
      <c r="H989" s="3">
        <f t="shared" si="6"/>
        <v>-0.02929276361</v>
      </c>
      <c r="I989" s="5">
        <f t="shared" si="7"/>
        <v>1.155198721</v>
      </c>
    </row>
    <row r="990">
      <c r="A990" s="12">
        <f>IFERROR(__xludf.DUMMYFUNCTION("""COMPUTED_VALUE"""),43692.66666666667)</f>
        <v>43692.66667</v>
      </c>
      <c r="B990" s="13">
        <f>IFERROR(__xludf.DUMMYFUNCTION("""COMPUTED_VALUE"""),2847.6)</f>
        <v>2847.6</v>
      </c>
      <c r="C990" s="13">
        <f t="shared" si="1"/>
        <v>2900.58</v>
      </c>
      <c r="D990" s="13">
        <f t="shared" si="2"/>
        <v>2910.305</v>
      </c>
      <c r="E990" s="13" t="str">
        <f t="shared" si="3"/>
        <v/>
      </c>
      <c r="F990" s="3">
        <f t="shared" si="4"/>
        <v>0.002464268112</v>
      </c>
      <c r="G990" s="4">
        <f t="shared" si="5"/>
        <v>1.369459834</v>
      </c>
      <c r="H990" s="5">
        <f t="shared" si="6"/>
        <v>0</v>
      </c>
      <c r="I990" s="5">
        <f t="shared" si="7"/>
        <v>1.155198721</v>
      </c>
    </row>
    <row r="991">
      <c r="A991" s="12">
        <f>IFERROR(__xludf.DUMMYFUNCTION("""COMPUTED_VALUE"""),43693.66666666667)</f>
        <v>43693.66667</v>
      </c>
      <c r="B991" s="13">
        <f>IFERROR(__xludf.DUMMYFUNCTION("""COMPUTED_VALUE"""),2888.68)</f>
        <v>2888.68</v>
      </c>
      <c r="C991" s="13">
        <f t="shared" si="1"/>
        <v>2910.365</v>
      </c>
      <c r="D991" s="13">
        <f t="shared" si="2"/>
        <v>2942.25</v>
      </c>
      <c r="E991" s="13" t="str">
        <f t="shared" si="3"/>
        <v/>
      </c>
      <c r="F991" s="3">
        <f t="shared" si="4"/>
        <v>0.01442618345</v>
      </c>
      <c r="G991" s="4">
        <f t="shared" si="5"/>
        <v>1.389215913</v>
      </c>
      <c r="H991" s="5">
        <f t="shared" si="6"/>
        <v>0</v>
      </c>
      <c r="I991" s="5">
        <f t="shared" si="7"/>
        <v>1.155198721</v>
      </c>
    </row>
    <row r="992">
      <c r="A992" s="12">
        <f>IFERROR(__xludf.DUMMYFUNCTION("""COMPUTED_VALUE"""),43696.66666666667)</f>
        <v>43696.66667</v>
      </c>
      <c r="B992" s="13">
        <f>IFERROR(__xludf.DUMMYFUNCTION("""COMPUTED_VALUE"""),2923.65)</f>
        <v>2923.65</v>
      </c>
      <c r="C992" s="13">
        <f t="shared" si="1"/>
        <v>2884.195</v>
      </c>
      <c r="D992" s="13">
        <f t="shared" si="2"/>
        <v>2957.03</v>
      </c>
      <c r="E992" s="13" t="str">
        <f t="shared" si="3"/>
        <v/>
      </c>
      <c r="F992" s="3">
        <f t="shared" si="4"/>
        <v>0.01210587535</v>
      </c>
      <c r="G992" s="4">
        <f t="shared" si="5"/>
        <v>1.406033587</v>
      </c>
      <c r="H992" s="5">
        <f t="shared" si="6"/>
        <v>0</v>
      </c>
      <c r="I992" s="5">
        <f t="shared" si="7"/>
        <v>1.155198721</v>
      </c>
    </row>
    <row r="993">
      <c r="A993" s="12">
        <f>IFERROR(__xludf.DUMMYFUNCTION("""COMPUTED_VALUE"""),43697.66666666667)</f>
        <v>43697.66667</v>
      </c>
      <c r="B993" s="13">
        <f>IFERROR(__xludf.DUMMYFUNCTION("""COMPUTED_VALUE"""),2900.51)</f>
        <v>2900.51</v>
      </c>
      <c r="C993" s="13">
        <f t="shared" si="1"/>
        <v>2891.14</v>
      </c>
      <c r="D993" s="13">
        <f t="shared" si="2"/>
        <v>2938.23</v>
      </c>
      <c r="E993" s="13" t="str">
        <f t="shared" si="3"/>
        <v/>
      </c>
      <c r="F993" s="3">
        <f t="shared" si="4"/>
        <v>-0.007914764079</v>
      </c>
      <c r="G993" s="4">
        <f t="shared" si="5"/>
        <v>1.394905163</v>
      </c>
      <c r="H993" s="5">
        <f t="shared" si="6"/>
        <v>0</v>
      </c>
      <c r="I993" s="5">
        <f t="shared" si="7"/>
        <v>1.155198721</v>
      </c>
    </row>
    <row r="994">
      <c r="A994" s="12">
        <f>IFERROR(__xludf.DUMMYFUNCTION("""COMPUTED_VALUE"""),43698.66666666667)</f>
        <v>43698.66667</v>
      </c>
      <c r="B994" s="13">
        <f>IFERROR(__xludf.DUMMYFUNCTION("""COMPUTED_VALUE"""),2924.43)</f>
        <v>2924.43</v>
      </c>
      <c r="C994" s="13">
        <f t="shared" si="1"/>
        <v>2904.205</v>
      </c>
      <c r="D994" s="13">
        <f t="shared" si="2"/>
        <v>2952.03</v>
      </c>
      <c r="E994" s="13" t="str">
        <f t="shared" si="3"/>
        <v/>
      </c>
      <c r="F994" s="3">
        <f t="shared" si="4"/>
        <v>0.008246825558</v>
      </c>
      <c r="G994" s="4">
        <f t="shared" si="5"/>
        <v>1.406408703</v>
      </c>
      <c r="H994" s="5">
        <f t="shared" si="6"/>
        <v>0</v>
      </c>
      <c r="I994" s="5">
        <f t="shared" si="7"/>
        <v>1.155198721</v>
      </c>
    </row>
    <row r="995">
      <c r="A995" s="12">
        <f>IFERROR(__xludf.DUMMYFUNCTION("""COMPUTED_VALUE"""),43699.66666666667)</f>
        <v>43699.66667</v>
      </c>
      <c r="B995" s="13">
        <f>IFERROR(__xludf.DUMMYFUNCTION("""COMPUTED_VALUE"""),2922.95)</f>
        <v>2922.95</v>
      </c>
      <c r="C995" s="13">
        <f t="shared" si="1"/>
        <v>2930.52</v>
      </c>
      <c r="D995" s="13">
        <f t="shared" si="2"/>
        <v>2958.01</v>
      </c>
      <c r="E995" s="13" t="str">
        <f t="shared" si="3"/>
        <v/>
      </c>
      <c r="F995" s="3">
        <f t="shared" si="4"/>
        <v>-0.000506081527</v>
      </c>
      <c r="G995" s="4">
        <f t="shared" si="5"/>
        <v>1.405696945</v>
      </c>
      <c r="H995" s="5">
        <f t="shared" si="6"/>
        <v>0</v>
      </c>
      <c r="I995" s="5">
        <f t="shared" si="7"/>
        <v>1.155198721</v>
      </c>
    </row>
    <row r="996">
      <c r="A996" s="12">
        <f>IFERROR(__xludf.DUMMYFUNCTION("""COMPUTED_VALUE"""),43700.66666666667)</f>
        <v>43700.66667</v>
      </c>
      <c r="B996" s="13">
        <f>IFERROR(__xludf.DUMMYFUNCTION("""COMPUTED_VALUE"""),2847.11)</f>
        <v>2847.11</v>
      </c>
      <c r="C996" s="13">
        <f t="shared" si="1"/>
        <v>2882.88</v>
      </c>
      <c r="D996" s="13">
        <f t="shared" si="2"/>
        <v>2923.51</v>
      </c>
      <c r="E996" s="13" t="str">
        <f t="shared" si="3"/>
        <v/>
      </c>
      <c r="F996" s="3">
        <f t="shared" si="4"/>
        <v>-0.02594638978</v>
      </c>
      <c r="G996" s="4">
        <f t="shared" si="5"/>
        <v>1.369224184</v>
      </c>
      <c r="H996" s="5">
        <f t="shared" si="6"/>
        <v>0</v>
      </c>
      <c r="I996" s="5">
        <f t="shared" si="7"/>
        <v>1.155198721</v>
      </c>
    </row>
    <row r="997">
      <c r="A997" s="12">
        <f>IFERROR(__xludf.DUMMYFUNCTION("""COMPUTED_VALUE"""),43703.66666666667)</f>
        <v>43703.66667</v>
      </c>
      <c r="B997" s="13">
        <f>IFERROR(__xludf.DUMMYFUNCTION("""COMPUTED_VALUE"""),2878.38)</f>
        <v>2878.38</v>
      </c>
      <c r="C997" s="13">
        <f t="shared" si="1"/>
        <v>2880.735</v>
      </c>
      <c r="D997" s="13">
        <f t="shared" si="2"/>
        <v>2946.075</v>
      </c>
      <c r="E997" s="13" t="str">
        <f t="shared" si="3"/>
        <v/>
      </c>
      <c r="F997" s="3">
        <f t="shared" si="4"/>
        <v>0.01098306704</v>
      </c>
      <c r="G997" s="4">
        <f t="shared" si="5"/>
        <v>1.384262465</v>
      </c>
      <c r="H997" s="5">
        <f t="shared" si="6"/>
        <v>0</v>
      </c>
      <c r="I997" s="5">
        <f t="shared" si="7"/>
        <v>1.155198721</v>
      </c>
    </row>
    <row r="998">
      <c r="A998" s="12">
        <f>IFERROR(__xludf.DUMMYFUNCTION("""COMPUTED_VALUE"""),43704.66666666667)</f>
        <v>43704.66667</v>
      </c>
      <c r="B998" s="13">
        <f>IFERROR(__xludf.DUMMYFUNCTION("""COMPUTED_VALUE"""),2869.16)</f>
        <v>2869.16</v>
      </c>
      <c r="C998" s="13">
        <f t="shared" si="1"/>
        <v>2897.74</v>
      </c>
      <c r="D998" s="13">
        <f t="shared" si="2"/>
        <v>2941.73</v>
      </c>
      <c r="E998" s="13" t="str">
        <f t="shared" si="3"/>
        <v/>
      </c>
      <c r="F998" s="3">
        <f t="shared" si="4"/>
        <v>-0.003203190684</v>
      </c>
      <c r="G998" s="4">
        <f t="shared" si="5"/>
        <v>1.379828409</v>
      </c>
      <c r="H998" s="5">
        <f t="shared" si="6"/>
        <v>0</v>
      </c>
      <c r="I998" s="5">
        <f t="shared" si="7"/>
        <v>1.155198721</v>
      </c>
    </row>
    <row r="999">
      <c r="A999" s="12">
        <f>IFERROR(__xludf.DUMMYFUNCTION("""COMPUTED_VALUE"""),43705.66666666667)</f>
        <v>43705.66667</v>
      </c>
      <c r="B999" s="13">
        <f>IFERROR(__xludf.DUMMYFUNCTION("""COMPUTED_VALUE"""),2887.94)</f>
        <v>2887.94</v>
      </c>
      <c r="C999" s="13">
        <f t="shared" si="1"/>
        <v>2864.27</v>
      </c>
      <c r="D999" s="13">
        <f t="shared" si="2"/>
        <v>2945.99</v>
      </c>
      <c r="E999" s="13" t="str">
        <f t="shared" si="3"/>
        <v/>
      </c>
      <c r="F999" s="3">
        <f t="shared" si="4"/>
        <v>0.006545469754</v>
      </c>
      <c r="G999" s="4">
        <f t="shared" si="5"/>
        <v>1.388860034</v>
      </c>
      <c r="H999" s="5">
        <f t="shared" si="6"/>
        <v>0</v>
      </c>
      <c r="I999" s="5">
        <f t="shared" si="7"/>
        <v>1.155198721</v>
      </c>
    </row>
    <row r="1000">
      <c r="A1000" s="12">
        <f>IFERROR(__xludf.DUMMYFUNCTION("""COMPUTED_VALUE"""),43706.66666666667)</f>
        <v>43706.66667</v>
      </c>
      <c r="B1000" s="13">
        <f>IFERROR(__xludf.DUMMYFUNCTION("""COMPUTED_VALUE"""),2924.58)</f>
        <v>2924.58</v>
      </c>
      <c r="C1000" s="13">
        <f t="shared" si="1"/>
        <v>2886.09</v>
      </c>
      <c r="D1000" s="13">
        <f t="shared" si="2"/>
        <v>2954.5</v>
      </c>
      <c r="E1000" s="13" t="str">
        <f t="shared" si="3"/>
        <v/>
      </c>
      <c r="F1000" s="3">
        <f t="shared" si="4"/>
        <v>0.01268724419</v>
      </c>
      <c r="G1000" s="4">
        <f t="shared" si="5"/>
        <v>1.40648084</v>
      </c>
      <c r="H1000" s="5">
        <f t="shared" si="6"/>
        <v>0</v>
      </c>
      <c r="I1000" s="5">
        <f t="shared" si="7"/>
        <v>1.155198721</v>
      </c>
    </row>
    <row r="1001">
      <c r="A1001" s="12">
        <f>IFERROR(__xludf.DUMMYFUNCTION("""COMPUTED_VALUE"""),43707.66666666667)</f>
        <v>43707.66667</v>
      </c>
      <c r="B1001" s="13">
        <f>IFERROR(__xludf.DUMMYFUNCTION("""COMPUTED_VALUE"""),2926.46)</f>
        <v>2926.46</v>
      </c>
      <c r="C1001" s="13">
        <f t="shared" si="1"/>
        <v>2907.57</v>
      </c>
      <c r="D1001" s="13">
        <f t="shared" si="2"/>
        <v>2960.785</v>
      </c>
      <c r="E1001" s="13" t="str">
        <f t="shared" si="3"/>
        <v/>
      </c>
      <c r="F1001" s="3">
        <f t="shared" si="4"/>
        <v>0.0006428273461</v>
      </c>
      <c r="G1001" s="4">
        <f t="shared" si="5"/>
        <v>1.407384965</v>
      </c>
      <c r="H1001" s="5">
        <f t="shared" si="6"/>
        <v>0</v>
      </c>
      <c r="I1001" s="5">
        <f t="shared" si="7"/>
        <v>1.155198721</v>
      </c>
    </row>
    <row r="1002">
      <c r="A1002" s="12">
        <f>IFERROR(__xludf.DUMMYFUNCTION("""COMPUTED_VALUE"""),43711.66666666667)</f>
        <v>43711.66667</v>
      </c>
      <c r="B1002" s="13">
        <f>IFERROR(__xludf.DUMMYFUNCTION("""COMPUTED_VALUE"""),2906.27)</f>
        <v>2906.27</v>
      </c>
      <c r="C1002" s="13">
        <f t="shared" si="1"/>
        <v>2914.96</v>
      </c>
      <c r="D1002" s="13">
        <f t="shared" si="2"/>
        <v>2941.44</v>
      </c>
      <c r="E1002" s="13" t="str">
        <f t="shared" si="3"/>
        <v/>
      </c>
      <c r="F1002" s="3">
        <f t="shared" si="4"/>
        <v>-0.006899120439</v>
      </c>
      <c r="G1002" s="4">
        <f t="shared" si="5"/>
        <v>1.397675246</v>
      </c>
      <c r="H1002" s="5">
        <f t="shared" si="6"/>
        <v>0</v>
      </c>
      <c r="I1002" s="5">
        <f t="shared" si="7"/>
        <v>1.155198721</v>
      </c>
    </row>
    <row r="1003">
      <c r="A1003" s="12">
        <f>IFERROR(__xludf.DUMMYFUNCTION("""COMPUTED_VALUE"""),43712.66666666667)</f>
        <v>43712.66667</v>
      </c>
      <c r="B1003" s="13">
        <f>IFERROR(__xludf.DUMMYFUNCTION("""COMPUTED_VALUE"""),2937.78)</f>
        <v>2937.78</v>
      </c>
      <c r="C1003" s="13">
        <f t="shared" si="1"/>
        <v>2919.145</v>
      </c>
      <c r="D1003" s="13">
        <f t="shared" si="2"/>
        <v>2961.405</v>
      </c>
      <c r="E1003" s="13" t="str">
        <f t="shared" si="3"/>
        <v/>
      </c>
      <c r="F1003" s="3">
        <f t="shared" si="4"/>
        <v>0.01084207593</v>
      </c>
      <c r="G1003" s="4">
        <f t="shared" si="5"/>
        <v>1.412828947</v>
      </c>
      <c r="H1003" s="5">
        <f t="shared" si="6"/>
        <v>0</v>
      </c>
      <c r="I1003" s="5">
        <f t="shared" si="7"/>
        <v>1.155198721</v>
      </c>
    </row>
    <row r="1004">
      <c r="A1004" s="12">
        <f>IFERROR(__xludf.DUMMYFUNCTION("""COMPUTED_VALUE"""),43713.66666666667)</f>
        <v>43713.66667</v>
      </c>
      <c r="B1004" s="13">
        <f>IFERROR(__xludf.DUMMYFUNCTION("""COMPUTED_VALUE"""),2976.0)</f>
        <v>2976</v>
      </c>
      <c r="C1004" s="13">
        <f t="shared" si="1"/>
        <v>2950.215</v>
      </c>
      <c r="D1004" s="13">
        <f t="shared" si="2"/>
        <v>2990.735</v>
      </c>
      <c r="E1004" s="13" t="str">
        <f t="shared" si="3"/>
        <v/>
      </c>
      <c r="F1004" s="3">
        <f t="shared" si="4"/>
        <v>0.01300982374</v>
      </c>
      <c r="G1004" s="4">
        <f t="shared" si="5"/>
        <v>1.431209603</v>
      </c>
      <c r="H1004" s="5">
        <f t="shared" si="6"/>
        <v>0</v>
      </c>
      <c r="I1004" s="5">
        <f t="shared" si="7"/>
        <v>1.155198721</v>
      </c>
    </row>
    <row r="1005">
      <c r="A1005" s="12">
        <f>IFERROR(__xludf.DUMMYFUNCTION("""COMPUTED_VALUE"""),43714.66666666667)</f>
        <v>43714.66667</v>
      </c>
      <c r="B1005" s="13">
        <f>IFERROR(__xludf.DUMMYFUNCTION("""COMPUTED_VALUE"""),2978.71)</f>
        <v>2978.71</v>
      </c>
      <c r="C1005" s="13">
        <f t="shared" si="1"/>
        <v>2950.83</v>
      </c>
      <c r="D1005" s="13">
        <f t="shared" si="2"/>
        <v>2999.135</v>
      </c>
      <c r="E1005" s="13" t="str">
        <f t="shared" si="3"/>
        <v/>
      </c>
      <c r="F1005" s="3">
        <f t="shared" si="4"/>
        <v>0.0009106182796</v>
      </c>
      <c r="G1005" s="4">
        <f t="shared" si="5"/>
        <v>1.432512889</v>
      </c>
      <c r="H1005" s="5">
        <f t="shared" si="6"/>
        <v>0</v>
      </c>
      <c r="I1005" s="5">
        <f t="shared" si="7"/>
        <v>1.155198721</v>
      </c>
    </row>
    <row r="1006">
      <c r="A1006" s="12">
        <f>IFERROR(__xludf.DUMMYFUNCTION("""COMPUTED_VALUE"""),43717.66666666667)</f>
        <v>43717.66667</v>
      </c>
      <c r="B1006" s="13">
        <f>IFERROR(__xludf.DUMMYFUNCTION("""COMPUTED_VALUE"""),2978.43)</f>
        <v>2978.43</v>
      </c>
      <c r="C1006" s="13">
        <f t="shared" si="1"/>
        <v>2912.77</v>
      </c>
      <c r="D1006" s="13">
        <f t="shared" si="2"/>
        <v>2991.05</v>
      </c>
      <c r="E1006" s="13" t="str">
        <f t="shared" si="3"/>
        <v/>
      </c>
      <c r="F1006" s="3">
        <f t="shared" si="4"/>
        <v>-0.000094000423</v>
      </c>
      <c r="G1006" s="4">
        <f t="shared" si="5"/>
        <v>1.432378232</v>
      </c>
      <c r="H1006" s="5">
        <f t="shared" si="6"/>
        <v>0</v>
      </c>
      <c r="I1006" s="5">
        <f t="shared" si="7"/>
        <v>1.155198721</v>
      </c>
    </row>
    <row r="1007">
      <c r="A1007" s="12">
        <f>IFERROR(__xludf.DUMMYFUNCTION("""COMPUTED_VALUE"""),43718.66666666667)</f>
        <v>43718.66667</v>
      </c>
      <c r="B1007" s="13">
        <f>IFERROR(__xludf.DUMMYFUNCTION("""COMPUTED_VALUE"""),2979.39)</f>
        <v>2979.39</v>
      </c>
      <c r="C1007" s="13">
        <f t="shared" si="1"/>
        <v>2928.885</v>
      </c>
      <c r="D1007" s="13">
        <f t="shared" si="2"/>
        <v>3002.625</v>
      </c>
      <c r="E1007" s="13" t="str">
        <f t="shared" si="3"/>
        <v/>
      </c>
      <c r="F1007" s="3">
        <f t="shared" si="4"/>
        <v>0.0003223174626</v>
      </c>
      <c r="G1007" s="4">
        <f t="shared" si="5"/>
        <v>1.432839912</v>
      </c>
      <c r="H1007" s="5">
        <f t="shared" si="6"/>
        <v>0</v>
      </c>
      <c r="I1007" s="5">
        <f t="shared" si="7"/>
        <v>1.155198721</v>
      </c>
    </row>
    <row r="1008">
      <c r="A1008" s="12">
        <f>IFERROR(__xludf.DUMMYFUNCTION("""COMPUTED_VALUE"""),43719.66666666667)</f>
        <v>43719.66667</v>
      </c>
      <c r="B1008" s="13">
        <f>IFERROR(__xludf.DUMMYFUNCTION("""COMPUTED_VALUE"""),3000.93)</f>
        <v>3000.93</v>
      </c>
      <c r="C1008" s="13">
        <f t="shared" si="1"/>
        <v>2935.045</v>
      </c>
      <c r="D1008" s="13">
        <f t="shared" si="2"/>
        <v>3010.95</v>
      </c>
      <c r="E1008" s="13" t="str">
        <f t="shared" si="3"/>
        <v/>
      </c>
      <c r="F1008" s="3">
        <f t="shared" si="4"/>
        <v>0.007229667818</v>
      </c>
      <c r="G1008" s="4">
        <f t="shared" si="5"/>
        <v>1.443198869</v>
      </c>
      <c r="H1008" s="5">
        <f t="shared" si="6"/>
        <v>0</v>
      </c>
      <c r="I1008" s="5">
        <f t="shared" si="7"/>
        <v>1.155198721</v>
      </c>
    </row>
    <row r="1009">
      <c r="A1009" s="12">
        <f>IFERROR(__xludf.DUMMYFUNCTION("""COMPUTED_VALUE"""),43720.66666666667)</f>
        <v>43720.66667</v>
      </c>
      <c r="B1009" s="13">
        <f>IFERROR(__xludf.DUMMYFUNCTION("""COMPUTED_VALUE"""),3009.57)</f>
        <v>3009.57</v>
      </c>
      <c r="C1009" s="13">
        <f t="shared" si="1"/>
        <v>2948.755</v>
      </c>
      <c r="D1009" s="13">
        <f t="shared" si="2"/>
        <v>3011.375</v>
      </c>
      <c r="E1009" s="13" t="str">
        <f t="shared" si="3"/>
        <v/>
      </c>
      <c r="F1009" s="3">
        <f t="shared" si="4"/>
        <v>0.002879107477</v>
      </c>
      <c r="G1009" s="4">
        <f t="shared" si="5"/>
        <v>1.447353994</v>
      </c>
      <c r="H1009" s="5">
        <f t="shared" si="6"/>
        <v>0</v>
      </c>
      <c r="I1009" s="5">
        <f t="shared" si="7"/>
        <v>1.155198721</v>
      </c>
    </row>
    <row r="1010">
      <c r="A1010" s="12">
        <f>IFERROR(__xludf.DUMMYFUNCTION("""COMPUTED_VALUE"""),43721.66666666667)</f>
        <v>43721.66667</v>
      </c>
      <c r="B1010" s="13">
        <f>IFERROR(__xludf.DUMMYFUNCTION("""COMPUTED_VALUE"""),3007.39)</f>
        <v>3007.39</v>
      </c>
      <c r="C1010" s="13">
        <f t="shared" si="1"/>
        <v>2965.985</v>
      </c>
      <c r="D1010" s="13">
        <f t="shared" si="2"/>
        <v>2993.885</v>
      </c>
      <c r="E1010" s="13" t="str">
        <f t="shared" si="3"/>
        <v/>
      </c>
      <c r="F1010" s="3">
        <f t="shared" si="4"/>
        <v>-0.0007243559711</v>
      </c>
      <c r="G1010" s="4">
        <f t="shared" si="5"/>
        <v>1.446305594</v>
      </c>
      <c r="H1010" s="5">
        <f t="shared" si="6"/>
        <v>0</v>
      </c>
      <c r="I1010" s="5">
        <f t="shared" si="7"/>
        <v>1.155198721</v>
      </c>
    </row>
    <row r="1011">
      <c r="A1011" s="12">
        <f>IFERROR(__xludf.DUMMYFUNCTION("""COMPUTED_VALUE"""),43724.66666666667)</f>
        <v>43724.66667</v>
      </c>
      <c r="B1011" s="13">
        <f>IFERROR(__xludf.DUMMYFUNCTION("""COMPUTED_VALUE"""),2997.96)</f>
        <v>2997.96</v>
      </c>
      <c r="C1011" s="13">
        <f t="shared" si="1"/>
        <v>2962.21</v>
      </c>
      <c r="D1011" s="13">
        <f t="shared" si="2"/>
        <v>2975.76</v>
      </c>
      <c r="E1011" s="13" t="str">
        <f t="shared" si="3"/>
        <v/>
      </c>
      <c r="F1011" s="3">
        <f t="shared" si="4"/>
        <v>-0.003135609282</v>
      </c>
      <c r="G1011" s="4">
        <f t="shared" si="5"/>
        <v>1.441770545</v>
      </c>
      <c r="H1011" s="5">
        <f t="shared" si="6"/>
        <v>0</v>
      </c>
      <c r="I1011" s="5">
        <f t="shared" si="7"/>
        <v>1.155198721</v>
      </c>
    </row>
    <row r="1012">
      <c r="A1012" s="12">
        <f>IFERROR(__xludf.DUMMYFUNCTION("""COMPUTED_VALUE"""),43725.66666666667)</f>
        <v>43725.66667</v>
      </c>
      <c r="B1012" s="13">
        <f>IFERROR(__xludf.DUMMYFUNCTION("""COMPUTED_VALUE"""),3005.7)</f>
        <v>3005.7</v>
      </c>
      <c r="C1012" s="13">
        <f t="shared" si="1"/>
        <v>2955.985</v>
      </c>
      <c r="D1012" s="13">
        <f t="shared" si="2"/>
        <v>2968.875</v>
      </c>
      <c r="E1012" s="13" t="str">
        <f t="shared" si="3"/>
        <v/>
      </c>
      <c r="F1012" s="3">
        <f t="shared" si="4"/>
        <v>0.002581755594</v>
      </c>
      <c r="G1012" s="4">
        <f t="shared" si="5"/>
        <v>1.445492844</v>
      </c>
      <c r="H1012" s="5">
        <f t="shared" si="6"/>
        <v>0</v>
      </c>
      <c r="I1012" s="5">
        <f t="shared" si="7"/>
        <v>1.155198721</v>
      </c>
    </row>
    <row r="1013">
      <c r="A1013" s="12">
        <f>IFERROR(__xludf.DUMMYFUNCTION("""COMPUTED_VALUE"""),43726.66666666667)</f>
        <v>43726.66667</v>
      </c>
      <c r="B1013" s="13">
        <f>IFERROR(__xludf.DUMMYFUNCTION("""COMPUTED_VALUE"""),3006.73)</f>
        <v>3006.73</v>
      </c>
      <c r="C1013" s="13">
        <f t="shared" si="1"/>
        <v>2972.255</v>
      </c>
      <c r="D1013" s="13">
        <f t="shared" si="2"/>
        <v>2925.735</v>
      </c>
      <c r="E1013" s="13" t="str">
        <f t="shared" si="3"/>
        <v>LONG</v>
      </c>
      <c r="F1013" s="3">
        <f t="shared" si="4"/>
        <v>0.0003426822371</v>
      </c>
      <c r="G1013" s="4">
        <f t="shared" si="5"/>
        <v>1.445988189</v>
      </c>
      <c r="H1013" s="3">
        <f t="shared" si="6"/>
        <v>0.0003426822371</v>
      </c>
      <c r="I1013" s="5">
        <f t="shared" si="7"/>
        <v>1.155594587</v>
      </c>
    </row>
    <row r="1014">
      <c r="A1014" s="12">
        <f>IFERROR(__xludf.DUMMYFUNCTION("""COMPUTED_VALUE"""),43727.66666666667)</f>
        <v>43727.66667</v>
      </c>
      <c r="B1014" s="13">
        <f>IFERROR(__xludf.DUMMYFUNCTION("""COMPUTED_VALUE"""),3006.79)</f>
        <v>3006.79</v>
      </c>
      <c r="C1014" s="13">
        <f t="shared" si="1"/>
        <v>2991.395</v>
      </c>
      <c r="D1014" s="13">
        <f t="shared" si="2"/>
        <v>2944.28</v>
      </c>
      <c r="E1014" s="13" t="str">
        <f t="shared" si="3"/>
        <v>LONG</v>
      </c>
      <c r="F1014" s="3">
        <f t="shared" si="4"/>
        <v>0.00001995523376</v>
      </c>
      <c r="G1014" s="4">
        <f t="shared" si="5"/>
        <v>1.446017044</v>
      </c>
      <c r="H1014" s="3">
        <f t="shared" si="6"/>
        <v>0.00001995523376</v>
      </c>
      <c r="I1014" s="5">
        <f t="shared" si="7"/>
        <v>1.155617647</v>
      </c>
    </row>
    <row r="1015">
      <c r="A1015" s="12">
        <f>IFERROR(__xludf.DUMMYFUNCTION("""COMPUTED_VALUE"""),43728.66666666667)</f>
        <v>43728.66667</v>
      </c>
      <c r="B1015" s="13">
        <f>IFERROR(__xludf.DUMMYFUNCTION("""COMPUTED_VALUE"""),2992.07)</f>
        <v>2992.07</v>
      </c>
      <c r="C1015" s="13">
        <f t="shared" si="1"/>
        <v>2985.39</v>
      </c>
      <c r="D1015" s="13">
        <f t="shared" si="2"/>
        <v>2938.025</v>
      </c>
      <c r="E1015" s="13" t="str">
        <f t="shared" si="3"/>
        <v>LONG</v>
      </c>
      <c r="F1015" s="3">
        <f t="shared" si="4"/>
        <v>-0.004895586323</v>
      </c>
      <c r="G1015" s="4">
        <f t="shared" si="5"/>
        <v>1.438937942</v>
      </c>
      <c r="H1015" s="3">
        <f t="shared" si="6"/>
        <v>-0.004895586323</v>
      </c>
      <c r="I1015" s="5">
        <f t="shared" si="7"/>
        <v>1.149960221</v>
      </c>
    </row>
    <row r="1016">
      <c r="A1016" s="12">
        <f>IFERROR(__xludf.DUMMYFUNCTION("""COMPUTED_VALUE"""),43731.66666666667)</f>
        <v>43731.66667</v>
      </c>
      <c r="B1016" s="13">
        <f>IFERROR(__xludf.DUMMYFUNCTION("""COMPUTED_VALUE"""),2991.78)</f>
        <v>2991.78</v>
      </c>
      <c r="C1016" s="13">
        <f t="shared" si="1"/>
        <v>2985.105</v>
      </c>
      <c r="D1016" s="13">
        <f t="shared" si="2"/>
        <v>2964.935</v>
      </c>
      <c r="E1016" s="13" t="str">
        <f t="shared" si="3"/>
        <v>LONG</v>
      </c>
      <c r="F1016" s="3">
        <f t="shared" si="4"/>
        <v>-0.00009692286611</v>
      </c>
      <c r="G1016" s="4">
        <f t="shared" si="5"/>
        <v>1.438798476</v>
      </c>
      <c r="H1016" s="3">
        <f t="shared" si="6"/>
        <v>-0.00009692286611</v>
      </c>
      <c r="I1016" s="5">
        <f t="shared" si="7"/>
        <v>1.149848764</v>
      </c>
    </row>
    <row r="1017">
      <c r="A1017" s="12">
        <f>IFERROR(__xludf.DUMMYFUNCTION("""COMPUTED_VALUE"""),43732.66666666667)</f>
        <v>43732.66667</v>
      </c>
      <c r="B1017" s="13">
        <f>IFERROR(__xludf.DUMMYFUNCTION("""COMPUTED_VALUE"""),2966.6)</f>
        <v>2966.6</v>
      </c>
      <c r="C1017" s="13">
        <f t="shared" si="1"/>
        <v>2972.995</v>
      </c>
      <c r="D1017" s="13">
        <f t="shared" si="2"/>
        <v>2942.625</v>
      </c>
      <c r="E1017" s="13" t="str">
        <f t="shared" si="3"/>
        <v>LONG</v>
      </c>
      <c r="F1017" s="3">
        <f t="shared" si="4"/>
        <v>-0.008416394254</v>
      </c>
      <c r="G1017" s="4">
        <f t="shared" si="5"/>
        <v>1.426688981</v>
      </c>
      <c r="H1017" s="3">
        <f t="shared" si="6"/>
        <v>-0.008416394254</v>
      </c>
      <c r="I1017" s="5">
        <f t="shared" si="7"/>
        <v>1.140171183</v>
      </c>
    </row>
    <row r="1018">
      <c r="A1018" s="12">
        <f>IFERROR(__xludf.DUMMYFUNCTION("""COMPUTED_VALUE"""),43733.66666666667)</f>
        <v>43733.66667</v>
      </c>
      <c r="B1018" s="13">
        <f>IFERROR(__xludf.DUMMYFUNCTION("""COMPUTED_VALUE"""),2984.87)</f>
        <v>2984.87</v>
      </c>
      <c r="C1018" s="13">
        <f t="shared" si="1"/>
        <v>2992.9</v>
      </c>
      <c r="D1018" s="13">
        <f t="shared" si="2"/>
        <v>2933.98</v>
      </c>
      <c r="E1018" s="13" t="str">
        <f t="shared" si="3"/>
        <v>LONG</v>
      </c>
      <c r="F1018" s="3">
        <f t="shared" si="4"/>
        <v>0.006158565361</v>
      </c>
      <c r="G1018" s="4">
        <f t="shared" si="5"/>
        <v>1.435475339</v>
      </c>
      <c r="H1018" s="3">
        <f t="shared" si="6"/>
        <v>0.006158565361</v>
      </c>
      <c r="I1018" s="5">
        <f t="shared" si="7"/>
        <v>1.147193002</v>
      </c>
    </row>
    <row r="1019">
      <c r="A1019" s="12">
        <f>IFERROR(__xludf.DUMMYFUNCTION("""COMPUTED_VALUE"""),43734.66666666667)</f>
        <v>43734.66667</v>
      </c>
      <c r="B1019" s="13">
        <f>IFERROR(__xludf.DUMMYFUNCTION("""COMPUTED_VALUE"""),2977.62)</f>
        <v>2977.62</v>
      </c>
      <c r="C1019" s="13">
        <f t="shared" si="1"/>
        <v>2993.595</v>
      </c>
      <c r="D1019" s="13">
        <f t="shared" si="2"/>
        <v>2951.97</v>
      </c>
      <c r="E1019" s="13" t="str">
        <f t="shared" si="3"/>
        <v>LONG</v>
      </c>
      <c r="F1019" s="3">
        <f t="shared" si="4"/>
        <v>-0.002428916502</v>
      </c>
      <c r="G1019" s="4">
        <f t="shared" si="5"/>
        <v>1.431988689</v>
      </c>
      <c r="H1019" s="3">
        <f t="shared" si="6"/>
        <v>-0.002428916502</v>
      </c>
      <c r="I1019" s="5">
        <f t="shared" si="7"/>
        <v>1.144406566</v>
      </c>
    </row>
    <row r="1020">
      <c r="A1020" s="12">
        <f>IFERROR(__xludf.DUMMYFUNCTION("""COMPUTED_VALUE"""),43735.66666666667)</f>
        <v>43735.66667</v>
      </c>
      <c r="B1020" s="13">
        <f>IFERROR(__xludf.DUMMYFUNCTION("""COMPUTED_VALUE"""),2961.79)</f>
        <v>2961.79</v>
      </c>
      <c r="C1020" s="13">
        <f t="shared" si="1"/>
        <v>2984.59</v>
      </c>
      <c r="D1020" s="13">
        <f t="shared" si="2"/>
        <v>2901.195</v>
      </c>
      <c r="E1020" s="13" t="str">
        <f t="shared" si="3"/>
        <v>LONG</v>
      </c>
      <c r="F1020" s="3">
        <f t="shared" si="4"/>
        <v>-0.005316326462</v>
      </c>
      <c r="G1020" s="4">
        <f t="shared" si="5"/>
        <v>1.424375769</v>
      </c>
      <c r="H1020" s="3">
        <f t="shared" si="6"/>
        <v>-0.005316326462</v>
      </c>
      <c r="I1020" s="5">
        <f t="shared" si="7"/>
        <v>1.138322527</v>
      </c>
    </row>
    <row r="1021">
      <c r="A1021" s="12">
        <f>IFERROR(__xludf.DUMMYFUNCTION("""COMPUTED_VALUE"""),43738.66666666667)</f>
        <v>43738.66667</v>
      </c>
      <c r="B1021" s="13">
        <f>IFERROR(__xludf.DUMMYFUNCTION("""COMPUTED_VALUE"""),2976.74)</f>
        <v>2976.74</v>
      </c>
      <c r="C1021" s="13">
        <f t="shared" si="1"/>
        <v>2987.35</v>
      </c>
      <c r="D1021" s="13">
        <f t="shared" si="2"/>
        <v>2912.17</v>
      </c>
      <c r="E1021" s="13" t="str">
        <f t="shared" si="3"/>
        <v>LONG</v>
      </c>
      <c r="F1021" s="3">
        <f t="shared" si="4"/>
        <v>0.005047623228</v>
      </c>
      <c r="G1021" s="4">
        <f t="shared" si="5"/>
        <v>1.431565482</v>
      </c>
      <c r="H1021" s="3">
        <f t="shared" si="6"/>
        <v>0.005047623228</v>
      </c>
      <c r="I1021" s="5">
        <f t="shared" si="7"/>
        <v>1.144068351</v>
      </c>
    </row>
    <row r="1022">
      <c r="A1022" s="12">
        <f>IFERROR(__xludf.DUMMYFUNCTION("""COMPUTED_VALUE"""),43739.66666666667)</f>
        <v>43739.66667</v>
      </c>
      <c r="B1022" s="13">
        <f>IFERROR(__xludf.DUMMYFUNCTION("""COMPUTED_VALUE"""),2940.25)</f>
        <v>2940.25</v>
      </c>
      <c r="C1022" s="13">
        <f t="shared" si="1"/>
        <v>2972.975</v>
      </c>
      <c r="D1022" s="13">
        <f t="shared" si="2"/>
        <v>2914.465</v>
      </c>
      <c r="E1022" s="13" t="str">
        <f t="shared" si="3"/>
        <v>LONG</v>
      </c>
      <c r="F1022" s="3">
        <f t="shared" si="4"/>
        <v>-0.01225837661</v>
      </c>
      <c r="G1022" s="4">
        <f t="shared" si="5"/>
        <v>1.414016813</v>
      </c>
      <c r="H1022" s="3">
        <f t="shared" si="6"/>
        <v>-0.01225837661</v>
      </c>
      <c r="I1022" s="5">
        <f t="shared" si="7"/>
        <v>1.13004393</v>
      </c>
    </row>
    <row r="1023">
      <c r="A1023" s="12">
        <f>IFERROR(__xludf.DUMMYFUNCTION("""COMPUTED_VALUE"""),43740.66666666667)</f>
        <v>43740.66667</v>
      </c>
      <c r="B1023" s="13">
        <f>IFERROR(__xludf.DUMMYFUNCTION("""COMPUTED_VALUE"""),2887.61)</f>
        <v>2887.61</v>
      </c>
      <c r="C1023" s="13">
        <f t="shared" si="1"/>
        <v>2947.17</v>
      </c>
      <c r="D1023" s="13">
        <f t="shared" si="2"/>
        <v>2905.63</v>
      </c>
      <c r="E1023" s="13" t="str">
        <f t="shared" si="3"/>
        <v>LONG</v>
      </c>
      <c r="F1023" s="3">
        <f t="shared" si="4"/>
        <v>-0.01790323952</v>
      </c>
      <c r="G1023" s="4">
        <f t="shared" si="5"/>
        <v>1.388701331</v>
      </c>
      <c r="H1023" s="3">
        <f t="shared" si="6"/>
        <v>-0.01790323952</v>
      </c>
      <c r="I1023" s="5">
        <f t="shared" si="7"/>
        <v>1.109812483</v>
      </c>
    </row>
    <row r="1024">
      <c r="A1024" s="12">
        <f>IFERROR(__xludf.DUMMYFUNCTION("""COMPUTED_VALUE"""),43741.66666666667)</f>
        <v>43741.66667</v>
      </c>
      <c r="B1024" s="13">
        <f>IFERROR(__xludf.DUMMYFUNCTION("""COMPUTED_VALUE"""),2910.63)</f>
        <v>2910.63</v>
      </c>
      <c r="C1024" s="13">
        <f t="shared" si="1"/>
        <v>2958.71</v>
      </c>
      <c r="D1024" s="13">
        <f t="shared" si="2"/>
        <v>2905.57</v>
      </c>
      <c r="E1024" s="13" t="str">
        <f t="shared" si="3"/>
        <v>LONG</v>
      </c>
      <c r="F1024" s="3">
        <f t="shared" si="4"/>
        <v>0.007971990677</v>
      </c>
      <c r="G1024" s="4">
        <f t="shared" si="5"/>
        <v>1.399772045</v>
      </c>
      <c r="H1024" s="3">
        <f t="shared" si="6"/>
        <v>0.007971990677</v>
      </c>
      <c r="I1024" s="5">
        <f t="shared" si="7"/>
        <v>1.118659897</v>
      </c>
    </row>
    <row r="1025">
      <c r="A1025" s="12">
        <f>IFERROR(__xludf.DUMMYFUNCTION("""COMPUTED_VALUE"""),43742.66666666667)</f>
        <v>43742.66667</v>
      </c>
      <c r="B1025" s="13">
        <f>IFERROR(__xludf.DUMMYFUNCTION("""COMPUTED_VALUE"""),2952.01)</f>
        <v>2952.01</v>
      </c>
      <c r="C1025" s="13">
        <f t="shared" si="1"/>
        <v>2972.04</v>
      </c>
      <c r="D1025" s="13">
        <f t="shared" si="2"/>
        <v>2938.22</v>
      </c>
      <c r="E1025" s="13" t="str">
        <f t="shared" si="3"/>
        <v>LONG</v>
      </c>
      <c r="F1025" s="3">
        <f t="shared" si="4"/>
        <v>0.0142168534</v>
      </c>
      <c r="G1025" s="4">
        <f t="shared" si="5"/>
        <v>1.419672399</v>
      </c>
      <c r="H1025" s="3">
        <f t="shared" si="6"/>
        <v>0.0142168534</v>
      </c>
      <c r="I1025" s="5">
        <f t="shared" si="7"/>
        <v>1.134563721</v>
      </c>
    </row>
    <row r="1026">
      <c r="A1026" s="12">
        <f>IFERROR(__xludf.DUMMYFUNCTION("""COMPUTED_VALUE"""),43745.66666666667)</f>
        <v>43745.66667</v>
      </c>
      <c r="B1026" s="13">
        <f>IFERROR(__xludf.DUMMYFUNCTION("""COMPUTED_VALUE"""),2938.79)</f>
        <v>2938.79</v>
      </c>
      <c r="C1026" s="13">
        <f t="shared" si="1"/>
        <v>2965.285</v>
      </c>
      <c r="D1026" s="13">
        <f t="shared" si="2"/>
        <v>2930.87</v>
      </c>
      <c r="E1026" s="13" t="str">
        <f t="shared" si="3"/>
        <v>LONG</v>
      </c>
      <c r="F1026" s="3">
        <f t="shared" si="4"/>
        <v>-0.004478304613</v>
      </c>
      <c r="G1026" s="4">
        <f t="shared" si="5"/>
        <v>1.413314674</v>
      </c>
      <c r="H1026" s="3">
        <f t="shared" si="6"/>
        <v>-0.004478304613</v>
      </c>
      <c r="I1026" s="5">
        <f t="shared" si="7"/>
        <v>1.129482799</v>
      </c>
    </row>
    <row r="1027">
      <c r="A1027" s="12">
        <f>IFERROR(__xludf.DUMMYFUNCTION("""COMPUTED_VALUE"""),43746.66666666667)</f>
        <v>43746.66667</v>
      </c>
      <c r="B1027" s="13">
        <f>IFERROR(__xludf.DUMMYFUNCTION("""COMPUTED_VALUE"""),2893.06)</f>
        <v>2893.06</v>
      </c>
      <c r="C1027" s="13">
        <f t="shared" si="1"/>
        <v>2929.83</v>
      </c>
      <c r="D1027" s="13">
        <f t="shared" si="2"/>
        <v>2870.085</v>
      </c>
      <c r="E1027" s="13" t="str">
        <f t="shared" si="3"/>
        <v>LONG</v>
      </c>
      <c r="F1027" s="3">
        <f t="shared" si="4"/>
        <v>-0.01556082605</v>
      </c>
      <c r="G1027" s="4">
        <f t="shared" si="5"/>
        <v>1.39132233</v>
      </c>
      <c r="H1027" s="3">
        <f t="shared" si="6"/>
        <v>-0.01556082605</v>
      </c>
      <c r="I1027" s="5">
        <f t="shared" si="7"/>
        <v>1.111907114</v>
      </c>
    </row>
    <row r="1028">
      <c r="A1028" s="12">
        <f>IFERROR(__xludf.DUMMYFUNCTION("""COMPUTED_VALUE"""),43747.66666666667)</f>
        <v>43747.66667</v>
      </c>
      <c r="B1028" s="13">
        <f>IFERROR(__xludf.DUMMYFUNCTION("""COMPUTED_VALUE"""),2919.4)</f>
        <v>2919.4</v>
      </c>
      <c r="C1028" s="13">
        <f t="shared" si="1"/>
        <v>2952.135</v>
      </c>
      <c r="D1028" s="13">
        <f t="shared" si="2"/>
        <v>2898.89</v>
      </c>
      <c r="E1028" s="13" t="str">
        <f t="shared" si="3"/>
        <v>LONG</v>
      </c>
      <c r="F1028" s="3">
        <f t="shared" si="4"/>
        <v>0.009104546743</v>
      </c>
      <c r="G1028" s="4">
        <f t="shared" si="5"/>
        <v>1.403989689</v>
      </c>
      <c r="H1028" s="3">
        <f t="shared" si="6"/>
        <v>0.009104546743</v>
      </c>
      <c r="I1028" s="5">
        <f t="shared" si="7"/>
        <v>1.122030524</v>
      </c>
    </row>
    <row r="1029">
      <c r="A1029" s="12">
        <f>IFERROR(__xludf.DUMMYFUNCTION("""COMPUTED_VALUE"""),43748.66666666667)</f>
        <v>43748.66667</v>
      </c>
      <c r="B1029" s="13">
        <f>IFERROR(__xludf.DUMMYFUNCTION("""COMPUTED_VALUE"""),2938.13)</f>
        <v>2938.13</v>
      </c>
      <c r="C1029" s="13">
        <f t="shared" si="1"/>
        <v>2957.875</v>
      </c>
      <c r="D1029" s="13">
        <f t="shared" si="2"/>
        <v>2903.645</v>
      </c>
      <c r="E1029" s="13" t="str">
        <f t="shared" si="3"/>
        <v>LONG</v>
      </c>
      <c r="F1029" s="3">
        <f t="shared" si="4"/>
        <v>0.006415701857</v>
      </c>
      <c r="G1029" s="4">
        <f t="shared" si="5"/>
        <v>1.412997268</v>
      </c>
      <c r="H1029" s="3">
        <f t="shared" si="6"/>
        <v>0.006415701857</v>
      </c>
      <c r="I1029" s="5">
        <f t="shared" si="7"/>
        <v>1.129229137</v>
      </c>
    </row>
    <row r="1030">
      <c r="A1030" s="12">
        <f>IFERROR(__xludf.DUMMYFUNCTION("""COMPUTED_VALUE"""),43749.66666666667)</f>
        <v>43749.66667</v>
      </c>
      <c r="B1030" s="13">
        <f>IFERROR(__xludf.DUMMYFUNCTION("""COMPUTED_VALUE"""),2970.27)</f>
        <v>2970.27</v>
      </c>
      <c r="C1030" s="13">
        <f t="shared" si="1"/>
        <v>2966.03</v>
      </c>
      <c r="D1030" s="13">
        <f t="shared" si="2"/>
        <v>2929.105</v>
      </c>
      <c r="E1030" s="13" t="str">
        <f t="shared" si="3"/>
        <v>LONG</v>
      </c>
      <c r="F1030" s="3">
        <f t="shared" si="4"/>
        <v>0.01093893054</v>
      </c>
      <c r="G1030" s="4">
        <f t="shared" si="5"/>
        <v>1.428453947</v>
      </c>
      <c r="H1030" s="3">
        <f t="shared" si="6"/>
        <v>0.01093893054</v>
      </c>
      <c r="I1030" s="5">
        <f t="shared" si="7"/>
        <v>1.141581697</v>
      </c>
    </row>
    <row r="1031">
      <c r="A1031" s="12">
        <f>IFERROR(__xludf.DUMMYFUNCTION("""COMPUTED_VALUE"""),43752.66666666667)</f>
        <v>43752.66667</v>
      </c>
      <c r="B1031" s="13">
        <f>IFERROR(__xludf.DUMMYFUNCTION("""COMPUTED_VALUE"""),2966.15)</f>
        <v>2966.15</v>
      </c>
      <c r="C1031" s="13">
        <f t="shared" si="1"/>
        <v>2971.445</v>
      </c>
      <c r="D1031" s="13">
        <f t="shared" si="2"/>
        <v>2945.365</v>
      </c>
      <c r="E1031" s="13" t="str">
        <f t="shared" si="3"/>
        <v>LONG</v>
      </c>
      <c r="F1031" s="3">
        <f t="shared" si="4"/>
        <v>-0.001387079289</v>
      </c>
      <c r="G1031" s="4">
        <f t="shared" si="5"/>
        <v>1.426472568</v>
      </c>
      <c r="H1031" s="3">
        <f t="shared" si="6"/>
        <v>-0.001387079289</v>
      </c>
      <c r="I1031" s="5">
        <f t="shared" si="7"/>
        <v>1.139998232</v>
      </c>
    </row>
    <row r="1032">
      <c r="A1032" s="12">
        <f>IFERROR(__xludf.DUMMYFUNCTION("""COMPUTED_VALUE"""),43753.66666666667)</f>
        <v>43753.66667</v>
      </c>
      <c r="B1032" s="13">
        <f>IFERROR(__xludf.DUMMYFUNCTION("""COMPUTED_VALUE"""),2995.68)</f>
        <v>2995.68</v>
      </c>
      <c r="C1032" s="13">
        <f t="shared" si="1"/>
        <v>2967.965</v>
      </c>
      <c r="D1032" s="13">
        <f t="shared" si="2"/>
        <v>2961.07</v>
      </c>
      <c r="E1032" s="13" t="str">
        <f t="shared" si="3"/>
        <v>LONG</v>
      </c>
      <c r="F1032" s="3">
        <f t="shared" si="4"/>
        <v>0.009955666436</v>
      </c>
      <c r="G1032" s="4">
        <f t="shared" si="5"/>
        <v>1.440674054</v>
      </c>
      <c r="H1032" s="3">
        <f t="shared" si="6"/>
        <v>0.009955666436</v>
      </c>
      <c r="I1032" s="5">
        <f t="shared" si="7"/>
        <v>1.151347674</v>
      </c>
    </row>
    <row r="1033">
      <c r="A1033" s="12">
        <f>IFERROR(__xludf.DUMMYFUNCTION("""COMPUTED_VALUE"""),43754.66666666667)</f>
        <v>43754.66667</v>
      </c>
      <c r="B1033" s="13">
        <f>IFERROR(__xludf.DUMMYFUNCTION("""COMPUTED_VALUE"""),2989.69)</f>
        <v>2989.69</v>
      </c>
      <c r="C1033" s="13">
        <f t="shared" si="1"/>
        <v>2938.65</v>
      </c>
      <c r="D1033" s="13">
        <f t="shared" si="2"/>
        <v>2947.98</v>
      </c>
      <c r="E1033" s="13" t="str">
        <f t="shared" si="3"/>
        <v/>
      </c>
      <c r="F1033" s="3">
        <f t="shared" si="4"/>
        <v>-0.001999546013</v>
      </c>
      <c r="G1033" s="4">
        <f t="shared" si="5"/>
        <v>1.437793359</v>
      </c>
      <c r="H1033" s="5">
        <f t="shared" si="6"/>
        <v>0</v>
      </c>
      <c r="I1033" s="5">
        <f t="shared" si="7"/>
        <v>1.151347674</v>
      </c>
    </row>
    <row r="1034">
      <c r="A1034" s="12">
        <f>IFERROR(__xludf.DUMMYFUNCTION("""COMPUTED_VALUE"""),43755.66666666667)</f>
        <v>43755.66667</v>
      </c>
      <c r="B1034" s="13">
        <f>IFERROR(__xludf.DUMMYFUNCTION("""COMPUTED_VALUE"""),2997.95)</f>
        <v>2997.95</v>
      </c>
      <c r="C1034" s="13">
        <f t="shared" si="1"/>
        <v>2954.29</v>
      </c>
      <c r="D1034" s="13">
        <f t="shared" si="2"/>
        <v>2967.865</v>
      </c>
      <c r="E1034" s="13" t="str">
        <f t="shared" si="3"/>
        <v/>
      </c>
      <c r="F1034" s="3">
        <f t="shared" si="4"/>
        <v>0.002762828253</v>
      </c>
      <c r="G1034" s="4">
        <f t="shared" si="5"/>
        <v>1.441765736</v>
      </c>
      <c r="H1034" s="5">
        <f t="shared" si="6"/>
        <v>0</v>
      </c>
      <c r="I1034" s="5">
        <f t="shared" si="7"/>
        <v>1.151347674</v>
      </c>
    </row>
    <row r="1035">
      <c r="A1035" s="12">
        <f>IFERROR(__xludf.DUMMYFUNCTION("""COMPUTED_VALUE"""),43756.66666666667)</f>
        <v>43756.66667</v>
      </c>
      <c r="B1035" s="13">
        <f>IFERROR(__xludf.DUMMYFUNCTION("""COMPUTED_VALUE"""),2986.2)</f>
        <v>2986.2</v>
      </c>
      <c r="C1035" s="13">
        <f t="shared" si="1"/>
        <v>2969.105</v>
      </c>
      <c r="D1035" s="13">
        <f t="shared" si="2"/>
        <v>2981.1</v>
      </c>
      <c r="E1035" s="13" t="str">
        <f t="shared" si="3"/>
        <v/>
      </c>
      <c r="F1035" s="3">
        <f t="shared" si="4"/>
        <v>-0.003919344886</v>
      </c>
      <c r="G1035" s="4">
        <f t="shared" si="5"/>
        <v>1.436114958</v>
      </c>
      <c r="H1035" s="5">
        <f t="shared" si="6"/>
        <v>0</v>
      </c>
      <c r="I1035" s="5">
        <f t="shared" si="7"/>
        <v>1.151347674</v>
      </c>
    </row>
    <row r="1036">
      <c r="A1036" s="12">
        <f>IFERROR(__xludf.DUMMYFUNCTION("""COMPUTED_VALUE"""),43759.66666666667)</f>
        <v>43759.66667</v>
      </c>
      <c r="B1036" s="13">
        <f>IFERROR(__xludf.DUMMYFUNCTION("""COMPUTED_VALUE"""),3006.72)</f>
        <v>3006.72</v>
      </c>
      <c r="C1036" s="13">
        <f t="shared" si="1"/>
        <v>2972.755</v>
      </c>
      <c r="D1036" s="13">
        <f t="shared" si="2"/>
        <v>2992.715</v>
      </c>
      <c r="E1036" s="13" t="str">
        <f t="shared" si="3"/>
        <v/>
      </c>
      <c r="F1036" s="3">
        <f t="shared" si="4"/>
        <v>0.006871609403</v>
      </c>
      <c r="G1036" s="4">
        <f t="shared" si="5"/>
        <v>1.44598338</v>
      </c>
      <c r="H1036" s="5">
        <f t="shared" si="6"/>
        <v>0</v>
      </c>
      <c r="I1036" s="5">
        <f t="shared" si="7"/>
        <v>1.151347674</v>
      </c>
    </row>
    <row r="1037">
      <c r="A1037" s="12">
        <f>IFERROR(__xludf.DUMMYFUNCTION("""COMPUTED_VALUE"""),43760.66666666667)</f>
        <v>43760.66667</v>
      </c>
      <c r="B1037" s="13">
        <f>IFERROR(__xludf.DUMMYFUNCTION("""COMPUTED_VALUE"""),2995.99)</f>
        <v>2995.99</v>
      </c>
      <c r="C1037" s="13">
        <f t="shared" si="1"/>
        <v>2944.525</v>
      </c>
      <c r="D1037" s="13">
        <f t="shared" si="2"/>
        <v>2987.21</v>
      </c>
      <c r="E1037" s="13" t="str">
        <f t="shared" si="3"/>
        <v/>
      </c>
      <c r="F1037" s="3">
        <f t="shared" si="4"/>
        <v>-0.00356867284</v>
      </c>
      <c r="G1037" s="4">
        <f t="shared" si="5"/>
        <v>1.440823138</v>
      </c>
      <c r="H1037" s="5">
        <f t="shared" si="6"/>
        <v>0</v>
      </c>
      <c r="I1037" s="5">
        <f t="shared" si="7"/>
        <v>1.151347674</v>
      </c>
    </row>
    <row r="1038">
      <c r="A1038" s="12">
        <f>IFERROR(__xludf.DUMMYFUNCTION("""COMPUTED_VALUE"""),43761.66666666667)</f>
        <v>43761.66667</v>
      </c>
      <c r="B1038" s="13">
        <f>IFERROR(__xludf.DUMMYFUNCTION("""COMPUTED_VALUE"""),3004.52)</f>
        <v>3004.52</v>
      </c>
      <c r="C1038" s="13">
        <f t="shared" si="1"/>
        <v>2961.96</v>
      </c>
      <c r="D1038" s="13">
        <f t="shared" si="2"/>
        <v>2991.955</v>
      </c>
      <c r="E1038" s="13" t="str">
        <f t="shared" si="3"/>
        <v/>
      </c>
      <c r="F1038" s="3">
        <f t="shared" si="4"/>
        <v>0.002847139009</v>
      </c>
      <c r="G1038" s="4">
        <f t="shared" si="5"/>
        <v>1.444925362</v>
      </c>
      <c r="H1038" s="5">
        <f t="shared" si="6"/>
        <v>0</v>
      </c>
      <c r="I1038" s="5">
        <f t="shared" si="7"/>
        <v>1.151347674</v>
      </c>
    </row>
    <row r="1039">
      <c r="A1039" s="12">
        <f>IFERROR(__xludf.DUMMYFUNCTION("""COMPUTED_VALUE"""),43762.66666666667)</f>
        <v>43762.66667</v>
      </c>
      <c r="B1039" s="13">
        <f>IFERROR(__xludf.DUMMYFUNCTION("""COMPUTED_VALUE"""),3010.29)</f>
        <v>3010.29</v>
      </c>
      <c r="C1039" s="13">
        <f t="shared" si="1"/>
        <v>2974.21</v>
      </c>
      <c r="D1039" s="13">
        <f t="shared" si="2"/>
        <v>3005.61</v>
      </c>
      <c r="E1039" s="13" t="str">
        <f t="shared" si="3"/>
        <v/>
      </c>
      <c r="F1039" s="3">
        <f t="shared" si="4"/>
        <v>0.001920439871</v>
      </c>
      <c r="G1039" s="4">
        <f t="shared" si="5"/>
        <v>1.447700254</v>
      </c>
      <c r="H1039" s="5">
        <f t="shared" si="6"/>
        <v>0</v>
      </c>
      <c r="I1039" s="5">
        <f t="shared" si="7"/>
        <v>1.151347674</v>
      </c>
    </row>
    <row r="1040">
      <c r="A1040" s="12">
        <f>IFERROR(__xludf.DUMMYFUNCTION("""COMPUTED_VALUE"""),43763.66666666667)</f>
        <v>43763.66667</v>
      </c>
      <c r="B1040" s="13">
        <f>IFERROR(__xludf.DUMMYFUNCTION("""COMPUTED_VALUE"""),3022.55)</f>
        <v>3022.55</v>
      </c>
      <c r="C1040" s="13">
        <f t="shared" si="1"/>
        <v>2996.41</v>
      </c>
      <c r="D1040" s="13">
        <f t="shared" si="2"/>
        <v>3016.06</v>
      </c>
      <c r="E1040" s="13" t="str">
        <f t="shared" si="3"/>
        <v/>
      </c>
      <c r="F1040" s="3">
        <f t="shared" si="4"/>
        <v>0.004072697315</v>
      </c>
      <c r="G1040" s="4">
        <f t="shared" si="5"/>
        <v>1.453596299</v>
      </c>
      <c r="H1040" s="5">
        <f t="shared" si="6"/>
        <v>0</v>
      </c>
      <c r="I1040" s="5">
        <f t="shared" si="7"/>
        <v>1.151347674</v>
      </c>
    </row>
    <row r="1041">
      <c r="A1041" s="12">
        <f>IFERROR(__xludf.DUMMYFUNCTION("""COMPUTED_VALUE"""),43766.66666666667)</f>
        <v>43766.66667</v>
      </c>
      <c r="B1041" s="13">
        <f>IFERROR(__xludf.DUMMYFUNCTION("""COMPUTED_VALUE"""),3039.42)</f>
        <v>3039.42</v>
      </c>
      <c r="C1041" s="13">
        <f t="shared" si="1"/>
        <v>3002.785</v>
      </c>
      <c r="D1041" s="13">
        <f t="shared" si="2"/>
        <v>3023.405</v>
      </c>
      <c r="E1041" s="13" t="str">
        <f t="shared" si="3"/>
        <v/>
      </c>
      <c r="F1041" s="3">
        <f t="shared" si="4"/>
        <v>0.005581379961</v>
      </c>
      <c r="G1041" s="4">
        <f t="shared" si="5"/>
        <v>1.461709372</v>
      </c>
      <c r="H1041" s="5">
        <f t="shared" si="6"/>
        <v>0</v>
      </c>
      <c r="I1041" s="5">
        <f t="shared" si="7"/>
        <v>1.151347674</v>
      </c>
    </row>
    <row r="1042">
      <c r="A1042" s="12">
        <f>IFERROR(__xludf.DUMMYFUNCTION("""COMPUTED_VALUE"""),43767.66666666667)</f>
        <v>43767.66667</v>
      </c>
      <c r="B1042" s="13">
        <f>IFERROR(__xludf.DUMMYFUNCTION("""COMPUTED_VALUE"""),3036.89)</f>
        <v>3036.89</v>
      </c>
      <c r="C1042" s="13">
        <f t="shared" si="1"/>
        <v>3016.285</v>
      </c>
      <c r="D1042" s="13">
        <f t="shared" si="2"/>
        <v>3017.425</v>
      </c>
      <c r="E1042" s="13" t="str">
        <f t="shared" si="3"/>
        <v/>
      </c>
      <c r="F1042" s="3">
        <f t="shared" si="4"/>
        <v>-0.0008323956544</v>
      </c>
      <c r="G1042" s="4">
        <f t="shared" si="5"/>
        <v>1.460492652</v>
      </c>
      <c r="H1042" s="5">
        <f t="shared" si="6"/>
        <v>0</v>
      </c>
      <c r="I1042" s="5">
        <f t="shared" si="7"/>
        <v>1.151347674</v>
      </c>
    </row>
    <row r="1043">
      <c r="A1043" s="12">
        <f>IFERROR(__xludf.DUMMYFUNCTION("""COMPUTED_VALUE"""),43768.66666666667)</f>
        <v>43768.66667</v>
      </c>
      <c r="B1043" s="13">
        <f>IFERROR(__xludf.DUMMYFUNCTION("""COMPUTED_VALUE"""),3046.77)</f>
        <v>3046.77</v>
      </c>
      <c r="C1043" s="13">
        <f t="shared" si="1"/>
        <v>3018.23</v>
      </c>
      <c r="D1043" s="13">
        <f t="shared" si="2"/>
        <v>3026.235</v>
      </c>
      <c r="E1043" s="13" t="str">
        <f t="shared" si="3"/>
        <v/>
      </c>
      <c r="F1043" s="3">
        <f t="shared" si="4"/>
        <v>0.00325332824</v>
      </c>
      <c r="G1043" s="4">
        <f t="shared" si="5"/>
        <v>1.465244114</v>
      </c>
      <c r="H1043" s="5">
        <f t="shared" si="6"/>
        <v>0</v>
      </c>
      <c r="I1043" s="5">
        <f t="shared" si="7"/>
        <v>1.151347674</v>
      </c>
    </row>
    <row r="1044">
      <c r="A1044" s="12">
        <f>IFERROR(__xludf.DUMMYFUNCTION("""COMPUTED_VALUE"""),43770.66666666667)</f>
        <v>43770.66667</v>
      </c>
      <c r="B1044" s="13">
        <f>IFERROR(__xludf.DUMMYFUNCTION("""COMPUTED_VALUE"""),3066.91)</f>
        <v>3066.91</v>
      </c>
      <c r="C1044" s="13">
        <f t="shared" si="1"/>
        <v>3032.43</v>
      </c>
      <c r="D1044" s="13">
        <f t="shared" si="2"/>
        <v>3036.82</v>
      </c>
      <c r="E1044" s="13" t="str">
        <f t="shared" si="3"/>
        <v/>
      </c>
      <c r="F1044" s="3">
        <f t="shared" si="4"/>
        <v>0.006610279082</v>
      </c>
      <c r="G1044" s="4">
        <f t="shared" si="5"/>
        <v>1.474929786</v>
      </c>
      <c r="H1044" s="5">
        <f t="shared" si="6"/>
        <v>0</v>
      </c>
      <c r="I1044" s="5">
        <f t="shared" si="7"/>
        <v>1.151347674</v>
      </c>
    </row>
    <row r="1045">
      <c r="A1045" s="12">
        <f>IFERROR(__xludf.DUMMYFUNCTION("""COMPUTED_VALUE"""),43773.66666666667)</f>
        <v>43773.66667</v>
      </c>
      <c r="B1045" s="13">
        <f>IFERROR(__xludf.DUMMYFUNCTION("""COMPUTED_VALUE"""),3078.27)</f>
        <v>3078.27</v>
      </c>
      <c r="C1045" s="13">
        <f t="shared" si="1"/>
        <v>3032.235</v>
      </c>
      <c r="D1045" s="13">
        <f t="shared" si="2"/>
        <v>3042.53</v>
      </c>
      <c r="E1045" s="13" t="str">
        <f t="shared" si="3"/>
        <v/>
      </c>
      <c r="F1045" s="3">
        <f t="shared" si="4"/>
        <v>0.003704053917</v>
      </c>
      <c r="G1045" s="4">
        <f t="shared" si="5"/>
        <v>1.480393006</v>
      </c>
      <c r="H1045" s="5">
        <f t="shared" si="6"/>
        <v>0</v>
      </c>
      <c r="I1045" s="5">
        <f t="shared" si="7"/>
        <v>1.151347674</v>
      </c>
    </row>
    <row r="1046">
      <c r="A1046" s="12">
        <f>IFERROR(__xludf.DUMMYFUNCTION("""COMPUTED_VALUE"""),43774.66666666667)</f>
        <v>43774.66667</v>
      </c>
      <c r="B1046" s="13">
        <f>IFERROR(__xludf.DUMMYFUNCTION("""COMPUTED_VALUE"""),3074.62)</f>
        <v>3074.62</v>
      </c>
      <c r="C1046" s="13">
        <f t="shared" si="1"/>
        <v>3040.67</v>
      </c>
      <c r="D1046" s="13">
        <f t="shared" si="2"/>
        <v>3033.345</v>
      </c>
      <c r="E1046" s="13" t="str">
        <f t="shared" si="3"/>
        <v>LONG</v>
      </c>
      <c r="F1046" s="3">
        <f t="shared" si="4"/>
        <v>-0.001185730946</v>
      </c>
      <c r="G1046" s="4">
        <f t="shared" si="5"/>
        <v>1.478637658</v>
      </c>
      <c r="H1046" s="3">
        <f t="shared" si="6"/>
        <v>-0.001185730946</v>
      </c>
      <c r="I1046" s="5">
        <f t="shared" si="7"/>
        <v>1.149982486</v>
      </c>
    </row>
    <row r="1047">
      <c r="A1047" s="12">
        <f>IFERROR(__xludf.DUMMYFUNCTION("""COMPUTED_VALUE"""),43775.66666666667)</f>
        <v>43775.66667</v>
      </c>
      <c r="B1047" s="13">
        <f>IFERROR(__xludf.DUMMYFUNCTION("""COMPUTED_VALUE"""),3076.78)</f>
        <v>3076.78</v>
      </c>
      <c r="C1047" s="13">
        <f t="shared" si="1"/>
        <v>3036.385</v>
      </c>
      <c r="D1047" s="13">
        <f t="shared" si="2"/>
        <v>3034.28</v>
      </c>
      <c r="E1047" s="13" t="str">
        <f t="shared" si="3"/>
        <v>LONG</v>
      </c>
      <c r="F1047" s="3">
        <f t="shared" si="4"/>
        <v>0.0007025258406</v>
      </c>
      <c r="G1047" s="4">
        <f t="shared" si="5"/>
        <v>1.479676439</v>
      </c>
      <c r="H1047" s="3">
        <f t="shared" si="6"/>
        <v>0.0007025258406</v>
      </c>
      <c r="I1047" s="5">
        <f t="shared" si="7"/>
        <v>1.150790378</v>
      </c>
    </row>
    <row r="1048">
      <c r="A1048" s="12">
        <f>IFERROR(__xludf.DUMMYFUNCTION("""COMPUTED_VALUE"""),43776.66666666667)</f>
        <v>43776.66667</v>
      </c>
      <c r="B1048" s="13">
        <f>IFERROR(__xludf.DUMMYFUNCTION("""COMPUTED_VALUE"""),3085.18)</f>
        <v>3085.18</v>
      </c>
      <c r="C1048" s="13">
        <f t="shared" si="1"/>
        <v>3044.85</v>
      </c>
      <c r="D1048" s="13">
        <f t="shared" si="2"/>
        <v>3025.89</v>
      </c>
      <c r="E1048" s="13" t="str">
        <f t="shared" si="3"/>
        <v>LONG</v>
      </c>
      <c r="F1048" s="3">
        <f t="shared" si="4"/>
        <v>0.002730126951</v>
      </c>
      <c r="G1048" s="4">
        <f t="shared" si="5"/>
        <v>1.483716143</v>
      </c>
      <c r="H1048" s="3">
        <f t="shared" si="6"/>
        <v>0.002730126951</v>
      </c>
      <c r="I1048" s="5">
        <f t="shared" si="7"/>
        <v>1.153932182</v>
      </c>
    </row>
    <row r="1049">
      <c r="A1049" s="12">
        <f>IFERROR(__xludf.DUMMYFUNCTION("""COMPUTED_VALUE"""),43777.66666666667)</f>
        <v>43777.66667</v>
      </c>
      <c r="B1049" s="13">
        <f>IFERROR(__xludf.DUMMYFUNCTION("""COMPUTED_VALUE"""),3093.08)</f>
        <v>3093.08</v>
      </c>
      <c r="C1049" s="13">
        <f t="shared" si="1"/>
        <v>3051.685</v>
      </c>
      <c r="D1049" s="13">
        <f t="shared" si="2"/>
        <v>3038.975</v>
      </c>
      <c r="E1049" s="13" t="str">
        <f t="shared" si="3"/>
        <v>LONG</v>
      </c>
      <c r="F1049" s="3">
        <f t="shared" si="4"/>
        <v>0.002560628553</v>
      </c>
      <c r="G1049" s="4">
        <f t="shared" si="5"/>
        <v>1.487515389</v>
      </c>
      <c r="H1049" s="3">
        <f t="shared" si="6"/>
        <v>0.002560628553</v>
      </c>
      <c r="I1049" s="5">
        <f t="shared" si="7"/>
        <v>1.156886974</v>
      </c>
    </row>
    <row r="1050">
      <c r="A1050" s="12">
        <f>IFERROR(__xludf.DUMMYFUNCTION("""COMPUTED_VALUE"""),43780.66666666667)</f>
        <v>43780.66667</v>
      </c>
      <c r="B1050" s="13">
        <f>IFERROR(__xludf.DUMMYFUNCTION("""COMPUTED_VALUE"""),3087.01)</f>
        <v>3087.01</v>
      </c>
      <c r="C1050" s="13">
        <f t="shared" si="1"/>
        <v>3054.78</v>
      </c>
      <c r="D1050" s="13">
        <f t="shared" si="2"/>
        <v>3032.315</v>
      </c>
      <c r="E1050" s="13" t="str">
        <f t="shared" si="3"/>
        <v>LONG</v>
      </c>
      <c r="F1050" s="3">
        <f t="shared" si="4"/>
        <v>-0.0019624452</v>
      </c>
      <c r="G1050" s="4">
        <f t="shared" si="5"/>
        <v>1.484596222</v>
      </c>
      <c r="H1050" s="3">
        <f t="shared" si="6"/>
        <v>-0.0019624452</v>
      </c>
      <c r="I1050" s="5">
        <f t="shared" si="7"/>
        <v>1.154616646</v>
      </c>
    </row>
    <row r="1051">
      <c r="A1051" s="12">
        <f>IFERROR(__xludf.DUMMYFUNCTION("""COMPUTED_VALUE"""),43781.66666666667)</f>
        <v>43781.66667</v>
      </c>
      <c r="B1051" s="13">
        <f>IFERROR(__xludf.DUMMYFUNCTION("""COMPUTED_VALUE"""),3091.84)</f>
        <v>3091.84</v>
      </c>
      <c r="C1051" s="13">
        <f t="shared" si="1"/>
        <v>3065.63</v>
      </c>
      <c r="D1051" s="13">
        <f t="shared" si="2"/>
        <v>3026.815</v>
      </c>
      <c r="E1051" s="13" t="str">
        <f t="shared" si="3"/>
        <v>LONG</v>
      </c>
      <c r="F1051" s="3">
        <f t="shared" si="4"/>
        <v>0.001564620782</v>
      </c>
      <c r="G1051" s="4">
        <f t="shared" si="5"/>
        <v>1.486919052</v>
      </c>
      <c r="H1051" s="3">
        <f t="shared" si="6"/>
        <v>0.001564620782</v>
      </c>
      <c r="I1051" s="5">
        <f t="shared" si="7"/>
        <v>1.156423184</v>
      </c>
    </row>
    <row r="1052">
      <c r="A1052" s="12">
        <f>IFERROR(__xludf.DUMMYFUNCTION("""COMPUTED_VALUE"""),43782.66666666667)</f>
        <v>43782.66667</v>
      </c>
      <c r="B1052" s="13">
        <f>IFERROR(__xludf.DUMMYFUNCTION("""COMPUTED_VALUE"""),3094.04)</f>
        <v>3094.04</v>
      </c>
      <c r="C1052" s="13">
        <f t="shared" si="1"/>
        <v>3065.465</v>
      </c>
      <c r="D1052" s="13">
        <f t="shared" si="2"/>
        <v>3035.39</v>
      </c>
      <c r="E1052" s="13" t="str">
        <f t="shared" si="3"/>
        <v>LONG</v>
      </c>
      <c r="F1052" s="3">
        <f t="shared" si="4"/>
        <v>0.0007115504036</v>
      </c>
      <c r="G1052" s="4">
        <f t="shared" si="5"/>
        <v>1.48797707</v>
      </c>
      <c r="H1052" s="3">
        <f t="shared" si="6"/>
        <v>0.0007115504036</v>
      </c>
      <c r="I1052" s="5">
        <f t="shared" si="7"/>
        <v>1.157246037</v>
      </c>
    </row>
    <row r="1053">
      <c r="A1053" s="12">
        <f>IFERROR(__xludf.DUMMYFUNCTION("""COMPUTED_VALUE"""),43783.66666666667)</f>
        <v>43783.66667</v>
      </c>
      <c r="B1053" s="13">
        <f>IFERROR(__xludf.DUMMYFUNCTION("""COMPUTED_VALUE"""),3096.63)</f>
        <v>3096.63</v>
      </c>
      <c r="C1053" s="13">
        <f t="shared" si="1"/>
        <v>3071.7</v>
      </c>
      <c r="D1053" s="13">
        <f t="shared" si="2"/>
        <v>3018.44</v>
      </c>
      <c r="E1053" s="13" t="str">
        <f t="shared" si="3"/>
        <v>LONG</v>
      </c>
      <c r="F1053" s="3">
        <f t="shared" si="4"/>
        <v>0.0008370932502</v>
      </c>
      <c r="G1053" s="4">
        <f t="shared" si="5"/>
        <v>1.489222645</v>
      </c>
      <c r="H1053" s="3">
        <f t="shared" si="6"/>
        <v>0.0008370932502</v>
      </c>
      <c r="I1053" s="5">
        <f t="shared" si="7"/>
        <v>1.15821476</v>
      </c>
    </row>
    <row r="1054">
      <c r="A1054" s="12">
        <f>IFERROR(__xludf.DUMMYFUNCTION("""COMPUTED_VALUE"""),43784.66666666667)</f>
        <v>43784.66667</v>
      </c>
      <c r="B1054" s="13">
        <f>IFERROR(__xludf.DUMMYFUNCTION("""COMPUTED_VALUE"""),3120.46)</f>
        <v>3120.46</v>
      </c>
      <c r="C1054" s="13">
        <f t="shared" si="1"/>
        <v>3093.685</v>
      </c>
      <c r="D1054" s="13">
        <f t="shared" si="2"/>
        <v>3004.035</v>
      </c>
      <c r="E1054" s="13" t="str">
        <f t="shared" si="3"/>
        <v>LONG</v>
      </c>
      <c r="F1054" s="3">
        <f t="shared" si="4"/>
        <v>0.007695462487</v>
      </c>
      <c r="G1054" s="4">
        <f t="shared" si="5"/>
        <v>1.500682902</v>
      </c>
      <c r="H1054" s="3">
        <f t="shared" si="6"/>
        <v>0.007695462487</v>
      </c>
      <c r="I1054" s="5">
        <f t="shared" si="7"/>
        <v>1.167127758</v>
      </c>
    </row>
    <row r="1055">
      <c r="A1055" s="12">
        <f>IFERROR(__xludf.DUMMYFUNCTION("""COMPUTED_VALUE"""),43787.66666666667)</f>
        <v>43787.66667</v>
      </c>
      <c r="B1055" s="13">
        <f>IFERROR(__xludf.DUMMYFUNCTION("""COMPUTED_VALUE"""),3122.03)</f>
        <v>3122.03</v>
      </c>
      <c r="C1055" s="13">
        <f t="shared" si="1"/>
        <v>3100.15</v>
      </c>
      <c r="D1055" s="13">
        <f t="shared" si="2"/>
        <v>3016.33</v>
      </c>
      <c r="E1055" s="13" t="str">
        <f t="shared" si="3"/>
        <v>LONG</v>
      </c>
      <c r="F1055" s="3">
        <f t="shared" si="4"/>
        <v>0.0005031309486</v>
      </c>
      <c r="G1055" s="4">
        <f t="shared" si="5"/>
        <v>1.501437942</v>
      </c>
      <c r="H1055" s="3">
        <f t="shared" si="6"/>
        <v>0.0005031309486</v>
      </c>
      <c r="I1055" s="5">
        <f t="shared" si="7"/>
        <v>1.167714976</v>
      </c>
    </row>
    <row r="1056">
      <c r="A1056" s="12">
        <f>IFERROR(__xludf.DUMMYFUNCTION("""COMPUTED_VALUE"""),43788.66666666667)</f>
        <v>43788.66667</v>
      </c>
      <c r="B1056" s="13">
        <f>IFERROR(__xludf.DUMMYFUNCTION("""COMPUTED_VALUE"""),3120.18)</f>
        <v>3120.18</v>
      </c>
      <c r="C1056" s="13">
        <f t="shared" si="1"/>
        <v>3097.4</v>
      </c>
      <c r="D1056" s="13">
        <f t="shared" si="2"/>
        <v>3036.095</v>
      </c>
      <c r="E1056" s="13" t="str">
        <f t="shared" si="3"/>
        <v>LONG</v>
      </c>
      <c r="F1056" s="3">
        <f t="shared" si="4"/>
        <v>-0.000592563172</v>
      </c>
      <c r="G1056" s="4">
        <f t="shared" si="5"/>
        <v>1.500548246</v>
      </c>
      <c r="H1056" s="3">
        <f t="shared" si="6"/>
        <v>-0.000592563172</v>
      </c>
      <c r="I1056" s="5">
        <f t="shared" si="7"/>
        <v>1.167023031</v>
      </c>
    </row>
    <row r="1057">
      <c r="A1057" s="12">
        <f>IFERROR(__xludf.DUMMYFUNCTION("""COMPUTED_VALUE"""),43789.66666666667)</f>
        <v>43789.66667</v>
      </c>
      <c r="B1057" s="13">
        <f>IFERROR(__xludf.DUMMYFUNCTION("""COMPUTED_VALUE"""),3108.46)</f>
        <v>3108.46</v>
      </c>
      <c r="C1057" s="13">
        <f t="shared" si="1"/>
        <v>3092.62</v>
      </c>
      <c r="D1057" s="13">
        <f t="shared" si="2"/>
        <v>3023.625</v>
      </c>
      <c r="E1057" s="13" t="str">
        <f t="shared" si="3"/>
        <v>LONG</v>
      </c>
      <c r="F1057" s="3">
        <f t="shared" si="4"/>
        <v>-0.003756193553</v>
      </c>
      <c r="G1057" s="4">
        <f t="shared" si="5"/>
        <v>1.494911896</v>
      </c>
      <c r="H1057" s="3">
        <f t="shared" si="6"/>
        <v>-0.003756193553</v>
      </c>
      <c r="I1057" s="5">
        <f t="shared" si="7"/>
        <v>1.162639467</v>
      </c>
    </row>
    <row r="1058">
      <c r="A1058" s="12">
        <f>IFERROR(__xludf.DUMMYFUNCTION("""COMPUTED_VALUE"""),43790.66666666667)</f>
        <v>43790.66667</v>
      </c>
      <c r="B1058" s="13">
        <f>IFERROR(__xludf.DUMMYFUNCTION("""COMPUTED_VALUE"""),3103.54)</f>
        <v>3103.54</v>
      </c>
      <c r="C1058" s="13">
        <f t="shared" si="1"/>
        <v>3094.36</v>
      </c>
      <c r="D1058" s="13">
        <f t="shared" si="2"/>
        <v>2998.3</v>
      </c>
      <c r="E1058" s="13" t="str">
        <f t="shared" si="3"/>
        <v>LONG</v>
      </c>
      <c r="F1058" s="3">
        <f t="shared" si="4"/>
        <v>-0.001582777324</v>
      </c>
      <c r="G1058" s="4">
        <f t="shared" si="5"/>
        <v>1.492545783</v>
      </c>
      <c r="H1058" s="3">
        <f t="shared" si="6"/>
        <v>-0.001582777324</v>
      </c>
      <c r="I1058" s="5">
        <f t="shared" si="7"/>
        <v>1.160799268</v>
      </c>
    </row>
    <row r="1059">
      <c r="A1059" s="12">
        <f>IFERROR(__xludf.DUMMYFUNCTION("""COMPUTED_VALUE"""),43791.66666666667)</f>
        <v>43791.66667</v>
      </c>
      <c r="B1059" s="13">
        <f>IFERROR(__xludf.DUMMYFUNCTION("""COMPUTED_VALUE"""),3110.29)</f>
        <v>3110.29</v>
      </c>
      <c r="C1059" s="13">
        <f t="shared" si="1"/>
        <v>3101.685</v>
      </c>
      <c r="D1059" s="13">
        <f t="shared" si="2"/>
        <v>3014.845</v>
      </c>
      <c r="E1059" s="13" t="str">
        <f t="shared" si="3"/>
        <v>LONG</v>
      </c>
      <c r="F1059" s="3">
        <f t="shared" si="4"/>
        <v>0.002174935719</v>
      </c>
      <c r="G1059" s="4">
        <f t="shared" si="5"/>
        <v>1.495791974</v>
      </c>
      <c r="H1059" s="3">
        <f t="shared" si="6"/>
        <v>0.002174935719</v>
      </c>
      <c r="I1059" s="5">
        <f t="shared" si="7"/>
        <v>1.163323931</v>
      </c>
    </row>
    <row r="1060">
      <c r="A1060" s="12">
        <f>IFERROR(__xludf.DUMMYFUNCTION("""COMPUTED_VALUE"""),43794.66666666667)</f>
        <v>43794.66667</v>
      </c>
      <c r="B1060" s="13">
        <f>IFERROR(__xludf.DUMMYFUNCTION("""COMPUTED_VALUE"""),3133.64)</f>
        <v>3133.64</v>
      </c>
      <c r="C1060" s="13">
        <f t="shared" si="1"/>
        <v>3110.325</v>
      </c>
      <c r="D1060" s="13">
        <f t="shared" si="2"/>
        <v>3035.885</v>
      </c>
      <c r="E1060" s="13" t="str">
        <f t="shared" si="3"/>
        <v>LONG</v>
      </c>
      <c r="F1060" s="3">
        <f t="shared" si="4"/>
        <v>0.007507338544</v>
      </c>
      <c r="G1060" s="4">
        <f t="shared" si="5"/>
        <v>1.507021391</v>
      </c>
      <c r="H1060" s="3">
        <f t="shared" si="6"/>
        <v>0.007507338544</v>
      </c>
      <c r="I1060" s="5">
        <f t="shared" si="7"/>
        <v>1.172057398</v>
      </c>
    </row>
    <row r="1061">
      <c r="A1061" s="12">
        <f>IFERROR(__xludf.DUMMYFUNCTION("""COMPUTED_VALUE"""),43795.66666666667)</f>
        <v>43795.66667</v>
      </c>
      <c r="B1061" s="13">
        <f>IFERROR(__xludf.DUMMYFUNCTION("""COMPUTED_VALUE"""),3140.52)</f>
        <v>3140.52</v>
      </c>
      <c r="C1061" s="13">
        <f t="shared" si="1"/>
        <v>3116.18</v>
      </c>
      <c r="D1061" s="13">
        <f t="shared" si="2"/>
        <v>3055.395</v>
      </c>
      <c r="E1061" s="13" t="str">
        <f t="shared" si="3"/>
        <v>LONG</v>
      </c>
      <c r="F1061" s="3">
        <f t="shared" si="4"/>
        <v>0.002195529799</v>
      </c>
      <c r="G1061" s="4">
        <f t="shared" si="5"/>
        <v>1.510330102</v>
      </c>
      <c r="H1061" s="3">
        <f t="shared" si="6"/>
        <v>0.002195529799</v>
      </c>
      <c r="I1061" s="5">
        <f t="shared" si="7"/>
        <v>1.174630685</v>
      </c>
    </row>
    <row r="1062">
      <c r="A1062" s="12">
        <f>IFERROR(__xludf.DUMMYFUNCTION("""COMPUTED_VALUE"""),43798.54166666667)</f>
        <v>43798.54167</v>
      </c>
      <c r="B1062" s="13">
        <f>IFERROR(__xludf.DUMMYFUNCTION("""COMPUTED_VALUE"""),3140.98)</f>
        <v>3140.98</v>
      </c>
      <c r="C1062" s="13">
        <f t="shared" si="1"/>
        <v>3117.51</v>
      </c>
      <c r="D1062" s="13">
        <f t="shared" si="2"/>
        <v>3053.565</v>
      </c>
      <c r="E1062" s="13" t="str">
        <f t="shared" si="3"/>
        <v>LONG</v>
      </c>
      <c r="F1062" s="3">
        <f t="shared" si="4"/>
        <v>0.0001464725587</v>
      </c>
      <c r="G1062" s="4">
        <f t="shared" si="5"/>
        <v>1.510551323</v>
      </c>
      <c r="H1062" s="3">
        <f t="shared" si="6"/>
        <v>0.0001464725587</v>
      </c>
      <c r="I1062" s="5">
        <f t="shared" si="7"/>
        <v>1.174802736</v>
      </c>
    </row>
    <row r="1063">
      <c r="A1063" s="12">
        <f>IFERROR(__xludf.DUMMYFUNCTION("""COMPUTED_VALUE"""),43801.66666666667)</f>
        <v>43801.66667</v>
      </c>
      <c r="B1063" s="13">
        <f>IFERROR(__xludf.DUMMYFUNCTION("""COMPUTED_VALUE"""),3113.87)</f>
        <v>3113.87</v>
      </c>
      <c r="C1063" s="13">
        <f t="shared" si="1"/>
        <v>3105.25</v>
      </c>
      <c r="D1063" s="13">
        <f t="shared" si="2"/>
        <v>3054.775</v>
      </c>
      <c r="E1063" s="13" t="str">
        <f t="shared" si="3"/>
        <v>LONG</v>
      </c>
      <c r="F1063" s="3">
        <f t="shared" si="4"/>
        <v>-0.00863106419</v>
      </c>
      <c r="G1063" s="4">
        <f t="shared" si="5"/>
        <v>1.497513658</v>
      </c>
      <c r="H1063" s="3">
        <f t="shared" si="6"/>
        <v>-0.00863106419</v>
      </c>
      <c r="I1063" s="5">
        <f t="shared" si="7"/>
        <v>1.164662938</v>
      </c>
    </row>
    <row r="1064">
      <c r="A1064" s="12">
        <f>IFERROR(__xludf.DUMMYFUNCTION("""COMPUTED_VALUE"""),43802.66666666667)</f>
        <v>43802.66667</v>
      </c>
      <c r="B1064" s="13">
        <f>IFERROR(__xludf.DUMMYFUNCTION("""COMPUTED_VALUE"""),3093.2)</f>
        <v>3093.2</v>
      </c>
      <c r="C1064" s="13">
        <f t="shared" si="1"/>
        <v>3106.83</v>
      </c>
      <c r="D1064" s="13">
        <f t="shared" si="2"/>
        <v>3041.445</v>
      </c>
      <c r="E1064" s="13" t="str">
        <f t="shared" si="3"/>
        <v>LONG</v>
      </c>
      <c r="F1064" s="3">
        <f t="shared" si="4"/>
        <v>-0.006638042051</v>
      </c>
      <c r="G1064" s="4">
        <f t="shared" si="5"/>
        <v>1.487573099</v>
      </c>
      <c r="H1064" s="3">
        <f t="shared" si="6"/>
        <v>-0.006638042051</v>
      </c>
      <c r="I1064" s="5">
        <f t="shared" si="7"/>
        <v>1.156931857</v>
      </c>
    </row>
    <row r="1065">
      <c r="A1065" s="12">
        <f>IFERROR(__xludf.DUMMYFUNCTION("""COMPUTED_VALUE"""),43803.66666666667)</f>
        <v>43803.66667</v>
      </c>
      <c r="B1065" s="13">
        <f>IFERROR(__xludf.DUMMYFUNCTION("""COMPUTED_VALUE"""),3112.76)</f>
        <v>3112.76</v>
      </c>
      <c r="C1065" s="13">
        <f t="shared" si="1"/>
        <v>3117.395</v>
      </c>
      <c r="D1065" s="13">
        <f t="shared" si="2"/>
        <v>3055.355</v>
      </c>
      <c r="E1065" s="13" t="str">
        <f t="shared" si="3"/>
        <v>LONG</v>
      </c>
      <c r="F1065" s="3">
        <f t="shared" si="4"/>
        <v>0.006323548429</v>
      </c>
      <c r="G1065" s="4">
        <f t="shared" si="5"/>
        <v>1.49697984</v>
      </c>
      <c r="H1065" s="3">
        <f t="shared" si="6"/>
        <v>0.006323548429</v>
      </c>
      <c r="I1065" s="5">
        <f t="shared" si="7"/>
        <v>1.164247771</v>
      </c>
    </row>
    <row r="1066">
      <c r="A1066" s="12">
        <f>IFERROR(__xludf.DUMMYFUNCTION("""COMPUTED_VALUE"""),43804.66666666667)</f>
        <v>43804.66667</v>
      </c>
      <c r="B1066" s="13">
        <f>IFERROR(__xludf.DUMMYFUNCTION("""COMPUTED_VALUE"""),3117.43)</f>
        <v>3117.43</v>
      </c>
      <c r="C1066" s="13">
        <f t="shared" si="1"/>
        <v>3118.805</v>
      </c>
      <c r="D1066" s="13">
        <f t="shared" si="2"/>
        <v>3051.815</v>
      </c>
      <c r="E1066" s="13" t="str">
        <f t="shared" si="3"/>
        <v>LONG</v>
      </c>
      <c r="F1066" s="3">
        <f t="shared" si="4"/>
        <v>0.001500276282</v>
      </c>
      <c r="G1066" s="4">
        <f t="shared" si="5"/>
        <v>1.499225723</v>
      </c>
      <c r="H1066" s="3">
        <f t="shared" si="6"/>
        <v>0.001500276282</v>
      </c>
      <c r="I1066" s="5">
        <f t="shared" si="7"/>
        <v>1.165994465</v>
      </c>
    </row>
    <row r="1067">
      <c r="A1067" s="12">
        <f>IFERROR(__xludf.DUMMYFUNCTION("""COMPUTED_VALUE"""),43805.66666666667)</f>
        <v>43805.66667</v>
      </c>
      <c r="B1067" s="13">
        <f>IFERROR(__xludf.DUMMYFUNCTION("""COMPUTED_VALUE"""),3145.91)</f>
        <v>3145.91</v>
      </c>
      <c r="C1067" s="13">
        <f t="shared" si="1"/>
        <v>3127.185</v>
      </c>
      <c r="D1067" s="13">
        <f t="shared" si="2"/>
        <v>3076.315</v>
      </c>
      <c r="E1067" s="13" t="str">
        <f t="shared" si="3"/>
        <v>LONG</v>
      </c>
      <c r="F1067" s="3">
        <f t="shared" si="4"/>
        <v>0.009135730393</v>
      </c>
      <c r="G1067" s="4">
        <f t="shared" si="5"/>
        <v>1.512922245</v>
      </c>
      <c r="H1067" s="3">
        <f t="shared" si="6"/>
        <v>0.009135730393</v>
      </c>
      <c r="I1067" s="5">
        <f t="shared" si="7"/>
        <v>1.176646676</v>
      </c>
    </row>
    <row r="1068">
      <c r="A1068" s="12">
        <f>IFERROR(__xludf.DUMMYFUNCTION("""COMPUTED_VALUE"""),43808.66666666667)</f>
        <v>43808.66667</v>
      </c>
      <c r="B1068" s="13">
        <f>IFERROR(__xludf.DUMMYFUNCTION("""COMPUTED_VALUE"""),3135.96)</f>
        <v>3135.96</v>
      </c>
      <c r="C1068" s="13">
        <f t="shared" si="1"/>
        <v>3119.75</v>
      </c>
      <c r="D1068" s="13">
        <f t="shared" si="2"/>
        <v>3065.975</v>
      </c>
      <c r="E1068" s="13" t="str">
        <f t="shared" si="3"/>
        <v>LONG</v>
      </c>
      <c r="F1068" s="3">
        <f t="shared" si="4"/>
        <v>-0.003162836826</v>
      </c>
      <c r="G1068" s="4">
        <f t="shared" si="5"/>
        <v>1.508137119</v>
      </c>
      <c r="H1068" s="3">
        <f t="shared" si="6"/>
        <v>-0.003162836826</v>
      </c>
      <c r="I1068" s="5">
        <f t="shared" si="7"/>
        <v>1.172925134</v>
      </c>
    </row>
    <row r="1069">
      <c r="A1069" s="12">
        <f>IFERROR(__xludf.DUMMYFUNCTION("""COMPUTED_VALUE"""),43809.66666666667)</f>
        <v>43809.66667</v>
      </c>
      <c r="B1069" s="13">
        <f>IFERROR(__xludf.DUMMYFUNCTION("""COMPUTED_VALUE"""),3132.52)</f>
        <v>3132.52</v>
      </c>
      <c r="C1069" s="13">
        <f t="shared" si="1"/>
        <v>3121.405</v>
      </c>
      <c r="D1069" s="13">
        <f t="shared" si="2"/>
        <v>3068.52</v>
      </c>
      <c r="E1069" s="13" t="str">
        <f t="shared" si="3"/>
        <v>LONG</v>
      </c>
      <c r="F1069" s="3">
        <f t="shared" si="4"/>
        <v>-0.001096952767</v>
      </c>
      <c r="G1069" s="4">
        <f t="shared" si="5"/>
        <v>1.506482764</v>
      </c>
      <c r="H1069" s="3">
        <f t="shared" si="6"/>
        <v>-0.001096952767</v>
      </c>
      <c r="I1069" s="5">
        <f t="shared" si="7"/>
        <v>1.171638491</v>
      </c>
    </row>
    <row r="1070">
      <c r="A1070" s="12">
        <f>IFERROR(__xludf.DUMMYFUNCTION("""COMPUTED_VALUE"""),43810.66666666667)</f>
        <v>43810.66667</v>
      </c>
      <c r="B1070" s="13">
        <f>IFERROR(__xludf.DUMMYFUNCTION("""COMPUTED_VALUE"""),3141.63)</f>
        <v>3141.63</v>
      </c>
      <c r="C1070" s="13">
        <f t="shared" si="1"/>
        <v>3137.635</v>
      </c>
      <c r="D1070" s="13">
        <f t="shared" si="2"/>
        <v>3075.96</v>
      </c>
      <c r="E1070" s="13" t="str">
        <f t="shared" si="3"/>
        <v>LONG</v>
      </c>
      <c r="F1070" s="3">
        <f t="shared" si="4"/>
        <v>0.002908201703</v>
      </c>
      <c r="G1070" s="4">
        <f t="shared" si="5"/>
        <v>1.51086392</v>
      </c>
      <c r="H1070" s="3">
        <f t="shared" si="6"/>
        <v>0.002908201703</v>
      </c>
      <c r="I1070" s="5">
        <f t="shared" si="7"/>
        <v>1.175045852</v>
      </c>
    </row>
    <row r="1071">
      <c r="A1071" s="12">
        <f>IFERROR(__xludf.DUMMYFUNCTION("""COMPUTED_VALUE"""),43811.66666666667)</f>
        <v>43811.66667</v>
      </c>
      <c r="B1071" s="13">
        <f>IFERROR(__xludf.DUMMYFUNCTION("""COMPUTED_VALUE"""),3168.57)</f>
        <v>3168.57</v>
      </c>
      <c r="C1071" s="13">
        <f t="shared" si="1"/>
        <v>3154.545</v>
      </c>
      <c r="D1071" s="13">
        <f t="shared" si="2"/>
        <v>3095.56</v>
      </c>
      <c r="E1071" s="13" t="str">
        <f t="shared" si="3"/>
        <v>LONG</v>
      </c>
      <c r="F1071" s="3">
        <f t="shared" si="4"/>
        <v>0.008575166395</v>
      </c>
      <c r="G1071" s="4">
        <f t="shared" si="5"/>
        <v>1.523819829</v>
      </c>
      <c r="H1071" s="3">
        <f t="shared" si="6"/>
        <v>0.008575166395</v>
      </c>
      <c r="I1071" s="5">
        <f t="shared" si="7"/>
        <v>1.185122066</v>
      </c>
    </row>
    <row r="1072">
      <c r="A1072" s="12">
        <f>IFERROR(__xludf.DUMMYFUNCTION("""COMPUTED_VALUE"""),43812.66666666667)</f>
        <v>43812.66667</v>
      </c>
      <c r="B1072" s="13">
        <f>IFERROR(__xludf.DUMMYFUNCTION("""COMPUTED_VALUE"""),3168.8)</f>
        <v>3168.8</v>
      </c>
      <c r="C1072" s="13">
        <f t="shared" si="1"/>
        <v>3154.89</v>
      </c>
      <c r="D1072" s="13">
        <f t="shared" si="2"/>
        <v>3104.11</v>
      </c>
      <c r="E1072" s="13" t="str">
        <f t="shared" si="3"/>
        <v>LONG</v>
      </c>
      <c r="F1072" s="3">
        <f t="shared" si="4"/>
        <v>0.00007258794977</v>
      </c>
      <c r="G1072" s="4">
        <f t="shared" si="5"/>
        <v>1.52393044</v>
      </c>
      <c r="H1072" s="3">
        <f t="shared" si="6"/>
        <v>0.00007258794977</v>
      </c>
      <c r="I1072" s="5">
        <f t="shared" si="7"/>
        <v>1.185208091</v>
      </c>
    </row>
    <row r="1073">
      <c r="A1073" s="12">
        <f>IFERROR(__xludf.DUMMYFUNCTION("""COMPUTED_VALUE"""),43815.66666666667)</f>
        <v>43815.66667</v>
      </c>
      <c r="B1073" s="13">
        <f>IFERROR(__xludf.DUMMYFUNCTION("""COMPUTED_VALUE"""),3191.45)</f>
        <v>3191.45</v>
      </c>
      <c r="C1073" s="13">
        <f t="shared" si="1"/>
        <v>3152.66</v>
      </c>
      <c r="D1073" s="13">
        <f t="shared" si="2"/>
        <v>3114.17</v>
      </c>
      <c r="E1073" s="13" t="str">
        <f t="shared" si="3"/>
        <v>LONG</v>
      </c>
      <c r="F1073" s="3">
        <f t="shared" si="4"/>
        <v>0.007147816208</v>
      </c>
      <c r="G1073" s="4">
        <f t="shared" si="5"/>
        <v>1.534823215</v>
      </c>
      <c r="H1073" s="3">
        <f t="shared" si="6"/>
        <v>0.007147816208</v>
      </c>
      <c r="I1073" s="5">
        <f t="shared" si="7"/>
        <v>1.193679741</v>
      </c>
    </row>
    <row r="1074">
      <c r="A1074" s="12">
        <f>IFERROR(__xludf.DUMMYFUNCTION("""COMPUTED_VALUE"""),43816.66666666667)</f>
        <v>43816.66667</v>
      </c>
      <c r="B1074" s="13">
        <f>IFERROR(__xludf.DUMMYFUNCTION("""COMPUTED_VALUE"""),3192.52)</f>
        <v>3192.52</v>
      </c>
      <c r="C1074" s="13">
        <f t="shared" si="1"/>
        <v>3142.86</v>
      </c>
      <c r="D1074" s="13">
        <f t="shared" si="2"/>
        <v>3119.645</v>
      </c>
      <c r="E1074" s="13" t="str">
        <f t="shared" si="3"/>
        <v>LONG</v>
      </c>
      <c r="F1074" s="3">
        <f t="shared" si="4"/>
        <v>0.0003352708017</v>
      </c>
      <c r="G1074" s="4">
        <f t="shared" si="5"/>
        <v>1.535337796</v>
      </c>
      <c r="H1074" s="3">
        <f t="shared" si="6"/>
        <v>0.0003352708017</v>
      </c>
      <c r="I1074" s="5">
        <f t="shared" si="7"/>
        <v>1.194079947</v>
      </c>
    </row>
    <row r="1075">
      <c r="A1075" s="12">
        <f>IFERROR(__xludf.DUMMYFUNCTION("""COMPUTED_VALUE"""),43817.66666666667)</f>
        <v>43817.66667</v>
      </c>
      <c r="B1075" s="13">
        <f>IFERROR(__xludf.DUMMYFUNCTION("""COMPUTED_VALUE"""),3191.14)</f>
        <v>3191.14</v>
      </c>
      <c r="C1075" s="13">
        <f t="shared" si="1"/>
        <v>3151.95</v>
      </c>
      <c r="D1075" s="13">
        <f t="shared" si="2"/>
        <v>3129.025</v>
      </c>
      <c r="E1075" s="13" t="str">
        <f t="shared" si="3"/>
        <v>LONG</v>
      </c>
      <c r="F1075" s="3">
        <f t="shared" si="4"/>
        <v>-0.0004322604087</v>
      </c>
      <c r="G1075" s="4">
        <f t="shared" si="5"/>
        <v>1.534674131</v>
      </c>
      <c r="H1075" s="3">
        <f t="shared" si="6"/>
        <v>-0.0004322604087</v>
      </c>
      <c r="I1075" s="5">
        <f t="shared" si="7"/>
        <v>1.193563793</v>
      </c>
    </row>
    <row r="1076">
      <c r="A1076" s="12">
        <f>IFERROR(__xludf.DUMMYFUNCTION("""COMPUTED_VALUE"""),43818.66666666667)</f>
        <v>43818.66667</v>
      </c>
      <c r="B1076" s="13">
        <f>IFERROR(__xludf.DUMMYFUNCTION("""COMPUTED_VALUE"""),3205.37)</f>
        <v>3205.37</v>
      </c>
      <c r="C1076" s="13">
        <f t="shared" si="1"/>
        <v>3161.4</v>
      </c>
      <c r="D1076" s="13">
        <f t="shared" si="2"/>
        <v>3141.82</v>
      </c>
      <c r="E1076" s="13" t="str">
        <f t="shared" si="3"/>
        <v>LONG</v>
      </c>
      <c r="F1076" s="3">
        <f t="shared" si="4"/>
        <v>0.004459221469</v>
      </c>
      <c r="G1076" s="4">
        <f t="shared" si="5"/>
        <v>1.541517582</v>
      </c>
      <c r="H1076" s="3">
        <f t="shared" si="6"/>
        <v>0.004459221469</v>
      </c>
      <c r="I1076" s="5">
        <f t="shared" si="7"/>
        <v>1.198886158</v>
      </c>
    </row>
    <row r="1077">
      <c r="A1077" s="12">
        <f>IFERROR(__xludf.DUMMYFUNCTION("""COMPUTED_VALUE"""),43819.66666666667)</f>
        <v>43819.66667</v>
      </c>
      <c r="B1077" s="13">
        <f>IFERROR(__xludf.DUMMYFUNCTION("""COMPUTED_VALUE"""),3221.22)</f>
        <v>3221.22</v>
      </c>
      <c r="C1077" s="13">
        <f t="shared" si="1"/>
        <v>3183.565</v>
      </c>
      <c r="D1077" s="13">
        <f t="shared" si="2"/>
        <v>3147.92</v>
      </c>
      <c r="E1077" s="13" t="str">
        <f t="shared" si="3"/>
        <v>LONG</v>
      </c>
      <c r="F1077" s="3">
        <f t="shared" si="4"/>
        <v>0.004944826962</v>
      </c>
      <c r="G1077" s="4">
        <f t="shared" si="5"/>
        <v>1.54914012</v>
      </c>
      <c r="H1077" s="3">
        <f t="shared" si="6"/>
        <v>0.004944826962</v>
      </c>
      <c r="I1077" s="5">
        <f t="shared" si="7"/>
        <v>1.204814443</v>
      </c>
    </row>
    <row r="1078">
      <c r="A1078" s="12">
        <f>IFERROR(__xludf.DUMMYFUNCTION("""COMPUTED_VALUE"""),43822.66666666667)</f>
        <v>43822.66667</v>
      </c>
      <c r="B1078" s="13">
        <f>IFERROR(__xludf.DUMMYFUNCTION("""COMPUTED_VALUE"""),3224.01)</f>
        <v>3224.01</v>
      </c>
      <c r="C1078" s="13">
        <f t="shared" si="1"/>
        <v>3179.985</v>
      </c>
      <c r="D1078" s="13">
        <f t="shared" si="2"/>
        <v>3150.395</v>
      </c>
      <c r="E1078" s="13" t="str">
        <f t="shared" si="3"/>
        <v>LONG</v>
      </c>
      <c r="F1078" s="3">
        <f t="shared" si="4"/>
        <v>0.0008661314657</v>
      </c>
      <c r="G1078" s="4">
        <f t="shared" si="5"/>
        <v>1.550481879</v>
      </c>
      <c r="H1078" s="3">
        <f t="shared" si="6"/>
        <v>0.0008661314657</v>
      </c>
      <c r="I1078" s="5">
        <f t="shared" si="7"/>
        <v>1.205857971</v>
      </c>
    </row>
    <row r="1079">
      <c r="A1079" s="12">
        <f>IFERROR(__xludf.DUMMYFUNCTION("""COMPUTED_VALUE"""),43825.66666666667)</f>
        <v>43825.66667</v>
      </c>
      <c r="B1079" s="13">
        <f>IFERROR(__xludf.DUMMYFUNCTION("""COMPUTED_VALUE"""),3239.91)</f>
        <v>3239.91</v>
      </c>
      <c r="C1079" s="13">
        <f t="shared" si="1"/>
        <v>3186.215</v>
      </c>
      <c r="D1079" s="13">
        <f t="shared" si="2"/>
        <v>3162.545</v>
      </c>
      <c r="E1079" s="13" t="str">
        <f t="shared" si="3"/>
        <v>LONG</v>
      </c>
      <c r="F1079" s="3">
        <f t="shared" si="4"/>
        <v>0.00493174649</v>
      </c>
      <c r="G1079" s="4">
        <f t="shared" si="5"/>
        <v>1.558128463</v>
      </c>
      <c r="H1079" s="3">
        <f t="shared" si="6"/>
        <v>0.00493174649</v>
      </c>
      <c r="I1079" s="5">
        <f t="shared" si="7"/>
        <v>1.211804957</v>
      </c>
    </row>
    <row r="1080">
      <c r="A1080" s="12">
        <f>IFERROR(__xludf.DUMMYFUNCTION("""COMPUTED_VALUE"""),43826.66666666667)</f>
        <v>43826.66667</v>
      </c>
      <c r="B1080" s="13">
        <f>IFERROR(__xludf.DUMMYFUNCTION("""COMPUTED_VALUE"""),3240.02)</f>
        <v>3240.02</v>
      </c>
      <c r="C1080" s="13">
        <f t="shared" si="1"/>
        <v>3190.825</v>
      </c>
      <c r="D1080" s="13">
        <f t="shared" si="2"/>
        <v>3166.55</v>
      </c>
      <c r="E1080" s="13" t="str">
        <f t="shared" si="3"/>
        <v>LONG</v>
      </c>
      <c r="F1080" s="3">
        <f t="shared" si="4"/>
        <v>0.00003395156038</v>
      </c>
      <c r="G1080" s="4">
        <f t="shared" si="5"/>
        <v>1.558181363</v>
      </c>
      <c r="H1080" s="3">
        <f t="shared" si="6"/>
        <v>0.00003395156038</v>
      </c>
      <c r="I1080" s="5">
        <f t="shared" si="7"/>
        <v>1.211846099</v>
      </c>
    </row>
    <row r="1081">
      <c r="A1081" s="12">
        <f>IFERROR(__xludf.DUMMYFUNCTION("""COMPUTED_VALUE"""),43829.66666666667)</f>
        <v>43829.66667</v>
      </c>
      <c r="B1081" s="13">
        <f>IFERROR(__xludf.DUMMYFUNCTION("""COMPUTED_VALUE"""),3221.29)</f>
        <v>3221.29</v>
      </c>
      <c r="C1081" s="13">
        <f t="shared" si="1"/>
        <v>3194.93</v>
      </c>
      <c r="D1081" s="13">
        <f t="shared" si="2"/>
        <v>3154.15</v>
      </c>
      <c r="E1081" s="13" t="str">
        <f t="shared" si="3"/>
        <v>LONG</v>
      </c>
      <c r="F1081" s="3">
        <f t="shared" si="4"/>
        <v>-0.005780828513</v>
      </c>
      <c r="G1081" s="4">
        <f t="shared" si="5"/>
        <v>1.549173784</v>
      </c>
      <c r="H1081" s="3">
        <f t="shared" si="6"/>
        <v>-0.005780828513</v>
      </c>
      <c r="I1081" s="5">
        <f t="shared" si="7"/>
        <v>1.204840625</v>
      </c>
    </row>
    <row r="1082">
      <c r="A1082" s="12">
        <f>IFERROR(__xludf.DUMMYFUNCTION("""COMPUTED_VALUE"""),43832.66666666667)</f>
        <v>43832.66667</v>
      </c>
      <c r="B1082" s="13">
        <f>IFERROR(__xludf.DUMMYFUNCTION("""COMPUTED_VALUE"""),3257.85)</f>
        <v>3257.85</v>
      </c>
      <c r="C1082" s="13">
        <f t="shared" si="1"/>
        <v>3213.325</v>
      </c>
      <c r="D1082" s="13">
        <f t="shared" si="2"/>
        <v>3174.845</v>
      </c>
      <c r="E1082" s="13" t="str">
        <f t="shared" si="3"/>
        <v>LONG</v>
      </c>
      <c r="F1082" s="3">
        <f t="shared" si="4"/>
        <v>0.01134949042</v>
      </c>
      <c r="G1082" s="4">
        <f t="shared" si="5"/>
        <v>1.566756117</v>
      </c>
      <c r="H1082" s="3">
        <f t="shared" si="6"/>
        <v>0.01134949042</v>
      </c>
      <c r="I1082" s="5">
        <f t="shared" si="7"/>
        <v>1.218514952</v>
      </c>
    </row>
    <row r="1083">
      <c r="A1083" s="12">
        <f>IFERROR(__xludf.DUMMYFUNCTION("""COMPUTED_VALUE"""),43833.66666666667)</f>
        <v>43833.66667</v>
      </c>
      <c r="B1083" s="13">
        <f>IFERROR(__xludf.DUMMYFUNCTION("""COMPUTED_VALUE"""),3234.85)</f>
        <v>3234.85</v>
      </c>
      <c r="C1083" s="13">
        <f t="shared" si="1"/>
        <v>3213.15</v>
      </c>
      <c r="D1083" s="13">
        <f t="shared" si="2"/>
        <v>3164.445</v>
      </c>
      <c r="E1083" s="13" t="str">
        <f t="shared" si="3"/>
        <v>LONG</v>
      </c>
      <c r="F1083" s="3">
        <f t="shared" si="4"/>
        <v>-0.007059870774</v>
      </c>
      <c r="G1083" s="4">
        <f t="shared" si="5"/>
        <v>1.555695022</v>
      </c>
      <c r="H1083" s="3">
        <f t="shared" si="6"/>
        <v>-0.007059870774</v>
      </c>
      <c r="I1083" s="5">
        <f t="shared" si="7"/>
        <v>1.209912394</v>
      </c>
    </row>
    <row r="1084">
      <c r="A1084" s="12">
        <f>IFERROR(__xludf.DUMMYFUNCTION("""COMPUTED_VALUE"""),43836.66666666667)</f>
        <v>43836.66667</v>
      </c>
      <c r="B1084" s="13">
        <f>IFERROR(__xludf.DUMMYFUNCTION("""COMPUTED_VALUE"""),3246.28)</f>
        <v>3246.28</v>
      </c>
      <c r="C1084" s="13">
        <f t="shared" si="1"/>
        <v>3219.4</v>
      </c>
      <c r="D1084" s="13">
        <f t="shared" si="2"/>
        <v>3171.455</v>
      </c>
      <c r="E1084" s="13" t="str">
        <f t="shared" si="3"/>
        <v>LONG</v>
      </c>
      <c r="F1084" s="3">
        <f t="shared" si="4"/>
        <v>0.00353339413</v>
      </c>
      <c r="G1084" s="4">
        <f t="shared" si="5"/>
        <v>1.561191905</v>
      </c>
      <c r="H1084" s="3">
        <f t="shared" si="6"/>
        <v>0.00353339413</v>
      </c>
      <c r="I1084" s="5">
        <f t="shared" si="7"/>
        <v>1.214187491</v>
      </c>
    </row>
    <row r="1085">
      <c r="A1085" s="12">
        <f>IFERROR(__xludf.DUMMYFUNCTION("""COMPUTED_VALUE"""),43837.66666666667)</f>
        <v>43837.66667</v>
      </c>
      <c r="B1085" s="13">
        <f>IFERROR(__xludf.DUMMYFUNCTION("""COMPUTED_VALUE"""),3237.18)</f>
        <v>3237.18</v>
      </c>
      <c r="C1085" s="13">
        <f t="shared" si="1"/>
        <v>3214.16</v>
      </c>
      <c r="D1085" s="13">
        <f t="shared" si="2"/>
        <v>3178.82</v>
      </c>
      <c r="E1085" s="13" t="str">
        <f t="shared" si="3"/>
        <v>LONG</v>
      </c>
      <c r="F1085" s="3">
        <f t="shared" si="4"/>
        <v>-0.002803208596</v>
      </c>
      <c r="G1085" s="4">
        <f t="shared" si="5"/>
        <v>1.556815559</v>
      </c>
      <c r="H1085" s="3">
        <f t="shared" si="6"/>
        <v>-0.002803208596</v>
      </c>
      <c r="I1085" s="5">
        <f t="shared" si="7"/>
        <v>1.21078387</v>
      </c>
    </row>
    <row r="1086">
      <c r="A1086" s="12">
        <f>IFERROR(__xludf.DUMMYFUNCTION("""COMPUTED_VALUE"""),43838.66666666667)</f>
        <v>43838.66667</v>
      </c>
      <c r="B1086" s="13">
        <f>IFERROR(__xludf.DUMMYFUNCTION("""COMPUTED_VALUE"""),3253.05)</f>
        <v>3253.05</v>
      </c>
      <c r="C1086" s="13">
        <f t="shared" si="1"/>
        <v>3229.21</v>
      </c>
      <c r="D1086" s="13">
        <f t="shared" si="2"/>
        <v>3187.54</v>
      </c>
      <c r="E1086" s="13" t="str">
        <f t="shared" si="3"/>
        <v>LONG</v>
      </c>
      <c r="F1086" s="3">
        <f t="shared" si="4"/>
        <v>0.004902415065</v>
      </c>
      <c r="G1086" s="4">
        <f t="shared" si="5"/>
        <v>1.564447715</v>
      </c>
      <c r="H1086" s="3">
        <f t="shared" si="6"/>
        <v>0.004902415065</v>
      </c>
      <c r="I1086" s="5">
        <f t="shared" si="7"/>
        <v>1.216719635</v>
      </c>
    </row>
    <row r="1087">
      <c r="A1087" s="12">
        <f>IFERROR(__xludf.DUMMYFUNCTION("""COMPUTED_VALUE"""),43839.66666666667)</f>
        <v>43839.66667</v>
      </c>
      <c r="B1087" s="13">
        <f>IFERROR(__xludf.DUMMYFUNCTION("""COMPUTED_VALUE"""),3274.7)</f>
        <v>3274.7</v>
      </c>
      <c r="C1087" s="13">
        <f t="shared" si="1"/>
        <v>3247.96</v>
      </c>
      <c r="D1087" s="13">
        <f t="shared" si="2"/>
        <v>3197.44</v>
      </c>
      <c r="E1087" s="13" t="str">
        <f t="shared" si="3"/>
        <v>LONG</v>
      </c>
      <c r="F1087" s="3">
        <f t="shared" si="4"/>
        <v>0.006655292725</v>
      </c>
      <c r="G1087" s="4">
        <f t="shared" si="5"/>
        <v>1.574859572</v>
      </c>
      <c r="H1087" s="3">
        <f t="shared" si="6"/>
        <v>0.006655292725</v>
      </c>
      <c r="I1087" s="5">
        <f t="shared" si="7"/>
        <v>1.224817261</v>
      </c>
    </row>
    <row r="1088">
      <c r="A1088" s="12">
        <f>IFERROR(__xludf.DUMMYFUNCTION("""COMPUTED_VALUE"""),43840.66666666667)</f>
        <v>43840.66667</v>
      </c>
      <c r="B1088" s="13">
        <f>IFERROR(__xludf.DUMMYFUNCTION("""COMPUTED_VALUE"""),3265.35)</f>
        <v>3265.35</v>
      </c>
      <c r="C1088" s="13">
        <f t="shared" si="1"/>
        <v>3244.68</v>
      </c>
      <c r="D1088" s="13">
        <f t="shared" si="2"/>
        <v>3186.905</v>
      </c>
      <c r="E1088" s="13" t="str">
        <f t="shared" si="3"/>
        <v>LONG</v>
      </c>
      <c r="F1088" s="3">
        <f t="shared" si="4"/>
        <v>-0.002855223379</v>
      </c>
      <c r="G1088" s="4">
        <f t="shared" si="5"/>
        <v>1.570362996</v>
      </c>
      <c r="H1088" s="3">
        <f t="shared" si="6"/>
        <v>-0.002855223379</v>
      </c>
      <c r="I1088" s="5">
        <f t="shared" si="7"/>
        <v>1.221320134</v>
      </c>
    </row>
    <row r="1089">
      <c r="A1089" s="12">
        <f>IFERROR(__xludf.DUMMYFUNCTION("""COMPUTED_VALUE"""),43843.66666666667)</f>
        <v>43843.66667</v>
      </c>
      <c r="B1089" s="13">
        <f>IFERROR(__xludf.DUMMYFUNCTION("""COMPUTED_VALUE"""),3288.13)</f>
        <v>3288.13</v>
      </c>
      <c r="C1089" s="13">
        <f t="shared" si="1"/>
        <v>3264.02</v>
      </c>
      <c r="D1089" s="13">
        <f t="shared" si="2"/>
        <v>3195.835</v>
      </c>
      <c r="E1089" s="13" t="str">
        <f t="shared" si="3"/>
        <v>LONG</v>
      </c>
      <c r="F1089" s="3">
        <f t="shared" si="4"/>
        <v>0.006976281256</v>
      </c>
      <c r="G1089" s="4">
        <f t="shared" si="5"/>
        <v>1.58131829</v>
      </c>
      <c r="H1089" s="3">
        <f t="shared" si="6"/>
        <v>0.006976281256</v>
      </c>
      <c r="I1089" s="5">
        <f t="shared" si="7"/>
        <v>1.229840407</v>
      </c>
    </row>
    <row r="1090">
      <c r="A1090" s="12">
        <f>IFERROR(__xludf.DUMMYFUNCTION("""COMPUTED_VALUE"""),43844.66666666667)</f>
        <v>43844.66667</v>
      </c>
      <c r="B1090" s="13">
        <f>IFERROR(__xludf.DUMMYFUNCTION("""COMPUTED_VALUE"""),3283.15)</f>
        <v>3283.15</v>
      </c>
      <c r="C1090" s="13">
        <f t="shared" si="1"/>
        <v>3261.585</v>
      </c>
      <c r="D1090" s="13">
        <f t="shared" si="2"/>
        <v>3196.72</v>
      </c>
      <c r="E1090" s="13" t="str">
        <f t="shared" si="3"/>
        <v>LONG</v>
      </c>
      <c r="F1090" s="3">
        <f t="shared" si="4"/>
        <v>-0.001514538659</v>
      </c>
      <c r="G1090" s="4">
        <f t="shared" si="5"/>
        <v>1.578923323</v>
      </c>
      <c r="H1090" s="3">
        <f t="shared" si="6"/>
        <v>-0.001514538659</v>
      </c>
      <c r="I1090" s="5">
        <f t="shared" si="7"/>
        <v>1.227977766</v>
      </c>
    </row>
    <row r="1091">
      <c r="A1091" s="12">
        <f>IFERROR(__xludf.DUMMYFUNCTION("""COMPUTED_VALUE"""),43845.66666666667)</f>
        <v>43845.66667</v>
      </c>
      <c r="B1091" s="13">
        <f>IFERROR(__xludf.DUMMYFUNCTION("""COMPUTED_VALUE"""),3289.29)</f>
        <v>3289.29</v>
      </c>
      <c r="C1091" s="13">
        <f t="shared" si="1"/>
        <v>3255.29</v>
      </c>
      <c r="D1091" s="13">
        <f t="shared" si="2"/>
        <v>3211.465</v>
      </c>
      <c r="E1091" s="13" t="str">
        <f t="shared" si="3"/>
        <v>LONG</v>
      </c>
      <c r="F1091" s="3">
        <f t="shared" si="4"/>
        <v>0.001870155186</v>
      </c>
      <c r="G1091" s="4">
        <f t="shared" si="5"/>
        <v>1.581876154</v>
      </c>
      <c r="H1091" s="3">
        <f t="shared" si="6"/>
        <v>0.001870155186</v>
      </c>
      <c r="I1091" s="5">
        <f t="shared" si="7"/>
        <v>1.230274275</v>
      </c>
    </row>
    <row r="1092">
      <c r="A1092" s="12">
        <f>IFERROR(__xludf.DUMMYFUNCTION("""COMPUTED_VALUE"""),43846.66666666667)</f>
        <v>43846.66667</v>
      </c>
      <c r="B1092" s="13">
        <f>IFERROR(__xludf.DUMMYFUNCTION("""COMPUTED_VALUE"""),3316.81)</f>
        <v>3316.81</v>
      </c>
      <c r="C1092" s="13">
        <f t="shared" si="1"/>
        <v>3287.33</v>
      </c>
      <c r="D1092" s="13">
        <f t="shared" si="2"/>
        <v>3228.665</v>
      </c>
      <c r="E1092" s="13" t="str">
        <f t="shared" si="3"/>
        <v>LONG</v>
      </c>
      <c r="F1092" s="3">
        <f t="shared" si="4"/>
        <v>0.008366547188</v>
      </c>
      <c r="G1092" s="4">
        <f t="shared" si="5"/>
        <v>1.595110996</v>
      </c>
      <c r="H1092" s="3">
        <f t="shared" si="6"/>
        <v>0.008366547188</v>
      </c>
      <c r="I1092" s="5">
        <f t="shared" si="7"/>
        <v>1.240567423</v>
      </c>
    </row>
    <row r="1093">
      <c r="A1093" s="12">
        <f>IFERROR(__xludf.DUMMYFUNCTION("""COMPUTED_VALUE"""),43847.66666666667)</f>
        <v>43847.66667</v>
      </c>
      <c r="B1093" s="13">
        <f>IFERROR(__xludf.DUMMYFUNCTION("""COMPUTED_VALUE"""),3329.62)</f>
        <v>3329.62</v>
      </c>
      <c r="C1093" s="13">
        <f t="shared" si="1"/>
        <v>3282.235</v>
      </c>
      <c r="D1093" s="13">
        <f t="shared" si="2"/>
        <v>3235.3</v>
      </c>
      <c r="E1093" s="13" t="str">
        <f t="shared" si="3"/>
        <v>LONG</v>
      </c>
      <c r="F1093" s="3">
        <f t="shared" si="4"/>
        <v>0.003862144651</v>
      </c>
      <c r="G1093" s="4">
        <f t="shared" si="5"/>
        <v>1.601271545</v>
      </c>
      <c r="H1093" s="3">
        <f t="shared" si="6"/>
        <v>0.003862144651</v>
      </c>
      <c r="I1093" s="5">
        <f t="shared" si="7"/>
        <v>1.245358673</v>
      </c>
    </row>
    <row r="1094">
      <c r="A1094" s="12">
        <f>IFERROR(__xludf.DUMMYFUNCTION("""COMPUTED_VALUE"""),43851.66666666667)</f>
        <v>43851.66667</v>
      </c>
      <c r="B1094" s="13">
        <f>IFERROR(__xludf.DUMMYFUNCTION("""COMPUTED_VALUE"""),3320.79)</f>
        <v>3320.79</v>
      </c>
      <c r="C1094" s="13">
        <f t="shared" si="1"/>
        <v>3283.535</v>
      </c>
      <c r="D1094" s="13">
        <f t="shared" si="2"/>
        <v>3217.33</v>
      </c>
      <c r="E1094" s="13" t="str">
        <f t="shared" si="3"/>
        <v>LONG</v>
      </c>
      <c r="F1094" s="3">
        <f t="shared" si="4"/>
        <v>-0.002651954277</v>
      </c>
      <c r="G1094" s="4">
        <f t="shared" si="5"/>
        <v>1.597025046</v>
      </c>
      <c r="H1094" s="3">
        <f t="shared" si="6"/>
        <v>-0.002651954277</v>
      </c>
      <c r="I1094" s="5">
        <f t="shared" si="7"/>
        <v>1.242056039</v>
      </c>
    </row>
    <row r="1095">
      <c r="A1095" s="12">
        <f>IFERROR(__xludf.DUMMYFUNCTION("""COMPUTED_VALUE"""),43852.66666666667)</f>
        <v>43852.66667</v>
      </c>
      <c r="B1095" s="13">
        <f>IFERROR(__xludf.DUMMYFUNCTION("""COMPUTED_VALUE"""),3321.75)</f>
        <v>3321.75</v>
      </c>
      <c r="C1095" s="13">
        <f t="shared" si="1"/>
        <v>3279.465</v>
      </c>
      <c r="D1095" s="13">
        <f t="shared" si="2"/>
        <v>3207.475</v>
      </c>
      <c r="E1095" s="13" t="str">
        <f t="shared" si="3"/>
        <v>LONG</v>
      </c>
      <c r="F1095" s="3">
        <f t="shared" si="4"/>
        <v>0.0002890878375</v>
      </c>
      <c r="G1095" s="4">
        <f t="shared" si="5"/>
        <v>1.597486727</v>
      </c>
      <c r="H1095" s="3">
        <f t="shared" si="6"/>
        <v>0.0002890878375</v>
      </c>
      <c r="I1095" s="5">
        <f t="shared" si="7"/>
        <v>1.242415102</v>
      </c>
    </row>
    <row r="1096">
      <c r="A1096" s="12">
        <f>IFERROR(__xludf.DUMMYFUNCTION("""COMPUTED_VALUE"""),43853.66666666667)</f>
        <v>43853.66667</v>
      </c>
      <c r="B1096" s="13">
        <f>IFERROR(__xludf.DUMMYFUNCTION("""COMPUTED_VALUE"""),3325.54)</f>
        <v>3325.54</v>
      </c>
      <c r="C1096" s="13">
        <f t="shared" si="1"/>
        <v>3289.295</v>
      </c>
      <c r="D1096" s="13">
        <f t="shared" si="2"/>
        <v>3219.15</v>
      </c>
      <c r="E1096" s="13" t="str">
        <f t="shared" si="3"/>
        <v>LONG</v>
      </c>
      <c r="F1096" s="3">
        <f t="shared" si="4"/>
        <v>0.001140964853</v>
      </c>
      <c r="G1096" s="4">
        <f t="shared" si="5"/>
        <v>1.599309403</v>
      </c>
      <c r="H1096" s="3">
        <f t="shared" si="6"/>
        <v>0.001140964853</v>
      </c>
      <c r="I1096" s="5">
        <f t="shared" si="7"/>
        <v>1.243832654</v>
      </c>
    </row>
    <row r="1097">
      <c r="A1097" s="12">
        <f>IFERROR(__xludf.DUMMYFUNCTION("""COMPUTED_VALUE"""),43854.66666666667)</f>
        <v>43854.66667</v>
      </c>
      <c r="B1097" s="13">
        <f>IFERROR(__xludf.DUMMYFUNCTION("""COMPUTED_VALUE"""),3295.47)</f>
        <v>3295.47</v>
      </c>
      <c r="C1097" s="13">
        <f t="shared" si="1"/>
        <v>3285.085</v>
      </c>
      <c r="D1097" s="13">
        <f t="shared" si="2"/>
        <v>3206.45</v>
      </c>
      <c r="E1097" s="13" t="str">
        <f t="shared" si="3"/>
        <v>LONG</v>
      </c>
      <c r="F1097" s="3">
        <f t="shared" si="4"/>
        <v>-0.009042140525</v>
      </c>
      <c r="G1097" s="4">
        <f t="shared" si="5"/>
        <v>1.584848223</v>
      </c>
      <c r="H1097" s="3">
        <f t="shared" si="6"/>
        <v>-0.009042140525</v>
      </c>
      <c r="I1097" s="5">
        <f t="shared" si="7"/>
        <v>1.232585745</v>
      </c>
    </row>
    <row r="1098">
      <c r="A1098" s="12">
        <f>IFERROR(__xludf.DUMMYFUNCTION("""COMPUTED_VALUE"""),43857.66666666667)</f>
        <v>43857.66667</v>
      </c>
      <c r="B1098" s="13">
        <f>IFERROR(__xludf.DUMMYFUNCTION("""COMPUTED_VALUE"""),3243.63)</f>
        <v>3243.63</v>
      </c>
      <c r="C1098" s="13">
        <f t="shared" si="1"/>
        <v>3254.49</v>
      </c>
      <c r="D1098" s="13">
        <f t="shared" si="2"/>
        <v>3194.77</v>
      </c>
      <c r="E1098" s="13" t="str">
        <f t="shared" si="3"/>
        <v>LONG</v>
      </c>
      <c r="F1098" s="3">
        <f t="shared" si="4"/>
        <v>-0.01573068485</v>
      </c>
      <c r="G1098" s="4">
        <f t="shared" si="5"/>
        <v>1.559917475</v>
      </c>
      <c r="H1098" s="3">
        <f t="shared" si="6"/>
        <v>-0.01573068485</v>
      </c>
      <c r="I1098" s="5">
        <f t="shared" si="7"/>
        <v>1.213196327</v>
      </c>
    </row>
    <row r="1099">
      <c r="A1099" s="12">
        <f>IFERROR(__xludf.DUMMYFUNCTION("""COMPUTED_VALUE"""),43858.66666666667)</f>
        <v>43858.66667</v>
      </c>
      <c r="B1099" s="13">
        <f>IFERROR(__xludf.DUMMYFUNCTION("""COMPUTED_VALUE"""),3276.24)</f>
        <v>3276.24</v>
      </c>
      <c r="C1099" s="13">
        <f t="shared" si="1"/>
        <v>3282.185</v>
      </c>
      <c r="D1099" s="13">
        <f t="shared" si="2"/>
        <v>3206.1</v>
      </c>
      <c r="E1099" s="13" t="str">
        <f t="shared" si="3"/>
        <v>LONG</v>
      </c>
      <c r="F1099" s="3">
        <f t="shared" si="4"/>
        <v>0.01005355111</v>
      </c>
      <c r="G1099" s="4">
        <f t="shared" si="5"/>
        <v>1.575600185</v>
      </c>
      <c r="H1099" s="3">
        <f t="shared" si="6"/>
        <v>0.01005355111</v>
      </c>
      <c r="I1099" s="5">
        <f t="shared" si="7"/>
        <v>1.225393258</v>
      </c>
    </row>
    <row r="1100">
      <c r="A1100" s="12">
        <f>IFERROR(__xludf.DUMMYFUNCTION("""COMPUTED_VALUE"""),43859.66666666667)</f>
        <v>43859.66667</v>
      </c>
      <c r="B1100" s="13">
        <f>IFERROR(__xludf.DUMMYFUNCTION("""COMPUTED_VALUE"""),3273.4)</f>
        <v>3273.4</v>
      </c>
      <c r="C1100" s="13">
        <f t="shared" si="1"/>
        <v>3278.275</v>
      </c>
      <c r="D1100" s="13">
        <f t="shared" si="2"/>
        <v>3202.96</v>
      </c>
      <c r="E1100" s="13" t="str">
        <f t="shared" si="3"/>
        <v>LONG</v>
      </c>
      <c r="F1100" s="3">
        <f t="shared" si="4"/>
        <v>-0.0008668473616</v>
      </c>
      <c r="G1100" s="4">
        <f t="shared" si="5"/>
        <v>1.57423438</v>
      </c>
      <c r="H1100" s="3">
        <f t="shared" si="6"/>
        <v>-0.0008668473616</v>
      </c>
      <c r="I1100" s="5">
        <f t="shared" si="7"/>
        <v>1.224331029</v>
      </c>
    </row>
    <row r="1101">
      <c r="A1101" s="12">
        <f>IFERROR(__xludf.DUMMYFUNCTION("""COMPUTED_VALUE"""),43860.66666666667)</f>
        <v>43860.66667</v>
      </c>
      <c r="B1101" s="13">
        <f>IFERROR(__xludf.DUMMYFUNCTION("""COMPUTED_VALUE"""),3283.66)</f>
        <v>3283.66</v>
      </c>
      <c r="C1101" s="13">
        <f t="shared" si="1"/>
        <v>3286.475</v>
      </c>
      <c r="D1101" s="13">
        <f t="shared" si="2"/>
        <v>3212.645</v>
      </c>
      <c r="E1101" s="13" t="str">
        <f t="shared" si="3"/>
        <v>LONG</v>
      </c>
      <c r="F1101" s="3">
        <f t="shared" si="4"/>
        <v>0.003134355716</v>
      </c>
      <c r="G1101" s="4">
        <f t="shared" si="5"/>
        <v>1.57916859</v>
      </c>
      <c r="H1101" s="3">
        <f t="shared" si="6"/>
        <v>0.003134355716</v>
      </c>
      <c r="I1101" s="5">
        <f t="shared" si="7"/>
        <v>1.228168518</v>
      </c>
    </row>
    <row r="1102">
      <c r="A1102" s="12">
        <f>IFERROR(__xludf.DUMMYFUNCTION("""COMPUTED_VALUE"""),43861.66666666667)</f>
        <v>43861.66667</v>
      </c>
      <c r="B1102" s="13">
        <f>IFERROR(__xludf.DUMMYFUNCTION("""COMPUTED_VALUE"""),3225.52)</f>
        <v>3225.52</v>
      </c>
      <c r="C1102" s="13">
        <f t="shared" si="1"/>
        <v>3271.165</v>
      </c>
      <c r="D1102" s="13">
        <f t="shared" si="2"/>
        <v>3197.045</v>
      </c>
      <c r="E1102" s="13" t="str">
        <f t="shared" si="3"/>
        <v>LONG</v>
      </c>
      <c r="F1102" s="3">
        <f t="shared" si="4"/>
        <v>-0.01770585262</v>
      </c>
      <c r="G1102" s="4">
        <f t="shared" si="5"/>
        <v>1.551208064</v>
      </c>
      <c r="H1102" s="3">
        <f t="shared" si="6"/>
        <v>-0.01770585262</v>
      </c>
      <c r="I1102" s="5">
        <f t="shared" si="7"/>
        <v>1.206422747</v>
      </c>
    </row>
    <row r="1103">
      <c r="A1103" s="12">
        <f>IFERROR(__xludf.DUMMYFUNCTION("""COMPUTED_VALUE"""),43864.66666666667)</f>
        <v>43864.66667</v>
      </c>
      <c r="B1103" s="13">
        <f>IFERROR(__xludf.DUMMYFUNCTION("""COMPUTED_VALUE"""),3248.92)</f>
        <v>3248.92</v>
      </c>
      <c r="C1103" s="13">
        <f t="shared" si="1"/>
        <v>3289.27</v>
      </c>
      <c r="D1103" s="13">
        <f t="shared" si="2"/>
        <v>3208.86</v>
      </c>
      <c r="E1103" s="13" t="str">
        <f t="shared" si="3"/>
        <v>LONG</v>
      </c>
      <c r="F1103" s="3">
        <f t="shared" si="4"/>
        <v>0.007254644212</v>
      </c>
      <c r="G1103" s="4">
        <f t="shared" si="5"/>
        <v>1.562461527</v>
      </c>
      <c r="H1103" s="3">
        <f t="shared" si="6"/>
        <v>0.007254644212</v>
      </c>
      <c r="I1103" s="5">
        <f t="shared" si="7"/>
        <v>1.215174915</v>
      </c>
    </row>
    <row r="1104">
      <c r="A1104" s="12">
        <f>IFERROR(__xludf.DUMMYFUNCTION("""COMPUTED_VALUE"""),43865.66666666667)</f>
        <v>43865.66667</v>
      </c>
      <c r="B1104" s="13">
        <f>IFERROR(__xludf.DUMMYFUNCTION("""COMPUTED_VALUE"""),3297.59)</f>
        <v>3297.59</v>
      </c>
      <c r="C1104" s="13">
        <f t="shared" si="1"/>
        <v>3309.19</v>
      </c>
      <c r="D1104" s="13">
        <f t="shared" si="2"/>
        <v>3244.52</v>
      </c>
      <c r="E1104" s="13" t="str">
        <f t="shared" si="3"/>
        <v>LONG</v>
      </c>
      <c r="F1104" s="3">
        <f t="shared" si="4"/>
        <v>0.01498036271</v>
      </c>
      <c r="G1104" s="4">
        <f t="shared" si="5"/>
        <v>1.585867767</v>
      </c>
      <c r="H1104" s="3">
        <f t="shared" si="6"/>
        <v>0.01498036271</v>
      </c>
      <c r="I1104" s="5">
        <f t="shared" si="7"/>
        <v>1.233378676</v>
      </c>
    </row>
    <row r="1105">
      <c r="A1105" s="12">
        <f>IFERROR(__xludf.DUMMYFUNCTION("""COMPUTED_VALUE"""),43866.66666666667)</f>
        <v>43866.66667</v>
      </c>
      <c r="B1105" s="13">
        <f>IFERROR(__xludf.DUMMYFUNCTION("""COMPUTED_VALUE"""),3334.69)</f>
        <v>3334.69</v>
      </c>
      <c r="C1105" s="13">
        <f t="shared" si="1"/>
        <v>3328.22</v>
      </c>
      <c r="D1105" s="13">
        <f t="shared" si="2"/>
        <v>3263.605</v>
      </c>
      <c r="E1105" s="13" t="str">
        <f t="shared" si="3"/>
        <v>LONG</v>
      </c>
      <c r="F1105" s="3">
        <f t="shared" si="4"/>
        <v>0.01125064062</v>
      </c>
      <c r="G1105" s="4">
        <f t="shared" si="5"/>
        <v>1.603709795</v>
      </c>
      <c r="H1105" s="3">
        <f t="shared" si="6"/>
        <v>0.01125064062</v>
      </c>
      <c r="I1105" s="5">
        <f t="shared" si="7"/>
        <v>1.247254976</v>
      </c>
    </row>
    <row r="1106">
      <c r="A1106" s="12">
        <f>IFERROR(__xludf.DUMMYFUNCTION("""COMPUTED_VALUE"""),43867.66666666667)</f>
        <v>43867.66667</v>
      </c>
      <c r="B1106" s="13">
        <f>IFERROR(__xludf.DUMMYFUNCTION("""COMPUTED_VALUE"""),3345.78)</f>
        <v>3345.78</v>
      </c>
      <c r="C1106" s="13">
        <f t="shared" si="1"/>
        <v>3335.66</v>
      </c>
      <c r="D1106" s="13">
        <f t="shared" si="2"/>
        <v>3268.46</v>
      </c>
      <c r="E1106" s="13" t="str">
        <f t="shared" si="3"/>
        <v>LONG</v>
      </c>
      <c r="F1106" s="3">
        <f t="shared" si="4"/>
        <v>0.003325646462</v>
      </c>
      <c r="G1106" s="4">
        <f t="shared" si="5"/>
        <v>1.609043167</v>
      </c>
      <c r="H1106" s="3">
        <f t="shared" si="6"/>
        <v>0.003325646462</v>
      </c>
      <c r="I1106" s="5">
        <f t="shared" si="7"/>
        <v>1.251402906</v>
      </c>
    </row>
    <row r="1107">
      <c r="A1107" s="12">
        <f>IFERROR(__xludf.DUMMYFUNCTION("""COMPUTED_VALUE"""),43868.66666666667)</f>
        <v>43868.66667</v>
      </c>
      <c r="B1107" s="13">
        <f>IFERROR(__xludf.DUMMYFUNCTION("""COMPUTED_VALUE"""),3327.71)</f>
        <v>3327.71</v>
      </c>
      <c r="C1107" s="13">
        <f t="shared" si="1"/>
        <v>3311.59</v>
      </c>
      <c r="D1107" s="13">
        <f t="shared" si="2"/>
        <v>3266.54</v>
      </c>
      <c r="E1107" s="13" t="str">
        <f t="shared" si="3"/>
        <v>LONG</v>
      </c>
      <c r="F1107" s="3">
        <f t="shared" si="4"/>
        <v>-0.005400833289</v>
      </c>
      <c r="G1107" s="4">
        <f t="shared" si="5"/>
        <v>1.600352993</v>
      </c>
      <c r="H1107" s="3">
        <f t="shared" si="6"/>
        <v>-0.005400833289</v>
      </c>
      <c r="I1107" s="5">
        <f t="shared" si="7"/>
        <v>1.244644287</v>
      </c>
    </row>
    <row r="1108">
      <c r="A1108" s="12">
        <f>IFERROR(__xludf.DUMMYFUNCTION("""COMPUTED_VALUE"""),43871.66666666667)</f>
        <v>43871.66667</v>
      </c>
      <c r="B1108" s="13">
        <f>IFERROR(__xludf.DUMMYFUNCTION("""COMPUTED_VALUE"""),3352.09)</f>
        <v>3352.09</v>
      </c>
      <c r="C1108" s="13">
        <f t="shared" si="1"/>
        <v>3297.86</v>
      </c>
      <c r="D1108" s="13">
        <f t="shared" si="2"/>
        <v>3286.655</v>
      </c>
      <c r="E1108" s="13" t="str">
        <f t="shared" si="3"/>
        <v>LONG</v>
      </c>
      <c r="F1108" s="3">
        <f t="shared" si="4"/>
        <v>0.007326359569</v>
      </c>
      <c r="G1108" s="4">
        <f t="shared" si="5"/>
        <v>1.612077755</v>
      </c>
      <c r="H1108" s="3">
        <f t="shared" si="6"/>
        <v>0.007326359569</v>
      </c>
      <c r="I1108" s="5">
        <f t="shared" si="7"/>
        <v>1.253762999</v>
      </c>
    </row>
    <row r="1109">
      <c r="A1109" s="12">
        <f>IFERROR(__xludf.DUMMYFUNCTION("""COMPUTED_VALUE"""),43872.66666666667)</f>
        <v>43872.66667</v>
      </c>
      <c r="B1109" s="13">
        <f>IFERROR(__xludf.DUMMYFUNCTION("""COMPUTED_VALUE"""),3357.75)</f>
        <v>3357.75</v>
      </c>
      <c r="C1109" s="13">
        <f t="shared" si="1"/>
        <v>3316.995</v>
      </c>
      <c r="D1109" s="13">
        <f t="shared" si="2"/>
        <v>3290.88</v>
      </c>
      <c r="E1109" s="13" t="str">
        <f t="shared" si="3"/>
        <v>LONG</v>
      </c>
      <c r="F1109" s="3">
        <f t="shared" si="4"/>
        <v>0.001688498817</v>
      </c>
      <c r="G1109" s="4">
        <f t="shared" si="5"/>
        <v>1.614799746</v>
      </c>
      <c r="H1109" s="3">
        <f t="shared" si="6"/>
        <v>0.001688498817</v>
      </c>
      <c r="I1109" s="5">
        <f t="shared" si="7"/>
        <v>1.255879976</v>
      </c>
    </row>
    <row r="1110">
      <c r="A1110" s="12">
        <f>IFERROR(__xludf.DUMMYFUNCTION("""COMPUTED_VALUE"""),43873.66666666667)</f>
        <v>43873.66667</v>
      </c>
      <c r="B1110" s="13">
        <f>IFERROR(__xludf.DUMMYFUNCTION("""COMPUTED_VALUE"""),3379.45)</f>
        <v>3379.45</v>
      </c>
      <c r="C1110" s="13">
        <f t="shared" si="1"/>
        <v>3326.425</v>
      </c>
      <c r="D1110" s="13">
        <f t="shared" si="2"/>
        <v>3309.68</v>
      </c>
      <c r="E1110" s="13" t="str">
        <f t="shared" si="3"/>
        <v>LONG</v>
      </c>
      <c r="F1110" s="3">
        <f t="shared" si="4"/>
        <v>0.006462661008</v>
      </c>
      <c r="G1110" s="4">
        <f t="shared" si="5"/>
        <v>1.625235649</v>
      </c>
      <c r="H1110" s="3">
        <f t="shared" si="6"/>
        <v>0.006462661008</v>
      </c>
      <c r="I1110" s="5">
        <f t="shared" si="7"/>
        <v>1.263996303</v>
      </c>
    </row>
    <row r="1111">
      <c r="A1111" s="12">
        <f>IFERROR(__xludf.DUMMYFUNCTION("""COMPUTED_VALUE"""),43874.66666666667)</f>
        <v>43874.66667</v>
      </c>
      <c r="B1111" s="13">
        <f>IFERROR(__xludf.DUMMYFUNCTION("""COMPUTED_VALUE"""),3373.94)</f>
        <v>3373.94</v>
      </c>
      <c r="C1111" s="13">
        <f t="shared" si="1"/>
        <v>3328.8</v>
      </c>
      <c r="D1111" s="13">
        <f t="shared" si="2"/>
        <v>3306.98</v>
      </c>
      <c r="E1111" s="13" t="str">
        <f t="shared" si="3"/>
        <v>LONG</v>
      </c>
      <c r="F1111" s="3">
        <f t="shared" si="4"/>
        <v>-0.001630442824</v>
      </c>
      <c r="G1111" s="4">
        <f t="shared" si="5"/>
        <v>1.622585796</v>
      </c>
      <c r="H1111" s="3">
        <f t="shared" si="6"/>
        <v>-0.001630442824</v>
      </c>
      <c r="I1111" s="5">
        <f t="shared" si="7"/>
        <v>1.261935429</v>
      </c>
    </row>
    <row r="1112">
      <c r="A1112" s="12">
        <f>IFERROR(__xludf.DUMMYFUNCTION("""COMPUTED_VALUE"""),43875.66666666667)</f>
        <v>43875.66667</v>
      </c>
      <c r="B1112" s="13">
        <f>IFERROR(__xludf.DUMMYFUNCTION("""COMPUTED_VALUE"""),3380.16)</f>
        <v>3380.16</v>
      </c>
      <c r="C1112" s="13">
        <f t="shared" si="1"/>
        <v>3302.84</v>
      </c>
      <c r="D1112" s="13">
        <f t="shared" si="2"/>
        <v>3300.725</v>
      </c>
      <c r="E1112" s="13" t="str">
        <f t="shared" si="3"/>
        <v>LONG</v>
      </c>
      <c r="F1112" s="3">
        <f t="shared" si="4"/>
        <v>0.001843541972</v>
      </c>
      <c r="G1112" s="4">
        <f t="shared" si="5"/>
        <v>1.625577101</v>
      </c>
      <c r="H1112" s="3">
        <f t="shared" si="6"/>
        <v>0.001843541972</v>
      </c>
      <c r="I1112" s="5">
        <f t="shared" si="7"/>
        <v>1.26426186</v>
      </c>
    </row>
    <row r="1113">
      <c r="A1113" s="12">
        <f>IFERROR(__xludf.DUMMYFUNCTION("""COMPUTED_VALUE"""),43879.66666666667)</f>
        <v>43879.66667</v>
      </c>
      <c r="B1113" s="13">
        <f>IFERROR(__xludf.DUMMYFUNCTION("""COMPUTED_VALUE"""),3370.29)</f>
        <v>3370.29</v>
      </c>
      <c r="C1113" s="13">
        <f t="shared" si="1"/>
        <v>3309.605</v>
      </c>
      <c r="D1113" s="13">
        <f t="shared" si="2"/>
        <v>3314.07</v>
      </c>
      <c r="E1113" s="13" t="str">
        <f t="shared" si="3"/>
        <v/>
      </c>
      <c r="F1113" s="3">
        <f t="shared" si="4"/>
        <v>-0.002919980119</v>
      </c>
      <c r="G1113" s="4">
        <f t="shared" si="5"/>
        <v>1.620830448</v>
      </c>
      <c r="H1113" s="5">
        <f t="shared" si="6"/>
        <v>0</v>
      </c>
      <c r="I1113" s="5">
        <f t="shared" si="7"/>
        <v>1.26426186</v>
      </c>
    </row>
    <row r="1114">
      <c r="A1114" s="12">
        <f>IFERROR(__xludf.DUMMYFUNCTION("""COMPUTED_VALUE"""),43880.66666666667)</f>
        <v>43880.66667</v>
      </c>
      <c r="B1114" s="13">
        <f>IFERROR(__xludf.DUMMYFUNCTION("""COMPUTED_VALUE"""),3386.15)</f>
        <v>3386.15</v>
      </c>
      <c r="C1114" s="13">
        <f t="shared" si="1"/>
        <v>3341.87</v>
      </c>
      <c r="D1114" s="13">
        <f t="shared" si="2"/>
        <v>3310.5</v>
      </c>
      <c r="E1114" s="13" t="str">
        <f t="shared" si="3"/>
        <v>LONG</v>
      </c>
      <c r="F1114" s="3">
        <f t="shared" si="4"/>
        <v>0.004705826502</v>
      </c>
      <c r="G1114" s="4">
        <f t="shared" si="5"/>
        <v>1.628457795</v>
      </c>
      <c r="H1114" s="3">
        <f t="shared" si="6"/>
        <v>0.004705826502</v>
      </c>
      <c r="I1114" s="5">
        <f t="shared" si="7"/>
        <v>1.270211257</v>
      </c>
    </row>
    <row r="1115">
      <c r="A1115" s="12">
        <f>IFERROR(__xludf.DUMMYFUNCTION("""COMPUTED_VALUE"""),43881.66666666667)</f>
        <v>43881.66667</v>
      </c>
      <c r="B1115" s="13">
        <f>IFERROR(__xludf.DUMMYFUNCTION("""COMPUTED_VALUE"""),3373.23)</f>
        <v>3373.23</v>
      </c>
      <c r="C1115" s="13">
        <f t="shared" si="1"/>
        <v>3353.96</v>
      </c>
      <c r="D1115" s="13">
        <f t="shared" si="2"/>
        <v>3309.755</v>
      </c>
      <c r="E1115" s="13" t="str">
        <f t="shared" si="3"/>
        <v>LONG</v>
      </c>
      <c r="F1115" s="3">
        <f t="shared" si="4"/>
        <v>-0.003815542726</v>
      </c>
      <c r="G1115" s="4">
        <f t="shared" si="5"/>
        <v>1.622244344</v>
      </c>
      <c r="H1115" s="3">
        <f t="shared" si="6"/>
        <v>-0.003815542726</v>
      </c>
      <c r="I1115" s="5">
        <f t="shared" si="7"/>
        <v>1.265364711</v>
      </c>
    </row>
    <row r="1116">
      <c r="A1116" s="12">
        <f>IFERROR(__xludf.DUMMYFUNCTION("""COMPUTED_VALUE"""),43882.66666666667)</f>
        <v>43882.66667</v>
      </c>
      <c r="B1116" s="13">
        <f>IFERROR(__xludf.DUMMYFUNCTION("""COMPUTED_VALUE"""),3337.75)</f>
        <v>3337.75</v>
      </c>
      <c r="C1116" s="13">
        <f t="shared" si="1"/>
        <v>3341.765</v>
      </c>
      <c r="D1116" s="13">
        <f t="shared" si="2"/>
        <v>3287.465</v>
      </c>
      <c r="E1116" s="13" t="str">
        <f t="shared" si="3"/>
        <v>LONG</v>
      </c>
      <c r="F1116" s="3">
        <f t="shared" si="4"/>
        <v>-0.01051810876</v>
      </c>
      <c r="G1116" s="4">
        <f t="shared" si="5"/>
        <v>1.605181402</v>
      </c>
      <c r="H1116" s="3">
        <f t="shared" si="6"/>
        <v>-0.01051810876</v>
      </c>
      <c r="I1116" s="5">
        <f t="shared" si="7"/>
        <v>1.252055468</v>
      </c>
    </row>
    <row r="1117">
      <c r="A1117" s="12">
        <f>IFERROR(__xludf.DUMMYFUNCTION("""COMPUTED_VALUE"""),43885.66666666667)</f>
        <v>43885.66667</v>
      </c>
      <c r="B1117" s="13">
        <f>IFERROR(__xludf.DUMMYFUNCTION("""COMPUTED_VALUE"""),3225.89)</f>
        <v>3225.89</v>
      </c>
      <c r="C1117" s="13">
        <f t="shared" si="1"/>
        <v>3276.8</v>
      </c>
      <c r="D1117" s="13">
        <f t="shared" si="2"/>
        <v>3239.47</v>
      </c>
      <c r="E1117" s="13" t="str">
        <f t="shared" si="3"/>
        <v>LONG</v>
      </c>
      <c r="F1117" s="3">
        <f t="shared" si="4"/>
        <v>-0.03351359449</v>
      </c>
      <c r="G1117" s="4">
        <f t="shared" si="5"/>
        <v>1.551386003</v>
      </c>
      <c r="H1117" s="3">
        <f t="shared" si="6"/>
        <v>-0.03351359449</v>
      </c>
      <c r="I1117" s="5">
        <f t="shared" si="7"/>
        <v>1.210094589</v>
      </c>
    </row>
    <row r="1118">
      <c r="A1118" s="12">
        <f>IFERROR(__xludf.DUMMYFUNCTION("""COMPUTED_VALUE"""),43886.66666666667)</f>
        <v>43886.66667</v>
      </c>
      <c r="B1118" s="13">
        <f>IFERROR(__xludf.DUMMYFUNCTION("""COMPUTED_VALUE"""),3128.21)</f>
        <v>3128.21</v>
      </c>
      <c r="C1118" s="13">
        <f t="shared" si="1"/>
        <v>3240.15</v>
      </c>
      <c r="D1118" s="13">
        <f t="shared" si="2"/>
        <v>3201.455</v>
      </c>
      <c r="E1118" s="13" t="str">
        <f t="shared" si="3"/>
        <v>LONG</v>
      </c>
      <c r="F1118" s="3">
        <f t="shared" si="4"/>
        <v>-0.03028001575</v>
      </c>
      <c r="G1118" s="4">
        <f t="shared" si="5"/>
        <v>1.504410011</v>
      </c>
      <c r="H1118" s="3">
        <f t="shared" si="6"/>
        <v>-0.03028001575</v>
      </c>
      <c r="I1118" s="5">
        <f t="shared" si="7"/>
        <v>1.173452905</v>
      </c>
    </row>
    <row r="1119">
      <c r="A1119" s="12">
        <f>IFERROR(__xludf.DUMMYFUNCTION("""COMPUTED_VALUE"""),43887.66666666667)</f>
        <v>43887.66667</v>
      </c>
      <c r="B1119" s="13">
        <f>IFERROR(__xludf.DUMMYFUNCTION("""COMPUTED_VALUE"""),3116.39)</f>
        <v>3116.39</v>
      </c>
      <c r="C1119" s="13">
        <f t="shared" si="1"/>
        <v>3237.07</v>
      </c>
      <c r="D1119" s="13">
        <f t="shared" si="2"/>
        <v>3190.87</v>
      </c>
      <c r="E1119" s="13" t="str">
        <f t="shared" si="3"/>
        <v>LONG</v>
      </c>
      <c r="F1119" s="3">
        <f t="shared" si="4"/>
        <v>-0.003778518706</v>
      </c>
      <c r="G1119" s="4">
        <f t="shared" si="5"/>
        <v>1.498725569</v>
      </c>
      <c r="H1119" s="3">
        <f t="shared" si="6"/>
        <v>-0.003778518706</v>
      </c>
      <c r="I1119" s="5">
        <f t="shared" si="7"/>
        <v>1.169018992</v>
      </c>
    </row>
    <row r="1120">
      <c r="A1120" s="12">
        <f>IFERROR(__xludf.DUMMYFUNCTION("""COMPUTED_VALUE"""),43888.66666666667)</f>
        <v>43888.66667</v>
      </c>
      <c r="B1120" s="13">
        <f>IFERROR(__xludf.DUMMYFUNCTION("""COMPUTED_VALUE"""),2978.76)</f>
        <v>2978.76</v>
      </c>
      <c r="C1120" s="13">
        <f t="shared" si="1"/>
        <v>3179.105</v>
      </c>
      <c r="D1120" s="13">
        <f t="shared" si="2"/>
        <v>3133.445</v>
      </c>
      <c r="E1120" s="13" t="str">
        <f t="shared" si="3"/>
        <v>LONG</v>
      </c>
      <c r="F1120" s="3">
        <f t="shared" si="4"/>
        <v>-0.04416327867</v>
      </c>
      <c r="G1120" s="4">
        <f t="shared" si="5"/>
        <v>1.432536934</v>
      </c>
      <c r="H1120" s="3">
        <f t="shared" si="6"/>
        <v>-0.04416327867</v>
      </c>
      <c r="I1120" s="5">
        <f t="shared" si="7"/>
        <v>1.11739128</v>
      </c>
    </row>
    <row r="1121">
      <c r="A1121" s="12">
        <f>IFERROR(__xludf.DUMMYFUNCTION("""COMPUTED_VALUE"""),43889.66666666667)</f>
        <v>43889.66667</v>
      </c>
      <c r="B1121" s="13">
        <f>IFERROR(__xludf.DUMMYFUNCTION("""COMPUTED_VALUE"""),2954.22)</f>
        <v>2954.22</v>
      </c>
      <c r="C1121" s="13">
        <f t="shared" si="1"/>
        <v>3164.08</v>
      </c>
      <c r="D1121" s="13">
        <f t="shared" si="2"/>
        <v>3118.685</v>
      </c>
      <c r="E1121" s="13" t="str">
        <f t="shared" si="3"/>
        <v>LONG</v>
      </c>
      <c r="F1121" s="3">
        <f t="shared" si="4"/>
        <v>-0.008238327358</v>
      </c>
      <c r="G1121" s="4">
        <f t="shared" si="5"/>
        <v>1.420735226</v>
      </c>
      <c r="H1121" s="3">
        <f t="shared" si="6"/>
        <v>-0.008238327358</v>
      </c>
      <c r="I1121" s="5">
        <f t="shared" si="7"/>
        <v>1.108185845</v>
      </c>
    </row>
    <row r="1122">
      <c r="A1122" s="12">
        <f>IFERROR(__xludf.DUMMYFUNCTION("""COMPUTED_VALUE"""),43892.66666666667)</f>
        <v>43892.66667</v>
      </c>
      <c r="B1122" s="13">
        <f>IFERROR(__xludf.DUMMYFUNCTION("""COMPUTED_VALUE"""),3090.23)</f>
        <v>3090.23</v>
      </c>
      <c r="C1122" s="13">
        <f t="shared" si="1"/>
        <v>3235.195</v>
      </c>
      <c r="D1122" s="13">
        <f t="shared" si="2"/>
        <v>3189.76</v>
      </c>
      <c r="E1122" s="13" t="str">
        <f t="shared" si="3"/>
        <v>LONG</v>
      </c>
      <c r="F1122" s="3">
        <f t="shared" si="4"/>
        <v>0.04603922524</v>
      </c>
      <c r="G1122" s="4">
        <f t="shared" si="5"/>
        <v>1.486144775</v>
      </c>
      <c r="H1122" s="3">
        <f t="shared" si="6"/>
        <v>0.04603922524</v>
      </c>
      <c r="I1122" s="5">
        <f t="shared" si="7"/>
        <v>1.159205863</v>
      </c>
    </row>
    <row r="1123">
      <c r="A1123" s="12">
        <f>IFERROR(__xludf.DUMMYFUNCTION("""COMPUTED_VALUE"""),43893.66666666667)</f>
        <v>43893.66667</v>
      </c>
      <c r="B1123" s="13">
        <f>IFERROR(__xludf.DUMMYFUNCTION("""COMPUTED_VALUE"""),3003.37)</f>
        <v>3003.37</v>
      </c>
      <c r="C1123" s="13">
        <f t="shared" si="1"/>
        <v>3186.83</v>
      </c>
      <c r="D1123" s="13">
        <f t="shared" si="2"/>
        <v>3160.09</v>
      </c>
      <c r="E1123" s="13" t="str">
        <f t="shared" si="3"/>
        <v>LONG</v>
      </c>
      <c r="F1123" s="3">
        <f t="shared" si="4"/>
        <v>-0.02810794019</v>
      </c>
      <c r="G1123" s="4">
        <f t="shared" si="5"/>
        <v>1.444372307</v>
      </c>
      <c r="H1123" s="3">
        <f t="shared" si="6"/>
        <v>-0.02810794019</v>
      </c>
      <c r="I1123" s="5">
        <f t="shared" si="7"/>
        <v>1.126622974</v>
      </c>
    </row>
    <row r="1124">
      <c r="A1124" s="12">
        <f>IFERROR(__xludf.DUMMYFUNCTION("""COMPUTED_VALUE"""),43894.66666666667)</f>
        <v>43894.66667</v>
      </c>
      <c r="B1124" s="13">
        <f>IFERROR(__xludf.DUMMYFUNCTION("""COMPUTED_VALUE"""),3130.12)</f>
        <v>3130.12</v>
      </c>
      <c r="C1124" s="13">
        <f t="shared" si="1"/>
        <v>3258.135</v>
      </c>
      <c r="D1124" s="13">
        <f t="shared" si="2"/>
        <v>3229.87</v>
      </c>
      <c r="E1124" s="13" t="str">
        <f t="shared" si="3"/>
        <v>LONG</v>
      </c>
      <c r="F1124" s="3">
        <f t="shared" si="4"/>
        <v>0.04220259242</v>
      </c>
      <c r="G1124" s="4">
        <f t="shared" si="5"/>
        <v>1.505328563</v>
      </c>
      <c r="H1124" s="3">
        <f t="shared" si="6"/>
        <v>0.04220259242</v>
      </c>
      <c r="I1124" s="5">
        <f t="shared" si="7"/>
        <v>1.174169384</v>
      </c>
    </row>
    <row r="1125">
      <c r="A1125" s="12">
        <f>IFERROR(__xludf.DUMMYFUNCTION("""COMPUTED_VALUE"""),43895.66666666667)</f>
        <v>43895.66667</v>
      </c>
      <c r="B1125" s="13">
        <f>IFERROR(__xludf.DUMMYFUNCTION("""COMPUTED_VALUE"""),3023.94)</f>
        <v>3023.94</v>
      </c>
      <c r="C1125" s="13">
        <f t="shared" si="1"/>
        <v>3198.585</v>
      </c>
      <c r="D1125" s="13">
        <f t="shared" si="2"/>
        <v>3172.365</v>
      </c>
      <c r="E1125" s="13" t="str">
        <f t="shared" si="3"/>
        <v>LONG</v>
      </c>
      <c r="F1125" s="3">
        <f t="shared" si="4"/>
        <v>-0.03392202216</v>
      </c>
      <c r="G1125" s="4">
        <f t="shared" si="5"/>
        <v>1.454264774</v>
      </c>
      <c r="H1125" s="3">
        <f t="shared" si="6"/>
        <v>-0.03392202216</v>
      </c>
      <c r="I1125" s="5">
        <f t="shared" si="7"/>
        <v>1.134339184</v>
      </c>
    </row>
    <row r="1126">
      <c r="A1126" s="12">
        <f>IFERROR(__xludf.DUMMYFUNCTION("""COMPUTED_VALUE"""),43896.66666666667)</f>
        <v>43896.66667</v>
      </c>
      <c r="B1126" s="13">
        <f>IFERROR(__xludf.DUMMYFUNCTION("""COMPUTED_VALUE"""),2972.37)</f>
        <v>2972.37</v>
      </c>
      <c r="C1126" s="13">
        <f t="shared" si="1"/>
        <v>3155.06</v>
      </c>
      <c r="D1126" s="13">
        <f t="shared" si="2"/>
        <v>3147.06</v>
      </c>
      <c r="E1126" s="13" t="str">
        <f t="shared" si="3"/>
        <v>LONG</v>
      </c>
      <c r="F1126" s="3">
        <f t="shared" si="4"/>
        <v>-0.0170539098</v>
      </c>
      <c r="G1126" s="4">
        <f t="shared" si="5"/>
        <v>1.429463873</v>
      </c>
      <c r="H1126" s="3">
        <f t="shared" si="6"/>
        <v>-0.0170539098</v>
      </c>
      <c r="I1126" s="5">
        <f t="shared" si="7"/>
        <v>1.114994266</v>
      </c>
    </row>
    <row r="1127">
      <c r="A1127" s="12">
        <f>IFERROR(__xludf.DUMMYFUNCTION("""COMPUTED_VALUE"""),43899.66666666667)</f>
        <v>43899.66667</v>
      </c>
      <c r="B1127" s="13">
        <f>IFERROR(__xludf.DUMMYFUNCTION("""COMPUTED_VALUE"""),2746.56)</f>
        <v>2746.56</v>
      </c>
      <c r="C1127" s="13">
        <f t="shared" si="1"/>
        <v>2986.225</v>
      </c>
      <c r="D1127" s="13">
        <f t="shared" si="2"/>
        <v>3036.05</v>
      </c>
      <c r="E1127" s="13" t="str">
        <f t="shared" si="3"/>
        <v/>
      </c>
      <c r="F1127" s="3">
        <f t="shared" si="4"/>
        <v>-0.07596968076</v>
      </c>
      <c r="G1127" s="4">
        <f t="shared" si="5"/>
        <v>1.320867959</v>
      </c>
      <c r="H1127" s="5">
        <f t="shared" si="6"/>
        <v>0</v>
      </c>
      <c r="I1127" s="5">
        <f t="shared" si="7"/>
        <v>1.114994266</v>
      </c>
    </row>
    <row r="1128">
      <c r="A1128" s="12">
        <f>IFERROR(__xludf.DUMMYFUNCTION("""COMPUTED_VALUE"""),43900.66666666667)</f>
        <v>43900.66667</v>
      </c>
      <c r="B1128" s="13">
        <f>IFERROR(__xludf.DUMMYFUNCTION("""COMPUTED_VALUE"""),2882.23)</f>
        <v>2882.23</v>
      </c>
      <c r="C1128" s="13">
        <f t="shared" si="1"/>
        <v>3005.22</v>
      </c>
      <c r="D1128" s="13">
        <f t="shared" si="2"/>
        <v>3088.85</v>
      </c>
      <c r="E1128" s="13" t="str">
        <f t="shared" si="3"/>
        <v/>
      </c>
      <c r="F1128" s="3">
        <f t="shared" si="4"/>
        <v>0.04939633578</v>
      </c>
      <c r="G1128" s="4">
        <f t="shared" si="5"/>
        <v>1.386113997</v>
      </c>
      <c r="H1128" s="5">
        <f t="shared" si="6"/>
        <v>0</v>
      </c>
      <c r="I1128" s="5">
        <f t="shared" si="7"/>
        <v>1.114994266</v>
      </c>
    </row>
    <row r="1129">
      <c r="A1129" s="12">
        <f>IFERROR(__xludf.DUMMYFUNCTION("""COMPUTED_VALUE"""),43901.66666666667)</f>
        <v>43901.66667</v>
      </c>
      <c r="B1129" s="13">
        <f>IFERROR(__xludf.DUMMYFUNCTION("""COMPUTED_VALUE"""),2741.38)</f>
        <v>2741.38</v>
      </c>
      <c r="C1129" s="13">
        <f t="shared" si="1"/>
        <v>2928.885</v>
      </c>
      <c r="D1129" s="13">
        <f t="shared" si="2"/>
        <v>2992.505</v>
      </c>
      <c r="E1129" s="13" t="str">
        <f t="shared" si="3"/>
        <v/>
      </c>
      <c r="F1129" s="3">
        <f t="shared" si="4"/>
        <v>-0.04886841092</v>
      </c>
      <c r="G1129" s="4">
        <f t="shared" si="5"/>
        <v>1.318376808</v>
      </c>
      <c r="H1129" s="5">
        <f t="shared" si="6"/>
        <v>0</v>
      </c>
      <c r="I1129" s="5">
        <f t="shared" si="7"/>
        <v>1.114994266</v>
      </c>
    </row>
    <row r="1130">
      <c r="A1130" s="12">
        <f>IFERROR(__xludf.DUMMYFUNCTION("""COMPUTED_VALUE"""),43902.66666666667)</f>
        <v>43902.66667</v>
      </c>
      <c r="B1130" s="13">
        <f>IFERROR(__xludf.DUMMYFUNCTION("""COMPUTED_VALUE"""),2480.64)</f>
        <v>2480.64</v>
      </c>
      <c r="C1130" s="13">
        <f t="shared" si="1"/>
        <v>2729.7</v>
      </c>
      <c r="D1130" s="13">
        <f t="shared" si="2"/>
        <v>2878.44</v>
      </c>
      <c r="E1130" s="13" t="str">
        <f t="shared" si="3"/>
        <v/>
      </c>
      <c r="F1130" s="3">
        <f t="shared" si="4"/>
        <v>-0.09511268047</v>
      </c>
      <c r="G1130" s="4">
        <f t="shared" si="5"/>
        <v>1.192982456</v>
      </c>
      <c r="H1130" s="5">
        <f t="shared" si="6"/>
        <v>0</v>
      </c>
      <c r="I1130" s="5">
        <f t="shared" si="7"/>
        <v>1.114994266</v>
      </c>
    </row>
    <row r="1131">
      <c r="A1131" s="12">
        <f>IFERROR(__xludf.DUMMYFUNCTION("""COMPUTED_VALUE"""),43903.66666666667)</f>
        <v>43903.66667</v>
      </c>
      <c r="B1131" s="13">
        <f>IFERROR(__xludf.DUMMYFUNCTION("""COMPUTED_VALUE"""),2711.02)</f>
        <v>2711.02</v>
      </c>
      <c r="C1131" s="13">
        <f t="shared" si="1"/>
        <v>2832.62</v>
      </c>
      <c r="D1131" s="13">
        <f t="shared" si="2"/>
        <v>2992.21</v>
      </c>
      <c r="E1131" s="13" t="str">
        <f t="shared" si="3"/>
        <v/>
      </c>
      <c r="F1131" s="3">
        <f t="shared" si="4"/>
        <v>0.09287119453</v>
      </c>
      <c r="G1131" s="4">
        <f t="shared" si="5"/>
        <v>1.303776162</v>
      </c>
      <c r="H1131" s="5">
        <f t="shared" si="6"/>
        <v>0</v>
      </c>
      <c r="I1131" s="5">
        <f t="shared" si="7"/>
        <v>1.114994266</v>
      </c>
    </row>
    <row r="1132">
      <c r="A1132" s="12">
        <f>IFERROR(__xludf.DUMMYFUNCTION("""COMPUTED_VALUE"""),43906.66666666667)</f>
        <v>43906.66667</v>
      </c>
      <c r="B1132" s="13">
        <f>IFERROR(__xludf.DUMMYFUNCTION("""COMPUTED_VALUE"""),2386.13)</f>
        <v>2386.13</v>
      </c>
      <c r="C1132" s="13">
        <f t="shared" si="1"/>
        <v>2738.18</v>
      </c>
      <c r="D1132" s="13">
        <f t="shared" si="2"/>
        <v>2834.895</v>
      </c>
      <c r="E1132" s="13" t="str">
        <f t="shared" si="3"/>
        <v/>
      </c>
      <c r="F1132" s="3">
        <f t="shared" si="4"/>
        <v>-0.1198405028</v>
      </c>
      <c r="G1132" s="4">
        <f t="shared" si="5"/>
        <v>1.147530971</v>
      </c>
      <c r="H1132" s="5">
        <f t="shared" si="6"/>
        <v>0</v>
      </c>
      <c r="I1132" s="5">
        <f t="shared" si="7"/>
        <v>1.114994266</v>
      </c>
    </row>
    <row r="1133">
      <c r="A1133" s="12">
        <f>IFERROR(__xludf.DUMMYFUNCTION("""COMPUTED_VALUE"""),43907.66666666667)</f>
        <v>43907.66667</v>
      </c>
      <c r="B1133" s="13">
        <f>IFERROR(__xludf.DUMMYFUNCTION("""COMPUTED_VALUE"""),2529.19)</f>
        <v>2529.19</v>
      </c>
      <c r="C1133" s="13">
        <f t="shared" si="1"/>
        <v>2766.28</v>
      </c>
      <c r="D1133" s="13">
        <f t="shared" si="2"/>
        <v>2877.355</v>
      </c>
      <c r="E1133" s="13" t="str">
        <f t="shared" si="3"/>
        <v/>
      </c>
      <c r="F1133" s="3">
        <f t="shared" si="4"/>
        <v>0.05995482224</v>
      </c>
      <c r="G1133" s="4">
        <f t="shared" si="5"/>
        <v>1.216330986</v>
      </c>
      <c r="H1133" s="5">
        <f t="shared" si="6"/>
        <v>0</v>
      </c>
      <c r="I1133" s="5">
        <f t="shared" si="7"/>
        <v>1.114994266</v>
      </c>
    </row>
    <row r="1134">
      <c r="A1134" s="12">
        <f>IFERROR(__xludf.DUMMYFUNCTION("""COMPUTED_VALUE"""),43908.66666666667)</f>
        <v>43908.66667</v>
      </c>
      <c r="B1134" s="13">
        <f>IFERROR(__xludf.DUMMYFUNCTION("""COMPUTED_VALUE"""),2398.1)</f>
        <v>2398.1</v>
      </c>
      <c r="C1134" s="13">
        <f t="shared" si="1"/>
        <v>2764.11</v>
      </c>
      <c r="D1134" s="13">
        <f t="shared" si="2"/>
        <v>2823.51</v>
      </c>
      <c r="E1134" s="13" t="str">
        <f t="shared" si="3"/>
        <v/>
      </c>
      <c r="F1134" s="3">
        <f t="shared" si="4"/>
        <v>-0.05183082331</v>
      </c>
      <c r="G1134" s="4">
        <f t="shared" si="5"/>
        <v>1.15328755</v>
      </c>
      <c r="H1134" s="5">
        <f t="shared" si="6"/>
        <v>0</v>
      </c>
      <c r="I1134" s="5">
        <f t="shared" si="7"/>
        <v>1.114994266</v>
      </c>
    </row>
    <row r="1135">
      <c r="A1135" s="12">
        <f>IFERROR(__xludf.DUMMYFUNCTION("""COMPUTED_VALUE"""),43909.66666666667)</f>
        <v>43909.66667</v>
      </c>
      <c r="B1135" s="13">
        <f>IFERROR(__xludf.DUMMYFUNCTION("""COMPUTED_VALUE"""),2409.39)</f>
        <v>2409.39</v>
      </c>
      <c r="C1135" s="13">
        <f t="shared" si="1"/>
        <v>2716.665</v>
      </c>
      <c r="D1135" s="13">
        <f t="shared" si="2"/>
        <v>2853.49</v>
      </c>
      <c r="E1135" s="13" t="str">
        <f t="shared" si="3"/>
        <v/>
      </c>
      <c r="F1135" s="3">
        <f t="shared" si="4"/>
        <v>0.004707893749</v>
      </c>
      <c r="G1135" s="4">
        <f t="shared" si="5"/>
        <v>1.158717105</v>
      </c>
      <c r="H1135" s="5">
        <f t="shared" si="6"/>
        <v>0</v>
      </c>
      <c r="I1135" s="5">
        <f t="shared" si="7"/>
        <v>1.114994266</v>
      </c>
    </row>
    <row r="1136">
      <c r="A1136" s="12">
        <f>IFERROR(__xludf.DUMMYFUNCTION("""COMPUTED_VALUE"""),43910.66666666667)</f>
        <v>43910.66667</v>
      </c>
      <c r="B1136" s="13">
        <f>IFERROR(__xludf.DUMMYFUNCTION("""COMPUTED_VALUE"""),2304.92)</f>
        <v>2304.92</v>
      </c>
      <c r="C1136" s="13">
        <f t="shared" si="1"/>
        <v>2638.645</v>
      </c>
      <c r="D1136" s="13">
        <f t="shared" si="2"/>
        <v>2819.805</v>
      </c>
      <c r="E1136" s="13" t="str">
        <f t="shared" si="3"/>
        <v/>
      </c>
      <c r="F1136" s="3">
        <f t="shared" si="4"/>
        <v>-0.04335952253</v>
      </c>
      <c r="G1136" s="4">
        <f t="shared" si="5"/>
        <v>1.108475685</v>
      </c>
      <c r="H1136" s="5">
        <f t="shared" si="6"/>
        <v>0</v>
      </c>
      <c r="I1136" s="5">
        <f t="shared" si="7"/>
        <v>1.114994266</v>
      </c>
    </row>
    <row r="1137">
      <c r="A1137" s="12">
        <f>IFERROR(__xludf.DUMMYFUNCTION("""COMPUTED_VALUE"""),43913.66666666667)</f>
        <v>43913.66667</v>
      </c>
      <c r="B1137" s="13">
        <f>IFERROR(__xludf.DUMMYFUNCTION("""COMPUTED_VALUE"""),2237.4)</f>
        <v>2237.4</v>
      </c>
      <c r="C1137" s="13">
        <f t="shared" si="1"/>
        <v>2491.98</v>
      </c>
      <c r="D1137" s="13">
        <f t="shared" si="2"/>
        <v>2791.59</v>
      </c>
      <c r="E1137" s="13" t="str">
        <f t="shared" si="3"/>
        <v/>
      </c>
      <c r="F1137" s="3">
        <f t="shared" si="4"/>
        <v>-0.02929385836</v>
      </c>
      <c r="G1137" s="4">
        <f t="shared" si="5"/>
        <v>1.076004155</v>
      </c>
      <c r="H1137" s="5">
        <f t="shared" si="6"/>
        <v>0</v>
      </c>
      <c r="I1137" s="5">
        <f t="shared" si="7"/>
        <v>1.114994266</v>
      </c>
    </row>
    <row r="1138">
      <c r="A1138" s="12">
        <f>IFERROR(__xludf.DUMMYFUNCTION("""COMPUTED_VALUE"""),43914.66666666667)</f>
        <v>43914.66667</v>
      </c>
      <c r="B1138" s="13">
        <f>IFERROR(__xludf.DUMMYFUNCTION("""COMPUTED_VALUE"""),2447.33)</f>
        <v>2447.33</v>
      </c>
      <c r="C1138" s="13">
        <f t="shared" si="1"/>
        <v>2664.78</v>
      </c>
      <c r="D1138" s="13">
        <f t="shared" si="2"/>
        <v>2887.52</v>
      </c>
      <c r="E1138" s="13" t="str">
        <f t="shared" si="3"/>
        <v/>
      </c>
      <c r="F1138" s="3">
        <f t="shared" si="4"/>
        <v>0.0938276571</v>
      </c>
      <c r="G1138" s="4">
        <f t="shared" si="5"/>
        <v>1.176963104</v>
      </c>
      <c r="H1138" s="5">
        <f t="shared" si="6"/>
        <v>0</v>
      </c>
      <c r="I1138" s="5">
        <f t="shared" si="7"/>
        <v>1.114994266</v>
      </c>
    </row>
    <row r="1139">
      <c r="A1139" s="12">
        <f>IFERROR(__xludf.DUMMYFUNCTION("""COMPUTED_VALUE"""),43915.66666666667)</f>
        <v>43915.66667</v>
      </c>
      <c r="B1139" s="13">
        <f>IFERROR(__xludf.DUMMYFUNCTION("""COMPUTED_VALUE"""),2475.56)</f>
        <v>2475.56</v>
      </c>
      <c r="C1139" s="13">
        <f t="shared" si="1"/>
        <v>2608.47</v>
      </c>
      <c r="D1139" s="13">
        <f t="shared" si="2"/>
        <v>2913.825</v>
      </c>
      <c r="E1139" s="13" t="str">
        <f t="shared" si="3"/>
        <v/>
      </c>
      <c r="F1139" s="3">
        <f t="shared" si="4"/>
        <v>0.0115350198</v>
      </c>
      <c r="G1139" s="4">
        <f t="shared" si="5"/>
        <v>1.190539397</v>
      </c>
      <c r="H1139" s="5">
        <f t="shared" si="6"/>
        <v>0</v>
      </c>
      <c r="I1139" s="5">
        <f t="shared" si="7"/>
        <v>1.114994266</v>
      </c>
    </row>
    <row r="1140">
      <c r="A1140" s="12">
        <f>IFERROR(__xludf.DUMMYFUNCTION("""COMPUTED_VALUE"""),43916.66666666667)</f>
        <v>43916.66667</v>
      </c>
      <c r="B1140" s="13">
        <f>IFERROR(__xludf.DUMMYFUNCTION("""COMPUTED_VALUE"""),2630.07)</f>
        <v>2630.07</v>
      </c>
      <c r="C1140" s="13">
        <f t="shared" si="1"/>
        <v>2555.355</v>
      </c>
      <c r="D1140" s="13">
        <f t="shared" si="2"/>
        <v>2993.91</v>
      </c>
      <c r="E1140" s="13" t="str">
        <f t="shared" si="3"/>
        <v/>
      </c>
      <c r="F1140" s="3">
        <f t="shared" si="4"/>
        <v>0.06241416084</v>
      </c>
      <c r="G1140" s="4">
        <f t="shared" si="5"/>
        <v>1.264845914</v>
      </c>
      <c r="H1140" s="5">
        <f t="shared" si="6"/>
        <v>0</v>
      </c>
      <c r="I1140" s="5">
        <f t="shared" si="7"/>
        <v>1.114994266</v>
      </c>
    </row>
    <row r="1141">
      <c r="A1141" s="12">
        <f>IFERROR(__xludf.DUMMYFUNCTION("""COMPUTED_VALUE"""),43917.66666666667)</f>
        <v>43917.66667</v>
      </c>
      <c r="B1141" s="13">
        <f>IFERROR(__xludf.DUMMYFUNCTION("""COMPUTED_VALUE"""),2541.47)</f>
        <v>2541.47</v>
      </c>
      <c r="C1141" s="13">
        <f t="shared" si="1"/>
        <v>2626.245</v>
      </c>
      <c r="D1141" s="13">
        <f t="shared" si="2"/>
        <v>2960.46</v>
      </c>
      <c r="E1141" s="13" t="str">
        <f t="shared" si="3"/>
        <v/>
      </c>
      <c r="F1141" s="3">
        <f t="shared" si="4"/>
        <v>-0.03368731631</v>
      </c>
      <c r="G1141" s="4">
        <f t="shared" si="5"/>
        <v>1.22223665</v>
      </c>
      <c r="H1141" s="5">
        <f t="shared" si="6"/>
        <v>0</v>
      </c>
      <c r="I1141" s="5">
        <f t="shared" si="7"/>
        <v>1.114994266</v>
      </c>
    </row>
    <row r="1142">
      <c r="A1142" s="12">
        <f>IFERROR(__xludf.DUMMYFUNCTION("""COMPUTED_VALUE"""),43920.66666666667)</f>
        <v>43920.66667</v>
      </c>
      <c r="B1142" s="13">
        <f>IFERROR(__xludf.DUMMYFUNCTION("""COMPUTED_VALUE"""),2626.65)</f>
        <v>2626.65</v>
      </c>
      <c r="C1142" s="13">
        <f t="shared" si="1"/>
        <v>2506.39</v>
      </c>
      <c r="D1142" s="13">
        <f t="shared" si="2"/>
        <v>3000.295</v>
      </c>
      <c r="E1142" s="13" t="str">
        <f t="shared" si="3"/>
        <v/>
      </c>
      <c r="F1142" s="3">
        <f t="shared" si="4"/>
        <v>0.03351603599</v>
      </c>
      <c r="G1142" s="4">
        <f t="shared" si="5"/>
        <v>1.263201177</v>
      </c>
      <c r="H1142" s="5">
        <f t="shared" si="6"/>
        <v>0</v>
      </c>
      <c r="I1142" s="5">
        <f t="shared" si="7"/>
        <v>1.114994266</v>
      </c>
    </row>
    <row r="1143">
      <c r="A1143" s="12">
        <f>IFERROR(__xludf.DUMMYFUNCTION("""COMPUTED_VALUE"""),43921.66666666667)</f>
        <v>43921.66667</v>
      </c>
      <c r="B1143" s="13">
        <f>IFERROR(__xludf.DUMMYFUNCTION("""COMPUTED_VALUE"""),2584.59)</f>
        <v>2584.59</v>
      </c>
      <c r="C1143" s="13">
        <f t="shared" si="1"/>
        <v>2556.89</v>
      </c>
      <c r="D1143" s="13">
        <f t="shared" si="2"/>
        <v>2982.375</v>
      </c>
      <c r="E1143" s="13" t="str">
        <f t="shared" si="3"/>
        <v/>
      </c>
      <c r="F1143" s="3">
        <f t="shared" si="4"/>
        <v>-0.01601279196</v>
      </c>
      <c r="G1143" s="4">
        <f t="shared" si="5"/>
        <v>1.2429738</v>
      </c>
      <c r="H1143" s="5">
        <f t="shared" si="6"/>
        <v>0</v>
      </c>
      <c r="I1143" s="5">
        <f t="shared" si="7"/>
        <v>1.114994266</v>
      </c>
    </row>
    <row r="1144">
      <c r="A1144" s="12">
        <f>IFERROR(__xludf.DUMMYFUNCTION("""COMPUTED_VALUE"""),43922.66666666667)</f>
        <v>43922.66667</v>
      </c>
      <c r="B1144" s="13">
        <f>IFERROR(__xludf.DUMMYFUNCTION("""COMPUTED_VALUE"""),2470.5)</f>
        <v>2470.5</v>
      </c>
      <c r="C1144" s="13">
        <f t="shared" si="1"/>
        <v>2434.3</v>
      </c>
      <c r="D1144" s="13">
        <f t="shared" si="2"/>
        <v>2920.395</v>
      </c>
      <c r="E1144" s="13" t="str">
        <f t="shared" si="3"/>
        <v/>
      </c>
      <c r="F1144" s="3">
        <f t="shared" si="4"/>
        <v>-0.04414239783</v>
      </c>
      <c r="G1144" s="4">
        <f t="shared" si="5"/>
        <v>1.188105956</v>
      </c>
      <c r="H1144" s="5">
        <f t="shared" si="6"/>
        <v>0</v>
      </c>
      <c r="I1144" s="5">
        <f t="shared" si="7"/>
        <v>1.114994266</v>
      </c>
    </row>
    <row r="1145">
      <c r="A1145" s="12">
        <f>IFERROR(__xludf.DUMMYFUNCTION("""COMPUTED_VALUE"""),43923.66666666667)</f>
        <v>43923.66667</v>
      </c>
      <c r="B1145" s="13">
        <f>IFERROR(__xludf.DUMMYFUNCTION("""COMPUTED_VALUE"""),2526.9)</f>
        <v>2526.9</v>
      </c>
      <c r="C1145" s="13">
        <f t="shared" si="1"/>
        <v>2468.145</v>
      </c>
      <c r="D1145" s="13">
        <f t="shared" si="2"/>
        <v>2956.525</v>
      </c>
      <c r="E1145" s="13" t="str">
        <f t="shared" si="3"/>
        <v/>
      </c>
      <c r="F1145" s="3">
        <f t="shared" si="4"/>
        <v>0.02282938676</v>
      </c>
      <c r="G1145" s="4">
        <f t="shared" si="5"/>
        <v>1.215229686</v>
      </c>
      <c r="H1145" s="5">
        <f t="shared" si="6"/>
        <v>0</v>
      </c>
      <c r="I1145" s="5">
        <f t="shared" si="7"/>
        <v>1.114994266</v>
      </c>
    </row>
    <row r="1146">
      <c r="A1146" s="12">
        <f>IFERROR(__xludf.DUMMYFUNCTION("""COMPUTED_VALUE"""),43924.66666666667)</f>
        <v>43924.66667</v>
      </c>
      <c r="B1146" s="13">
        <f>IFERROR(__xludf.DUMMYFUNCTION("""COMPUTED_VALUE"""),2488.65)</f>
        <v>2488.65</v>
      </c>
      <c r="C1146" s="13">
        <f t="shared" si="1"/>
        <v>2396.785</v>
      </c>
      <c r="D1146" s="13">
        <f t="shared" si="2"/>
        <v>2930.94</v>
      </c>
      <c r="E1146" s="13" t="str">
        <f t="shared" si="3"/>
        <v/>
      </c>
      <c r="F1146" s="3">
        <f t="shared" si="4"/>
        <v>-0.01513712454</v>
      </c>
      <c r="G1146" s="4">
        <f t="shared" si="5"/>
        <v>1.196834603</v>
      </c>
      <c r="H1146" s="5">
        <f t="shared" si="6"/>
        <v>0</v>
      </c>
      <c r="I1146" s="5">
        <f t="shared" si="7"/>
        <v>1.114994266</v>
      </c>
    </row>
    <row r="1147">
      <c r="A1147" s="12">
        <f>IFERROR(__xludf.DUMMYFUNCTION("""COMPUTED_VALUE"""),43927.66666666667)</f>
        <v>43927.66667</v>
      </c>
      <c r="B1147" s="13">
        <f>IFERROR(__xludf.DUMMYFUNCTION("""COMPUTED_VALUE"""),2663.68)</f>
        <v>2663.68</v>
      </c>
      <c r="C1147" s="13">
        <f t="shared" si="1"/>
        <v>2450.54</v>
      </c>
      <c r="D1147" s="13">
        <f t="shared" si="2"/>
        <v>3000.715</v>
      </c>
      <c r="E1147" s="13" t="str">
        <f t="shared" si="3"/>
        <v/>
      </c>
      <c r="F1147" s="3">
        <f t="shared" si="4"/>
        <v>0.07033130412</v>
      </c>
      <c r="G1147" s="4">
        <f t="shared" si="5"/>
        <v>1.281009541</v>
      </c>
      <c r="H1147" s="5">
        <f t="shared" si="6"/>
        <v>0</v>
      </c>
      <c r="I1147" s="5">
        <f t="shared" si="7"/>
        <v>1.114994266</v>
      </c>
    </row>
    <row r="1148">
      <c r="A1148" s="12">
        <f>IFERROR(__xludf.DUMMYFUNCTION("""COMPUTED_VALUE"""),43928.66666666667)</f>
        <v>43928.66667</v>
      </c>
      <c r="B1148" s="13">
        <f>IFERROR(__xludf.DUMMYFUNCTION("""COMPUTED_VALUE"""),2659.41)</f>
        <v>2659.41</v>
      </c>
      <c r="C1148" s="13">
        <f t="shared" si="1"/>
        <v>2553.37</v>
      </c>
      <c r="D1148" s="13">
        <f t="shared" si="2"/>
        <v>2942.65</v>
      </c>
      <c r="E1148" s="13" t="str">
        <f t="shared" si="3"/>
        <v/>
      </c>
      <c r="F1148" s="3">
        <f t="shared" si="4"/>
        <v>-0.001603045411</v>
      </c>
      <c r="G1148" s="4">
        <f t="shared" si="5"/>
        <v>1.278956025</v>
      </c>
      <c r="H1148" s="5">
        <f t="shared" si="6"/>
        <v>0</v>
      </c>
      <c r="I1148" s="5">
        <f t="shared" si="7"/>
        <v>1.114994266</v>
      </c>
    </row>
    <row r="1149">
      <c r="A1149" s="12">
        <f>IFERROR(__xludf.DUMMYFUNCTION("""COMPUTED_VALUE"""),43929.66666666667)</f>
        <v>43929.66667</v>
      </c>
      <c r="B1149" s="13">
        <f>IFERROR(__xludf.DUMMYFUNCTION("""COMPUTED_VALUE"""),2749.98)</f>
        <v>2749.98</v>
      </c>
      <c r="C1149" s="13">
        <f t="shared" si="1"/>
        <v>2612.77</v>
      </c>
      <c r="D1149" s="13">
        <f t="shared" si="2"/>
        <v>2939.095</v>
      </c>
      <c r="E1149" s="13" t="str">
        <f t="shared" si="3"/>
        <v/>
      </c>
      <c r="F1149" s="3">
        <f t="shared" si="4"/>
        <v>0.03405642605</v>
      </c>
      <c r="G1149" s="4">
        <f t="shared" si="5"/>
        <v>1.322512696</v>
      </c>
      <c r="H1149" s="5">
        <f t="shared" si="6"/>
        <v>0</v>
      </c>
      <c r="I1149" s="5">
        <f t="shared" si="7"/>
        <v>1.114994266</v>
      </c>
    </row>
    <row r="1150">
      <c r="A1150" s="12">
        <f>IFERROR(__xludf.DUMMYFUNCTION("""COMPUTED_VALUE"""),43930.66666666667)</f>
        <v>43930.66667</v>
      </c>
      <c r="B1150" s="13">
        <f>IFERROR(__xludf.DUMMYFUNCTION("""COMPUTED_VALUE"""),2789.82)</f>
        <v>2789.82</v>
      </c>
      <c r="C1150" s="13">
        <f t="shared" si="1"/>
        <v>2709.945</v>
      </c>
      <c r="D1150" s="13">
        <f t="shared" si="2"/>
        <v>2953.105</v>
      </c>
      <c r="E1150" s="13" t="str">
        <f t="shared" si="3"/>
        <v/>
      </c>
      <c r="F1150" s="3">
        <f t="shared" si="4"/>
        <v>0.01448737809</v>
      </c>
      <c r="G1150" s="4">
        <f t="shared" si="5"/>
        <v>1.341672438</v>
      </c>
      <c r="H1150" s="5">
        <f t="shared" si="6"/>
        <v>0</v>
      </c>
      <c r="I1150" s="5">
        <f t="shared" si="7"/>
        <v>1.114994266</v>
      </c>
    </row>
    <row r="1151">
      <c r="A1151" s="12">
        <f>IFERROR(__xludf.DUMMYFUNCTION("""COMPUTED_VALUE"""),43934.66666666667)</f>
        <v>43934.66667</v>
      </c>
      <c r="B1151" s="13">
        <f>IFERROR(__xludf.DUMMYFUNCTION("""COMPUTED_VALUE"""),2761.63)</f>
        <v>2761.63</v>
      </c>
      <c r="C1151" s="13">
        <f t="shared" si="1"/>
        <v>2651.55</v>
      </c>
      <c r="D1151" s="13">
        <f t="shared" si="2"/>
        <v>2870.195</v>
      </c>
      <c r="E1151" s="13" t="str">
        <f t="shared" si="3"/>
        <v/>
      </c>
      <c r="F1151" s="3">
        <f t="shared" si="4"/>
        <v>-0.01010459456</v>
      </c>
      <c r="G1151" s="4">
        <f t="shared" si="5"/>
        <v>1.328115382</v>
      </c>
      <c r="H1151" s="5">
        <f t="shared" si="6"/>
        <v>0</v>
      </c>
      <c r="I1151" s="5">
        <f t="shared" si="7"/>
        <v>1.114994266</v>
      </c>
    </row>
    <row r="1152">
      <c r="A1152" s="12">
        <f>IFERROR(__xludf.DUMMYFUNCTION("""COMPUTED_VALUE"""),43935.66666666667)</f>
        <v>43935.66667</v>
      </c>
      <c r="B1152" s="13">
        <f>IFERROR(__xludf.DUMMYFUNCTION("""COMPUTED_VALUE"""),2846.06)</f>
        <v>2846.06</v>
      </c>
      <c r="C1152" s="13">
        <f t="shared" si="1"/>
        <v>2736.355</v>
      </c>
      <c r="D1152" s="13">
        <f t="shared" si="2"/>
        <v>2900.14</v>
      </c>
      <c r="E1152" s="13" t="str">
        <f t="shared" si="3"/>
        <v/>
      </c>
      <c r="F1152" s="3">
        <f t="shared" si="4"/>
        <v>0.0305725242</v>
      </c>
      <c r="G1152" s="4">
        <f t="shared" si="5"/>
        <v>1.368719221</v>
      </c>
      <c r="H1152" s="5">
        <f t="shared" si="6"/>
        <v>0</v>
      </c>
      <c r="I1152" s="5">
        <f t="shared" si="7"/>
        <v>1.114994266</v>
      </c>
    </row>
    <row r="1153">
      <c r="A1153" s="12">
        <f>IFERROR(__xludf.DUMMYFUNCTION("""COMPUTED_VALUE"""),43936.66666666667)</f>
        <v>43936.66667</v>
      </c>
      <c r="B1153" s="13">
        <f>IFERROR(__xludf.DUMMYFUNCTION("""COMPUTED_VALUE"""),2783.36)</f>
        <v>2783.36</v>
      </c>
      <c r="C1153" s="13">
        <f t="shared" si="1"/>
        <v>2683.975</v>
      </c>
      <c r="D1153" s="13">
        <f t="shared" si="2"/>
        <v>2936.795</v>
      </c>
      <c r="E1153" s="13" t="str">
        <f t="shared" si="3"/>
        <v/>
      </c>
      <c r="F1153" s="3">
        <f t="shared" si="4"/>
        <v>-0.02203045614</v>
      </c>
      <c r="G1153" s="4">
        <f t="shared" si="5"/>
        <v>1.338565713</v>
      </c>
      <c r="H1153" s="5">
        <f t="shared" si="6"/>
        <v>0</v>
      </c>
      <c r="I1153" s="5">
        <f t="shared" si="7"/>
        <v>1.114994266</v>
      </c>
    </row>
    <row r="1154">
      <c r="A1154" s="12">
        <f>IFERROR(__xludf.DUMMYFUNCTION("""COMPUTED_VALUE"""),43937.66666666667)</f>
        <v>43937.66667</v>
      </c>
      <c r="B1154" s="13">
        <f>IFERROR(__xludf.DUMMYFUNCTION("""COMPUTED_VALUE"""),2799.55)</f>
        <v>2799.55</v>
      </c>
      <c r="C1154" s="13">
        <f t="shared" si="1"/>
        <v>2635.025</v>
      </c>
      <c r="D1154" s="13">
        <f t="shared" si="2"/>
        <v>2901.46</v>
      </c>
      <c r="E1154" s="13" t="str">
        <f t="shared" si="3"/>
        <v/>
      </c>
      <c r="F1154" s="3">
        <f t="shared" si="4"/>
        <v>0.005816710738</v>
      </c>
      <c r="G1154" s="4">
        <f t="shared" si="5"/>
        <v>1.346351762</v>
      </c>
      <c r="H1154" s="5">
        <f t="shared" si="6"/>
        <v>0</v>
      </c>
      <c r="I1154" s="5">
        <f t="shared" si="7"/>
        <v>1.114994266</v>
      </c>
    </row>
    <row r="1155">
      <c r="A1155" s="12">
        <f>IFERROR(__xludf.DUMMYFUNCTION("""COMPUTED_VALUE"""),43938.66666666667)</f>
        <v>43938.66667</v>
      </c>
      <c r="B1155" s="13">
        <f>IFERROR(__xludf.DUMMYFUNCTION("""COMPUTED_VALUE"""),2874.56)</f>
        <v>2874.56</v>
      </c>
      <c r="C1155" s="13">
        <f t="shared" si="1"/>
        <v>2700.73</v>
      </c>
      <c r="D1155" s="13">
        <f t="shared" si="2"/>
        <v>3002.34</v>
      </c>
      <c r="E1155" s="13" t="str">
        <f t="shared" si="3"/>
        <v/>
      </c>
      <c r="F1155" s="3">
        <f t="shared" si="4"/>
        <v>0.02679359183</v>
      </c>
      <c r="G1155" s="4">
        <f t="shared" si="5"/>
        <v>1.382425362</v>
      </c>
      <c r="H1155" s="5">
        <f t="shared" si="6"/>
        <v>0</v>
      </c>
      <c r="I1155" s="5">
        <f t="shared" si="7"/>
        <v>1.114994266</v>
      </c>
    </row>
    <row r="1156">
      <c r="A1156" s="12">
        <f>IFERROR(__xludf.DUMMYFUNCTION("""COMPUTED_VALUE"""),43941.66666666667)</f>
        <v>43941.66667</v>
      </c>
      <c r="B1156" s="13">
        <f>IFERROR(__xludf.DUMMYFUNCTION("""COMPUTED_VALUE"""),2823.16)</f>
        <v>2823.16</v>
      </c>
      <c r="C1156" s="13">
        <f t="shared" si="1"/>
        <v>2655.905</v>
      </c>
      <c r="D1156" s="13">
        <f t="shared" si="2"/>
        <v>2923.55</v>
      </c>
      <c r="E1156" s="13" t="str">
        <f t="shared" si="3"/>
        <v/>
      </c>
      <c r="F1156" s="3">
        <f t="shared" si="4"/>
        <v>-0.01788099744</v>
      </c>
      <c r="G1156" s="4">
        <f t="shared" si="5"/>
        <v>1.357706217</v>
      </c>
      <c r="H1156" s="5">
        <f t="shared" si="6"/>
        <v>0</v>
      </c>
      <c r="I1156" s="5">
        <f t="shared" si="7"/>
        <v>1.114994266</v>
      </c>
    </row>
    <row r="1157">
      <c r="A1157" s="12">
        <f>IFERROR(__xludf.DUMMYFUNCTION("""COMPUTED_VALUE"""),43942.66666666667)</f>
        <v>43942.66667</v>
      </c>
      <c r="B1157" s="13">
        <f>IFERROR(__xludf.DUMMYFUNCTION("""COMPUTED_VALUE"""),2736.56)</f>
        <v>2736.56</v>
      </c>
      <c r="C1157" s="13">
        <f t="shared" si="1"/>
        <v>2700.12</v>
      </c>
      <c r="D1157" s="13">
        <f t="shared" si="2"/>
        <v>2854.465</v>
      </c>
      <c r="E1157" s="13" t="str">
        <f t="shared" si="3"/>
        <v/>
      </c>
      <c r="F1157" s="3">
        <f t="shared" si="4"/>
        <v>-0.03067484663</v>
      </c>
      <c r="G1157" s="4">
        <f t="shared" si="5"/>
        <v>1.316058787</v>
      </c>
      <c r="H1157" s="5">
        <f t="shared" si="6"/>
        <v>0</v>
      </c>
      <c r="I1157" s="5">
        <f t="shared" si="7"/>
        <v>1.114994266</v>
      </c>
    </row>
    <row r="1158">
      <c r="A1158" s="12">
        <f>IFERROR(__xludf.DUMMYFUNCTION("""COMPUTED_VALUE"""),43943.66666666667)</f>
        <v>43943.66667</v>
      </c>
      <c r="B1158" s="13">
        <f>IFERROR(__xludf.DUMMYFUNCTION("""COMPUTED_VALUE"""),2799.31)</f>
        <v>2799.31</v>
      </c>
      <c r="C1158" s="13">
        <f t="shared" si="1"/>
        <v>2729.36</v>
      </c>
      <c r="D1158" s="13">
        <f t="shared" si="2"/>
        <v>2772.935</v>
      </c>
      <c r="E1158" s="13" t="str">
        <f t="shared" si="3"/>
        <v/>
      </c>
      <c r="F1158" s="3">
        <f t="shared" si="4"/>
        <v>0.02293024819</v>
      </c>
      <c r="G1158" s="4">
        <f t="shared" si="5"/>
        <v>1.346236342</v>
      </c>
      <c r="H1158" s="5">
        <f t="shared" si="6"/>
        <v>0</v>
      </c>
      <c r="I1158" s="5">
        <f t="shared" si="7"/>
        <v>1.114994266</v>
      </c>
    </row>
    <row r="1159">
      <c r="A1159" s="12">
        <f>IFERROR(__xludf.DUMMYFUNCTION("""COMPUTED_VALUE"""),43944.66666666667)</f>
        <v>43944.66667</v>
      </c>
      <c r="B1159" s="13">
        <f>IFERROR(__xludf.DUMMYFUNCTION("""COMPUTED_VALUE"""),2797.8)</f>
        <v>2797.8</v>
      </c>
      <c r="C1159" s="13">
        <f t="shared" si="1"/>
        <v>2773.89</v>
      </c>
      <c r="D1159" s="13">
        <f t="shared" si="2"/>
        <v>2840.015</v>
      </c>
      <c r="E1159" s="13" t="str">
        <f t="shared" si="3"/>
        <v/>
      </c>
      <c r="F1159" s="3">
        <f t="shared" si="4"/>
        <v>-0.0005394186425</v>
      </c>
      <c r="G1159" s="4">
        <f t="shared" si="5"/>
        <v>1.345510157</v>
      </c>
      <c r="H1159" s="5">
        <f t="shared" si="6"/>
        <v>0</v>
      </c>
      <c r="I1159" s="5">
        <f t="shared" si="7"/>
        <v>1.114994266</v>
      </c>
    </row>
    <row r="1160">
      <c r="A1160" s="12">
        <f>IFERROR(__xludf.DUMMYFUNCTION("""COMPUTED_VALUE"""),43945.66666666667)</f>
        <v>43945.66667</v>
      </c>
      <c r="B1160" s="13">
        <f>IFERROR(__xludf.DUMMYFUNCTION("""COMPUTED_VALUE"""),2836.74)</f>
        <v>2836.74</v>
      </c>
      <c r="C1160" s="13">
        <f t="shared" si="1"/>
        <v>2813.28</v>
      </c>
      <c r="D1160" s="13">
        <f t="shared" si="2"/>
        <v>2789.06</v>
      </c>
      <c r="E1160" s="13" t="str">
        <f t="shared" si="3"/>
        <v>LONG</v>
      </c>
      <c r="F1160" s="3">
        <f t="shared" si="4"/>
        <v>0.01391807849</v>
      </c>
      <c r="G1160" s="4">
        <f t="shared" si="5"/>
        <v>1.364237073</v>
      </c>
      <c r="H1160" s="3">
        <f t="shared" si="6"/>
        <v>0.01391807849</v>
      </c>
      <c r="I1160" s="5">
        <f t="shared" si="7"/>
        <v>1.130512844</v>
      </c>
    </row>
    <row r="1161">
      <c r="A1161" s="12">
        <f>IFERROR(__xludf.DUMMYFUNCTION("""COMPUTED_VALUE"""),43948.66666666667)</f>
        <v>43948.66667</v>
      </c>
      <c r="B1161" s="13">
        <f>IFERROR(__xludf.DUMMYFUNCTION("""COMPUTED_VALUE"""),2878.48)</f>
        <v>2878.48</v>
      </c>
      <c r="C1161" s="13">
        <f t="shared" si="1"/>
        <v>2820.055</v>
      </c>
      <c r="D1161" s="13">
        <f t="shared" si="2"/>
        <v>2679.56</v>
      </c>
      <c r="E1161" s="13" t="str">
        <f t="shared" si="3"/>
        <v>LONG</v>
      </c>
      <c r="F1161" s="3">
        <f t="shared" si="4"/>
        <v>0.0147140732</v>
      </c>
      <c r="G1161" s="4">
        <f t="shared" si="5"/>
        <v>1.384310557</v>
      </c>
      <c r="H1161" s="3">
        <f t="shared" si="6"/>
        <v>0.0147140732</v>
      </c>
      <c r="I1161" s="5">
        <f t="shared" si="7"/>
        <v>1.147147292</v>
      </c>
    </row>
    <row r="1162">
      <c r="A1162" s="12">
        <f>IFERROR(__xludf.DUMMYFUNCTION("""COMPUTED_VALUE"""),43949.66666666667)</f>
        <v>43949.66667</v>
      </c>
      <c r="B1162" s="13">
        <f>IFERROR(__xludf.DUMMYFUNCTION("""COMPUTED_VALUE"""),2863.39)</f>
        <v>2863.39</v>
      </c>
      <c r="C1162" s="13">
        <f t="shared" si="1"/>
        <v>2854.725</v>
      </c>
      <c r="D1162" s="13">
        <f t="shared" si="2"/>
        <v>2787.205</v>
      </c>
      <c r="E1162" s="13" t="str">
        <f t="shared" si="3"/>
        <v>LONG</v>
      </c>
      <c r="F1162" s="3">
        <f t="shared" si="4"/>
        <v>-0.005242350129</v>
      </c>
      <c r="G1162" s="4">
        <f t="shared" si="5"/>
        <v>1.377053516</v>
      </c>
      <c r="H1162" s="3">
        <f t="shared" si="6"/>
        <v>-0.005242350129</v>
      </c>
      <c r="I1162" s="5">
        <f t="shared" si="7"/>
        <v>1.141133544</v>
      </c>
    </row>
    <row r="1163">
      <c r="A1163" s="12">
        <f>IFERROR(__xludf.DUMMYFUNCTION("""COMPUTED_VALUE"""),43950.66666666667)</f>
        <v>43950.66667</v>
      </c>
      <c r="B1163" s="13">
        <f>IFERROR(__xludf.DUMMYFUNCTION("""COMPUTED_VALUE"""),2939.51)</f>
        <v>2939.51</v>
      </c>
      <c r="C1163" s="13">
        <f t="shared" si="1"/>
        <v>2861.435</v>
      </c>
      <c r="D1163" s="13">
        <f t="shared" si="2"/>
        <v>2662.82</v>
      </c>
      <c r="E1163" s="13" t="str">
        <f t="shared" si="3"/>
        <v>LONG</v>
      </c>
      <c r="F1163" s="3">
        <f t="shared" si="4"/>
        <v>0.02658387436</v>
      </c>
      <c r="G1163" s="4">
        <f t="shared" si="5"/>
        <v>1.413660934</v>
      </c>
      <c r="H1163" s="3">
        <f t="shared" si="6"/>
        <v>0.02658387436</v>
      </c>
      <c r="I1163" s="5">
        <f t="shared" si="7"/>
        <v>1.171469295</v>
      </c>
    </row>
    <row r="1164">
      <c r="A1164" s="12">
        <f>IFERROR(__xludf.DUMMYFUNCTION("""COMPUTED_VALUE"""),43951.66666666667)</f>
        <v>43951.66667</v>
      </c>
      <c r="B1164" s="13">
        <f>IFERROR(__xludf.DUMMYFUNCTION("""COMPUTED_VALUE"""),2912.43)</f>
        <v>2912.43</v>
      </c>
      <c r="C1164" s="13">
        <f t="shared" si="1"/>
        <v>2855.99</v>
      </c>
      <c r="D1164" s="13">
        <f t="shared" si="2"/>
        <v>2720.81</v>
      </c>
      <c r="E1164" s="13" t="str">
        <f t="shared" si="3"/>
        <v>LONG</v>
      </c>
      <c r="F1164" s="3">
        <f t="shared" si="4"/>
        <v>-0.009212419757</v>
      </c>
      <c r="G1164" s="4">
        <f t="shared" si="5"/>
        <v>1.400637696</v>
      </c>
      <c r="H1164" s="3">
        <f t="shared" si="6"/>
        <v>-0.009212419757</v>
      </c>
      <c r="I1164" s="5">
        <f t="shared" si="7"/>
        <v>1.160677228</v>
      </c>
    </row>
    <row r="1165">
      <c r="A1165" s="12">
        <f>IFERROR(__xludf.DUMMYFUNCTION("""COMPUTED_VALUE"""),43952.66666666667)</f>
        <v>43952.66667</v>
      </c>
      <c r="B1165" s="13">
        <f>IFERROR(__xludf.DUMMYFUNCTION("""COMPUTED_VALUE"""),2830.71)</f>
        <v>2830.71</v>
      </c>
      <c r="C1165" s="13">
        <f t="shared" si="1"/>
        <v>2852.635</v>
      </c>
      <c r="D1165" s="13">
        <f t="shared" si="2"/>
        <v>2614.405</v>
      </c>
      <c r="E1165" s="13" t="str">
        <f t="shared" si="3"/>
        <v>LONG</v>
      </c>
      <c r="F1165" s="3">
        <f t="shared" si="4"/>
        <v>-0.02805904348</v>
      </c>
      <c r="G1165" s="4">
        <f t="shared" si="5"/>
        <v>1.361337142</v>
      </c>
      <c r="H1165" s="3">
        <f t="shared" si="6"/>
        <v>-0.02805904348</v>
      </c>
      <c r="I1165" s="5">
        <f t="shared" si="7"/>
        <v>1.128109736</v>
      </c>
    </row>
    <row r="1166">
      <c r="A1166" s="12">
        <f>IFERROR(__xludf.DUMMYFUNCTION("""COMPUTED_VALUE"""),43955.66666666667)</f>
        <v>43955.66667</v>
      </c>
      <c r="B1166" s="13">
        <f>IFERROR(__xludf.DUMMYFUNCTION("""COMPUTED_VALUE"""),2842.74)</f>
        <v>2842.74</v>
      </c>
      <c r="C1166" s="13">
        <f t="shared" si="1"/>
        <v>2832.95</v>
      </c>
      <c r="D1166" s="13">
        <f t="shared" si="2"/>
        <v>2626.065</v>
      </c>
      <c r="E1166" s="13" t="str">
        <f t="shared" si="3"/>
        <v>LONG</v>
      </c>
      <c r="F1166" s="3">
        <f t="shared" si="4"/>
        <v>0.004249817184</v>
      </c>
      <c r="G1166" s="4">
        <f t="shared" si="5"/>
        <v>1.367122576</v>
      </c>
      <c r="H1166" s="3">
        <f t="shared" si="6"/>
        <v>0.004249817184</v>
      </c>
      <c r="I1166" s="5">
        <f t="shared" si="7"/>
        <v>1.132903996</v>
      </c>
    </row>
    <row r="1167">
      <c r="A1167" s="12">
        <f>IFERROR(__xludf.DUMMYFUNCTION("""COMPUTED_VALUE"""),43956.66666666667)</f>
        <v>43956.66667</v>
      </c>
      <c r="B1167" s="13">
        <f>IFERROR(__xludf.DUMMYFUNCTION("""COMPUTED_VALUE"""),2868.44)</f>
        <v>2868.44</v>
      </c>
      <c r="C1167" s="13">
        <f t="shared" si="1"/>
        <v>2802.5</v>
      </c>
      <c r="D1167" s="13">
        <f t="shared" si="2"/>
        <v>2586.68</v>
      </c>
      <c r="E1167" s="13" t="str">
        <f t="shared" si="3"/>
        <v>LONG</v>
      </c>
      <c r="F1167" s="3">
        <f t="shared" si="4"/>
        <v>0.009040573531</v>
      </c>
      <c r="G1167" s="4">
        <f t="shared" si="5"/>
        <v>1.379482148</v>
      </c>
      <c r="H1167" s="3">
        <f t="shared" si="6"/>
        <v>0.009040573531</v>
      </c>
      <c r="I1167" s="5">
        <f t="shared" si="7"/>
        <v>1.143146098</v>
      </c>
    </row>
    <row r="1168">
      <c r="A1168" s="12">
        <f>IFERROR(__xludf.DUMMYFUNCTION("""COMPUTED_VALUE"""),43957.66666666667)</f>
        <v>43957.66667</v>
      </c>
      <c r="B1168" s="13">
        <f>IFERROR(__xludf.DUMMYFUNCTION("""COMPUTED_VALUE"""),2848.42)</f>
        <v>2848.42</v>
      </c>
      <c r="C1168" s="13">
        <f t="shared" si="1"/>
        <v>2823.865</v>
      </c>
      <c r="D1168" s="13">
        <f t="shared" si="2"/>
        <v>2542.91</v>
      </c>
      <c r="E1168" s="13" t="str">
        <f t="shared" si="3"/>
        <v>LONG</v>
      </c>
      <c r="F1168" s="3">
        <f t="shared" si="4"/>
        <v>-0.006979403439</v>
      </c>
      <c r="G1168" s="4">
        <f t="shared" si="5"/>
        <v>1.369854186</v>
      </c>
      <c r="H1168" s="3">
        <f t="shared" si="6"/>
        <v>-0.006979403439</v>
      </c>
      <c r="I1168" s="5">
        <f t="shared" si="7"/>
        <v>1.13516762</v>
      </c>
    </row>
    <row r="1169">
      <c r="A1169" s="12">
        <f>IFERROR(__xludf.DUMMYFUNCTION("""COMPUTED_VALUE"""),43958.66666666667)</f>
        <v>43958.66667</v>
      </c>
      <c r="B1169" s="13">
        <f>IFERROR(__xludf.DUMMYFUNCTION("""COMPUTED_VALUE"""),2881.19)</f>
        <v>2881.19</v>
      </c>
      <c r="C1169" s="13">
        <f t="shared" si="1"/>
        <v>2839.495</v>
      </c>
      <c r="D1169" s="13">
        <f t="shared" si="2"/>
        <v>2664.26</v>
      </c>
      <c r="E1169" s="13" t="str">
        <f t="shared" si="3"/>
        <v>LONG</v>
      </c>
      <c r="F1169" s="3">
        <f t="shared" si="4"/>
        <v>0.01150462362</v>
      </c>
      <c r="G1169" s="4">
        <f t="shared" si="5"/>
        <v>1.385613843</v>
      </c>
      <c r="H1169" s="3">
        <f t="shared" si="6"/>
        <v>0.01150462362</v>
      </c>
      <c r="I1169" s="5">
        <f t="shared" si="7"/>
        <v>1.148227296</v>
      </c>
    </row>
    <row r="1170">
      <c r="A1170" s="12">
        <f>IFERROR(__xludf.DUMMYFUNCTION("""COMPUTED_VALUE"""),43959.66666666667)</f>
        <v>43959.66667</v>
      </c>
      <c r="B1170" s="13">
        <f>IFERROR(__xludf.DUMMYFUNCTION("""COMPUTED_VALUE"""),2929.8)</f>
        <v>2929.8</v>
      </c>
      <c r="C1170" s="13">
        <f t="shared" si="1"/>
        <v>2883.27</v>
      </c>
      <c r="D1170" s="13">
        <f t="shared" si="2"/>
        <v>2702.68</v>
      </c>
      <c r="E1170" s="13" t="str">
        <f t="shared" si="3"/>
        <v>LONG</v>
      </c>
      <c r="F1170" s="3">
        <f t="shared" si="4"/>
        <v>0.01687150101</v>
      </c>
      <c r="G1170" s="4">
        <f t="shared" si="5"/>
        <v>1.408991228</v>
      </c>
      <c r="H1170" s="3">
        <f t="shared" si="6"/>
        <v>0.01687150101</v>
      </c>
      <c r="I1170" s="5">
        <f t="shared" si="7"/>
        <v>1.167599614</v>
      </c>
    </row>
    <row r="1171">
      <c r="A1171" s="12">
        <f>IFERROR(__xludf.DUMMYFUNCTION("""COMPUTED_VALUE"""),43962.66666666667)</f>
        <v>43962.66667</v>
      </c>
      <c r="B1171" s="13">
        <f>IFERROR(__xludf.DUMMYFUNCTION("""COMPUTED_VALUE"""),2930.32)</f>
        <v>2930.32</v>
      </c>
      <c r="C1171" s="13">
        <f t="shared" si="1"/>
        <v>2904.4</v>
      </c>
      <c r="D1171" s="13">
        <f t="shared" si="2"/>
        <v>2780.195</v>
      </c>
      <c r="E1171" s="13" t="str">
        <f t="shared" si="3"/>
        <v>LONG</v>
      </c>
      <c r="F1171" s="3">
        <f t="shared" si="4"/>
        <v>0.0001774865179</v>
      </c>
      <c r="G1171" s="4">
        <f t="shared" si="5"/>
        <v>1.409241305</v>
      </c>
      <c r="H1171" s="3">
        <f t="shared" si="6"/>
        <v>0.0001774865179</v>
      </c>
      <c r="I1171" s="5">
        <f t="shared" si="7"/>
        <v>1.167806847</v>
      </c>
    </row>
    <row r="1172">
      <c r="A1172" s="12">
        <f>IFERROR(__xludf.DUMMYFUNCTION("""COMPUTED_VALUE"""),43963.66666666667)</f>
        <v>43963.66667</v>
      </c>
      <c r="B1172" s="13">
        <f>IFERROR(__xludf.DUMMYFUNCTION("""COMPUTED_VALUE"""),2870.12)</f>
        <v>2870.12</v>
      </c>
      <c r="C1172" s="13">
        <f t="shared" si="1"/>
        <v>2866.755</v>
      </c>
      <c r="D1172" s="13">
        <f t="shared" si="2"/>
        <v>2705.795</v>
      </c>
      <c r="E1172" s="13" t="str">
        <f t="shared" si="3"/>
        <v>LONG</v>
      </c>
      <c r="F1172" s="3">
        <f t="shared" si="4"/>
        <v>-0.02054383139</v>
      </c>
      <c r="G1172" s="4">
        <f t="shared" si="5"/>
        <v>1.380290089</v>
      </c>
      <c r="H1172" s="3">
        <f t="shared" si="6"/>
        <v>-0.02054383139</v>
      </c>
      <c r="I1172" s="5">
        <f t="shared" si="7"/>
        <v>1.14381562</v>
      </c>
    </row>
    <row r="1173">
      <c r="A1173" s="12">
        <f>IFERROR(__xludf.DUMMYFUNCTION("""COMPUTED_VALUE"""),43964.66666666667)</f>
        <v>43964.66667</v>
      </c>
      <c r="B1173" s="13">
        <f>IFERROR(__xludf.DUMMYFUNCTION("""COMPUTED_VALUE"""),2820.0)</f>
        <v>2820</v>
      </c>
      <c r="C1173" s="13">
        <f t="shared" si="1"/>
        <v>2879.755</v>
      </c>
      <c r="D1173" s="13">
        <f t="shared" si="2"/>
        <v>2723.325</v>
      </c>
      <c r="E1173" s="13" t="str">
        <f t="shared" si="3"/>
        <v>LONG</v>
      </c>
      <c r="F1173" s="3">
        <f t="shared" si="4"/>
        <v>-0.01746268449</v>
      </c>
      <c r="G1173" s="4">
        <f t="shared" si="5"/>
        <v>1.356186519</v>
      </c>
      <c r="H1173" s="3">
        <f t="shared" si="6"/>
        <v>-0.01746268449</v>
      </c>
      <c r="I1173" s="5">
        <f t="shared" si="7"/>
        <v>1.123841529</v>
      </c>
    </row>
    <row r="1174">
      <c r="A1174" s="12">
        <f>IFERROR(__xludf.DUMMYFUNCTION("""COMPUTED_VALUE"""),43965.66666666667)</f>
        <v>43965.66667</v>
      </c>
      <c r="B1174" s="13">
        <f>IFERROR(__xludf.DUMMYFUNCTION("""COMPUTED_VALUE"""),2852.5)</f>
        <v>2852.5</v>
      </c>
      <c r="C1174" s="13">
        <f t="shared" si="1"/>
        <v>2882.465</v>
      </c>
      <c r="D1174" s="13">
        <f t="shared" si="2"/>
        <v>2718.545</v>
      </c>
      <c r="E1174" s="13" t="str">
        <f t="shared" si="3"/>
        <v>LONG</v>
      </c>
      <c r="F1174" s="3">
        <f t="shared" si="4"/>
        <v>0.0115248227</v>
      </c>
      <c r="G1174" s="4">
        <f t="shared" si="5"/>
        <v>1.371816328</v>
      </c>
      <c r="H1174" s="3">
        <f t="shared" si="6"/>
        <v>0.0115248227</v>
      </c>
      <c r="I1174" s="5">
        <f t="shared" si="7"/>
        <v>1.136793603</v>
      </c>
    </row>
    <row r="1175">
      <c r="A1175" s="12">
        <f>IFERROR(__xludf.DUMMYFUNCTION("""COMPUTED_VALUE"""),43966.66666666667)</f>
        <v>43966.66667</v>
      </c>
      <c r="B1175" s="13">
        <f>IFERROR(__xludf.DUMMYFUNCTION("""COMPUTED_VALUE"""),2863.7)</f>
        <v>2863.7</v>
      </c>
      <c r="C1175" s="13">
        <f t="shared" si="1"/>
        <v>2847.205</v>
      </c>
      <c r="D1175" s="13">
        <f t="shared" si="2"/>
        <v>2667.1</v>
      </c>
      <c r="E1175" s="13" t="str">
        <f t="shared" si="3"/>
        <v>LONG</v>
      </c>
      <c r="F1175" s="3">
        <f t="shared" si="4"/>
        <v>0.003926380368</v>
      </c>
      <c r="G1175" s="4">
        <f t="shared" si="5"/>
        <v>1.377202601</v>
      </c>
      <c r="H1175" s="3">
        <f t="shared" si="6"/>
        <v>0.003926380368</v>
      </c>
      <c r="I1175" s="5">
        <f t="shared" si="7"/>
        <v>1.141257087</v>
      </c>
    </row>
    <row r="1176">
      <c r="A1176" s="12">
        <f>IFERROR(__xludf.DUMMYFUNCTION("""COMPUTED_VALUE"""),43969.66666666667)</f>
        <v>43969.66667</v>
      </c>
      <c r="B1176" s="13">
        <f>IFERROR(__xludf.DUMMYFUNCTION("""COMPUTED_VALUE"""),2953.91)</f>
        <v>2953.91</v>
      </c>
      <c r="C1176" s="13">
        <f t="shared" si="1"/>
        <v>2898.325</v>
      </c>
      <c r="D1176" s="13">
        <f t="shared" si="2"/>
        <v>2740.405</v>
      </c>
      <c r="E1176" s="13" t="str">
        <f t="shared" si="3"/>
        <v>LONG</v>
      </c>
      <c r="F1176" s="3">
        <f t="shared" si="4"/>
        <v>0.03150120474</v>
      </c>
      <c r="G1176" s="4">
        <f t="shared" si="5"/>
        <v>1.420586142</v>
      </c>
      <c r="H1176" s="3">
        <f t="shared" si="6"/>
        <v>0.03150120474</v>
      </c>
      <c r="I1176" s="5">
        <f t="shared" si="7"/>
        <v>1.177208061</v>
      </c>
    </row>
    <row r="1177">
      <c r="A1177" s="12">
        <f>IFERROR(__xludf.DUMMYFUNCTION("""COMPUTED_VALUE"""),43970.66666666667)</f>
        <v>43970.66667</v>
      </c>
      <c r="B1177" s="13">
        <f>IFERROR(__xludf.DUMMYFUNCTION("""COMPUTED_VALUE"""),2922.94)</f>
        <v>2922.94</v>
      </c>
      <c r="C1177" s="13">
        <f t="shared" si="1"/>
        <v>2895.69</v>
      </c>
      <c r="D1177" s="13">
        <f t="shared" si="2"/>
        <v>2705.795</v>
      </c>
      <c r="E1177" s="13" t="str">
        <f t="shared" si="3"/>
        <v>LONG</v>
      </c>
      <c r="F1177" s="3">
        <f t="shared" si="4"/>
        <v>-0.0104844088</v>
      </c>
      <c r="G1177" s="4">
        <f t="shared" si="5"/>
        <v>1.405692136</v>
      </c>
      <c r="H1177" s="3">
        <f t="shared" si="6"/>
        <v>-0.0104844088</v>
      </c>
      <c r="I1177" s="5">
        <f t="shared" si="7"/>
        <v>1.16486573</v>
      </c>
    </row>
    <row r="1178">
      <c r="A1178" s="12">
        <f>IFERROR(__xludf.DUMMYFUNCTION("""COMPUTED_VALUE"""),43971.66666666667)</f>
        <v>43971.66667</v>
      </c>
      <c r="B1178" s="13">
        <f>IFERROR(__xludf.DUMMYFUNCTION("""COMPUTED_VALUE"""),2971.61)</f>
        <v>2971.61</v>
      </c>
      <c r="C1178" s="13">
        <f t="shared" si="1"/>
        <v>2910.015</v>
      </c>
      <c r="D1178" s="13">
        <f t="shared" si="2"/>
        <v>2817.645</v>
      </c>
      <c r="E1178" s="13" t="str">
        <f t="shared" si="3"/>
        <v>LONG</v>
      </c>
      <c r="F1178" s="3">
        <f t="shared" si="4"/>
        <v>0.01665104313</v>
      </c>
      <c r="G1178" s="4">
        <f t="shared" si="5"/>
        <v>1.429098376</v>
      </c>
      <c r="H1178" s="3">
        <f t="shared" si="6"/>
        <v>0.01665104313</v>
      </c>
      <c r="I1178" s="5">
        <f t="shared" si="7"/>
        <v>1.184261959</v>
      </c>
    </row>
    <row r="1179">
      <c r="A1179" s="12">
        <f>IFERROR(__xludf.DUMMYFUNCTION("""COMPUTED_VALUE"""),43972.66666666667)</f>
        <v>43972.66667</v>
      </c>
      <c r="B1179" s="13">
        <f>IFERROR(__xludf.DUMMYFUNCTION("""COMPUTED_VALUE"""),2948.51)</f>
        <v>2948.51</v>
      </c>
      <c r="C1179" s="13">
        <f t="shared" si="1"/>
        <v>2914.85</v>
      </c>
      <c r="D1179" s="13">
        <f t="shared" si="2"/>
        <v>2803.96</v>
      </c>
      <c r="E1179" s="13" t="str">
        <f t="shared" si="3"/>
        <v>LONG</v>
      </c>
      <c r="F1179" s="3">
        <f t="shared" si="4"/>
        <v>-0.007773563826</v>
      </c>
      <c r="G1179" s="4">
        <f t="shared" si="5"/>
        <v>1.417989189</v>
      </c>
      <c r="H1179" s="3">
        <f t="shared" si="6"/>
        <v>-0.007773563826</v>
      </c>
      <c r="I1179" s="5">
        <f t="shared" si="7"/>
        <v>1.175056024</v>
      </c>
    </row>
    <row r="1180">
      <c r="A1180" s="12">
        <f>IFERROR(__xludf.DUMMYFUNCTION("""COMPUTED_VALUE"""),43973.66666666667)</f>
        <v>43973.66667</v>
      </c>
      <c r="B1180" s="13">
        <f>IFERROR(__xludf.DUMMYFUNCTION("""COMPUTED_VALUE"""),2955.45)</f>
        <v>2955.45</v>
      </c>
      <c r="C1180" s="13">
        <f t="shared" si="1"/>
        <v>2942.625</v>
      </c>
      <c r="D1180" s="13">
        <f t="shared" si="2"/>
        <v>2852.715</v>
      </c>
      <c r="E1180" s="13" t="str">
        <f t="shared" si="3"/>
        <v>LONG</v>
      </c>
      <c r="F1180" s="3">
        <f t="shared" si="4"/>
        <v>0.002353731207</v>
      </c>
      <c r="G1180" s="4">
        <f t="shared" si="5"/>
        <v>1.421326754</v>
      </c>
      <c r="H1180" s="3">
        <f t="shared" si="6"/>
        <v>0.002353731207</v>
      </c>
      <c r="I1180" s="5">
        <f t="shared" si="7"/>
        <v>1.17782179</v>
      </c>
    </row>
    <row r="1181">
      <c r="A1181" s="12">
        <f>IFERROR(__xludf.DUMMYFUNCTION("""COMPUTED_VALUE"""),43977.66666666667)</f>
        <v>43977.66667</v>
      </c>
      <c r="B1181" s="13">
        <f>IFERROR(__xludf.DUMMYFUNCTION("""COMPUTED_VALUE"""),2991.77)</f>
        <v>2991.77</v>
      </c>
      <c r="C1181" s="13">
        <f t="shared" si="1"/>
        <v>2961.045</v>
      </c>
      <c r="D1181" s="13">
        <f t="shared" si="2"/>
        <v>2890.795</v>
      </c>
      <c r="E1181" s="13" t="str">
        <f t="shared" si="3"/>
        <v>LONG</v>
      </c>
      <c r="F1181" s="3">
        <f t="shared" si="4"/>
        <v>0.0122891607</v>
      </c>
      <c r="G1181" s="4">
        <f t="shared" si="5"/>
        <v>1.438793667</v>
      </c>
      <c r="H1181" s="3">
        <f t="shared" si="6"/>
        <v>0.0122891607</v>
      </c>
      <c r="I1181" s="5">
        <f t="shared" si="7"/>
        <v>1.192296231</v>
      </c>
    </row>
    <row r="1182">
      <c r="A1182" s="12">
        <f>IFERROR(__xludf.DUMMYFUNCTION("""COMPUTED_VALUE"""),43978.66666666667)</f>
        <v>43978.66667</v>
      </c>
      <c r="B1182" s="13">
        <f>IFERROR(__xludf.DUMMYFUNCTION("""COMPUTED_VALUE"""),3036.13)</f>
        <v>3036.13</v>
      </c>
      <c r="C1182" s="13">
        <f t="shared" si="1"/>
        <v>2953.125</v>
      </c>
      <c r="D1182" s="13">
        <f t="shared" si="2"/>
        <v>2898.88</v>
      </c>
      <c r="E1182" s="13" t="str">
        <f t="shared" si="3"/>
        <v>LONG</v>
      </c>
      <c r="F1182" s="3">
        <f t="shared" si="4"/>
        <v>0.01482734301</v>
      </c>
      <c r="G1182" s="4">
        <f t="shared" si="5"/>
        <v>1.460127155</v>
      </c>
      <c r="H1182" s="3">
        <f t="shared" si="6"/>
        <v>0.01482734301</v>
      </c>
      <c r="I1182" s="5">
        <f t="shared" si="7"/>
        <v>1.209974816</v>
      </c>
    </row>
    <row r="1183">
      <c r="A1183" s="12">
        <f>IFERROR(__xludf.DUMMYFUNCTION("""COMPUTED_VALUE"""),43979.66666666667)</f>
        <v>43979.66667</v>
      </c>
      <c r="B1183" s="13">
        <f>IFERROR(__xludf.DUMMYFUNCTION("""COMPUTED_VALUE"""),3029.73)</f>
        <v>3029.73</v>
      </c>
      <c r="C1183" s="13">
        <f t="shared" si="1"/>
        <v>2924.865</v>
      </c>
      <c r="D1183" s="13">
        <f t="shared" si="2"/>
        <v>2937.895</v>
      </c>
      <c r="E1183" s="13" t="str">
        <f t="shared" si="3"/>
        <v/>
      </c>
      <c r="F1183" s="3">
        <f t="shared" si="4"/>
        <v>-0.002107946629</v>
      </c>
      <c r="G1183" s="4">
        <f t="shared" si="5"/>
        <v>1.457049284</v>
      </c>
      <c r="H1183" s="5">
        <f t="shared" si="6"/>
        <v>0</v>
      </c>
      <c r="I1183" s="5">
        <f t="shared" si="7"/>
        <v>1.209974816</v>
      </c>
    </row>
    <row r="1184">
      <c r="A1184" s="12">
        <f>IFERROR(__xludf.DUMMYFUNCTION("""COMPUTED_VALUE"""),43980.66666666667)</f>
        <v>43980.66667</v>
      </c>
      <c r="B1184" s="13">
        <f>IFERROR(__xludf.DUMMYFUNCTION("""COMPUTED_VALUE"""),3044.31)</f>
        <v>3044.31</v>
      </c>
      <c r="C1184" s="13">
        <f t="shared" si="1"/>
        <v>2948.405</v>
      </c>
      <c r="D1184" s="13">
        <f t="shared" si="2"/>
        <v>2913.835</v>
      </c>
      <c r="E1184" s="13" t="str">
        <f t="shared" si="3"/>
        <v>LONG</v>
      </c>
      <c r="F1184" s="3">
        <f t="shared" si="4"/>
        <v>0.004812310008</v>
      </c>
      <c r="G1184" s="4">
        <f t="shared" si="5"/>
        <v>1.464061057</v>
      </c>
      <c r="H1184" s="3">
        <f t="shared" si="6"/>
        <v>0.004812310008</v>
      </c>
      <c r="I1184" s="5">
        <f t="shared" si="7"/>
        <v>1.21579759</v>
      </c>
    </row>
    <row r="1185">
      <c r="A1185" s="12">
        <f>IFERROR(__xludf.DUMMYFUNCTION("""COMPUTED_VALUE"""),43983.66666666667)</f>
        <v>43983.66667</v>
      </c>
      <c r="B1185" s="13">
        <f>IFERROR(__xludf.DUMMYFUNCTION("""COMPUTED_VALUE"""),3055.73)</f>
        <v>3055.73</v>
      </c>
      <c r="C1185" s="13">
        <f t="shared" si="1"/>
        <v>2959.715</v>
      </c>
      <c r="D1185" s="13">
        <f t="shared" si="2"/>
        <v>2927.64</v>
      </c>
      <c r="E1185" s="13" t="str">
        <f t="shared" si="3"/>
        <v>LONG</v>
      </c>
      <c r="F1185" s="3">
        <f t="shared" si="4"/>
        <v>0.003751260548</v>
      </c>
      <c r="G1185" s="4">
        <f t="shared" si="5"/>
        <v>1.469553132</v>
      </c>
      <c r="H1185" s="3">
        <f t="shared" si="6"/>
        <v>0.003751260548</v>
      </c>
      <c r="I1185" s="5">
        <f t="shared" si="7"/>
        <v>1.220358363</v>
      </c>
    </row>
    <row r="1186">
      <c r="A1186" s="12">
        <f>IFERROR(__xludf.DUMMYFUNCTION("""COMPUTED_VALUE"""),43984.66666666667)</f>
        <v>43984.66667</v>
      </c>
      <c r="B1186" s="13">
        <f>IFERROR(__xludf.DUMMYFUNCTION("""COMPUTED_VALUE"""),3080.82)</f>
        <v>3080.82</v>
      </c>
      <c r="C1186" s="13">
        <f t="shared" si="1"/>
        <v>3017.365</v>
      </c>
      <c r="D1186" s="13">
        <f t="shared" si="2"/>
        <v>2977.69</v>
      </c>
      <c r="E1186" s="13" t="str">
        <f t="shared" si="3"/>
        <v>LONG</v>
      </c>
      <c r="F1186" s="3">
        <f t="shared" si="4"/>
        <v>0.008210803965</v>
      </c>
      <c r="G1186" s="4">
        <f t="shared" si="5"/>
        <v>1.481619344</v>
      </c>
      <c r="H1186" s="3">
        <f t="shared" si="6"/>
        <v>0.008210803965</v>
      </c>
      <c r="I1186" s="5">
        <f t="shared" si="7"/>
        <v>1.230378487</v>
      </c>
    </row>
    <row r="1187">
      <c r="A1187" s="12">
        <f>IFERROR(__xludf.DUMMYFUNCTION("""COMPUTED_VALUE"""),43985.66666666667)</f>
        <v>43985.66667</v>
      </c>
      <c r="B1187" s="13">
        <f>IFERROR(__xludf.DUMMYFUNCTION("""COMPUTED_VALUE"""),3122.87)</f>
        <v>3122.87</v>
      </c>
      <c r="C1187" s="13">
        <f t="shared" si="1"/>
        <v>3022.905</v>
      </c>
      <c r="D1187" s="13">
        <f t="shared" si="2"/>
        <v>2973.015</v>
      </c>
      <c r="E1187" s="13" t="str">
        <f t="shared" si="3"/>
        <v>LONG</v>
      </c>
      <c r="F1187" s="3">
        <f t="shared" si="4"/>
        <v>0.01364896359</v>
      </c>
      <c r="G1187" s="4">
        <f t="shared" si="5"/>
        <v>1.501841913</v>
      </c>
      <c r="H1187" s="3">
        <f t="shared" si="6"/>
        <v>0.01364896359</v>
      </c>
      <c r="I1187" s="5">
        <f t="shared" si="7"/>
        <v>1.247171878</v>
      </c>
    </row>
    <row r="1188">
      <c r="A1188" s="12">
        <f>IFERROR(__xludf.DUMMYFUNCTION("""COMPUTED_VALUE"""),43986.66666666667)</f>
        <v>43986.66667</v>
      </c>
      <c r="B1188" s="13">
        <f>IFERROR(__xludf.DUMMYFUNCTION("""COMPUTED_VALUE"""),3112.35)</f>
        <v>3112.35</v>
      </c>
      <c r="C1188" s="13">
        <f t="shared" si="1"/>
        <v>3041.98</v>
      </c>
      <c r="D1188" s="13">
        <f t="shared" si="2"/>
        <v>2924.455</v>
      </c>
      <c r="E1188" s="13" t="str">
        <f t="shared" si="3"/>
        <v>LONG</v>
      </c>
      <c r="F1188" s="3">
        <f t="shared" si="4"/>
        <v>-0.003368696103</v>
      </c>
      <c r="G1188" s="4">
        <f t="shared" si="5"/>
        <v>1.496782664</v>
      </c>
      <c r="H1188" s="3">
        <f t="shared" si="6"/>
        <v>-0.003368696103</v>
      </c>
      <c r="I1188" s="5">
        <f t="shared" si="7"/>
        <v>1.242970535</v>
      </c>
    </row>
    <row r="1189">
      <c r="A1189" s="12">
        <f>IFERROR(__xludf.DUMMYFUNCTION("""COMPUTED_VALUE"""),43987.66666666667)</f>
        <v>43987.66667</v>
      </c>
      <c r="B1189" s="13">
        <f>IFERROR(__xludf.DUMMYFUNCTION("""COMPUTED_VALUE"""),3193.93)</f>
        <v>3193.93</v>
      </c>
      <c r="C1189" s="13">
        <f t="shared" si="1"/>
        <v>3071.22</v>
      </c>
      <c r="D1189" s="13">
        <f t="shared" si="2"/>
        <v>2996.62</v>
      </c>
      <c r="E1189" s="13" t="str">
        <f t="shared" si="3"/>
        <v>LONG</v>
      </c>
      <c r="F1189" s="3">
        <f t="shared" si="4"/>
        <v>0.02621170498</v>
      </c>
      <c r="G1189" s="4">
        <f t="shared" si="5"/>
        <v>1.53601589</v>
      </c>
      <c r="H1189" s="3">
        <f t="shared" si="6"/>
        <v>0.02621170498</v>
      </c>
      <c r="I1189" s="5">
        <f t="shared" si="7"/>
        <v>1.275550912</v>
      </c>
    </row>
    <row r="1190">
      <c r="A1190" s="12">
        <f>IFERROR(__xludf.DUMMYFUNCTION("""COMPUTED_VALUE"""),43990.66666666667)</f>
        <v>43990.66667</v>
      </c>
      <c r="B1190" s="13">
        <f>IFERROR(__xludf.DUMMYFUNCTION("""COMPUTED_VALUE"""),3232.39)</f>
        <v>3232.39</v>
      </c>
      <c r="C1190" s="13">
        <f t="shared" si="1"/>
        <v>3093.92</v>
      </c>
      <c r="D1190" s="13">
        <f t="shared" si="2"/>
        <v>3015.095</v>
      </c>
      <c r="E1190" s="13" t="str">
        <f t="shared" si="3"/>
        <v>LONG</v>
      </c>
      <c r="F1190" s="3">
        <f t="shared" si="4"/>
        <v>0.01204159139</v>
      </c>
      <c r="G1190" s="4">
        <f t="shared" si="5"/>
        <v>1.554511965</v>
      </c>
      <c r="H1190" s="3">
        <f t="shared" si="6"/>
        <v>0.01204159139</v>
      </c>
      <c r="I1190" s="5">
        <f t="shared" si="7"/>
        <v>1.290910575</v>
      </c>
    </row>
    <row r="1191">
      <c r="A1191" s="12">
        <f>IFERROR(__xludf.DUMMYFUNCTION("""COMPUTED_VALUE"""),43991.66666666667)</f>
        <v>43991.66667</v>
      </c>
      <c r="B1191" s="13">
        <f>IFERROR(__xludf.DUMMYFUNCTION("""COMPUTED_VALUE"""),3207.18)</f>
        <v>3207.18</v>
      </c>
      <c r="C1191" s="13">
        <f t="shared" si="1"/>
        <v>3099.475</v>
      </c>
      <c r="D1191" s="13">
        <f t="shared" si="2"/>
        <v>3021.96</v>
      </c>
      <c r="E1191" s="13" t="str">
        <f t="shared" si="3"/>
        <v>LONG</v>
      </c>
      <c r="F1191" s="3">
        <f t="shared" si="4"/>
        <v>-0.007799182648</v>
      </c>
      <c r="G1191" s="4">
        <f t="shared" si="5"/>
        <v>1.542388042</v>
      </c>
      <c r="H1191" s="3">
        <f t="shared" si="6"/>
        <v>-0.007799182648</v>
      </c>
      <c r="I1191" s="5">
        <f t="shared" si="7"/>
        <v>1.280842527</v>
      </c>
    </row>
    <row r="1192">
      <c r="A1192" s="12">
        <f>IFERROR(__xludf.DUMMYFUNCTION("""COMPUTED_VALUE"""),43992.66666666667)</f>
        <v>43992.66667</v>
      </c>
      <c r="B1192" s="13">
        <f>IFERROR(__xludf.DUMMYFUNCTION("""COMPUTED_VALUE"""),3190.14)</f>
        <v>3190.14</v>
      </c>
      <c r="C1192" s="13">
        <f t="shared" si="1"/>
        <v>3113.135</v>
      </c>
      <c r="D1192" s="13">
        <f t="shared" si="2"/>
        <v>3034.31</v>
      </c>
      <c r="E1192" s="13" t="str">
        <f t="shared" si="3"/>
        <v>LONG</v>
      </c>
      <c r="F1192" s="3">
        <f t="shared" si="4"/>
        <v>-0.005313078779</v>
      </c>
      <c r="G1192" s="4">
        <f t="shared" si="5"/>
        <v>1.534193213</v>
      </c>
      <c r="H1192" s="3">
        <f t="shared" si="6"/>
        <v>-0.005313078779</v>
      </c>
      <c r="I1192" s="5">
        <f t="shared" si="7"/>
        <v>1.27403731</v>
      </c>
    </row>
    <row r="1193">
      <c r="A1193" s="12">
        <f>IFERROR(__xludf.DUMMYFUNCTION("""COMPUTED_VALUE"""),43993.66666666667)</f>
        <v>43993.66667</v>
      </c>
      <c r="B1193" s="13">
        <f>IFERROR(__xludf.DUMMYFUNCTION("""COMPUTED_VALUE"""),3002.1)</f>
        <v>3002.1</v>
      </c>
      <c r="C1193" s="13">
        <f t="shared" si="1"/>
        <v>3015.915</v>
      </c>
      <c r="D1193" s="13">
        <f t="shared" si="2"/>
        <v>2932.745</v>
      </c>
      <c r="E1193" s="13" t="str">
        <f t="shared" si="3"/>
        <v>LONG</v>
      </c>
      <c r="F1193" s="3">
        <f t="shared" si="4"/>
        <v>-0.05894412157</v>
      </c>
      <c r="G1193" s="4">
        <f t="shared" si="5"/>
        <v>1.443761542</v>
      </c>
      <c r="H1193" s="3">
        <f t="shared" si="6"/>
        <v>-0.05894412157</v>
      </c>
      <c r="I1193" s="5">
        <f t="shared" si="7"/>
        <v>1.1989403</v>
      </c>
    </row>
    <row r="1194">
      <c r="A1194" s="12">
        <f>IFERROR(__xludf.DUMMYFUNCTION("""COMPUTED_VALUE"""),43994.66666666667)</f>
        <v>43994.66667</v>
      </c>
      <c r="B1194" s="13">
        <f>IFERROR(__xludf.DUMMYFUNCTION("""COMPUTED_VALUE"""),3041.31)</f>
        <v>3041.31</v>
      </c>
      <c r="C1194" s="13">
        <f t="shared" si="1"/>
        <v>3042.81</v>
      </c>
      <c r="D1194" s="13">
        <f t="shared" si="2"/>
        <v>2990.41</v>
      </c>
      <c r="E1194" s="13" t="str">
        <f t="shared" si="3"/>
        <v>LONG</v>
      </c>
      <c r="F1194" s="3">
        <f t="shared" si="4"/>
        <v>0.0130608574</v>
      </c>
      <c r="G1194" s="4">
        <f t="shared" si="5"/>
        <v>1.462618306</v>
      </c>
      <c r="H1194" s="3">
        <f t="shared" si="6"/>
        <v>0.0130608574</v>
      </c>
      <c r="I1194" s="5">
        <f t="shared" si="7"/>
        <v>1.214599488</v>
      </c>
    </row>
    <row r="1195">
      <c r="A1195" s="12">
        <f>IFERROR(__xludf.DUMMYFUNCTION("""COMPUTED_VALUE"""),43997.66666666667)</f>
        <v>43997.66667</v>
      </c>
      <c r="B1195" s="13">
        <f>IFERROR(__xludf.DUMMYFUNCTION("""COMPUTED_VALUE"""),3066.59)</f>
        <v>3066.59</v>
      </c>
      <c r="C1195" s="13">
        <f t="shared" si="1"/>
        <v>3061.16</v>
      </c>
      <c r="D1195" s="13">
        <f t="shared" si="2"/>
        <v>2989.51</v>
      </c>
      <c r="E1195" s="13" t="str">
        <f t="shared" si="3"/>
        <v>LONG</v>
      </c>
      <c r="F1195" s="3">
        <f t="shared" si="4"/>
        <v>0.008312207568</v>
      </c>
      <c r="G1195" s="4">
        <f t="shared" si="5"/>
        <v>1.474775893</v>
      </c>
      <c r="H1195" s="3">
        <f t="shared" si="6"/>
        <v>0.008312207568</v>
      </c>
      <c r="I1195" s="5">
        <f t="shared" si="7"/>
        <v>1.224695491</v>
      </c>
    </row>
    <row r="1196">
      <c r="A1196" s="12">
        <f>IFERROR(__xludf.DUMMYFUNCTION("""COMPUTED_VALUE"""),43998.66666666667)</f>
        <v>43998.66667</v>
      </c>
      <c r="B1196" s="13">
        <f>IFERROR(__xludf.DUMMYFUNCTION("""COMPUTED_VALUE"""),3124.74)</f>
        <v>3124.74</v>
      </c>
      <c r="C1196" s="13">
        <f t="shared" si="1"/>
        <v>3102.78</v>
      </c>
      <c r="D1196" s="13">
        <f t="shared" si="2"/>
        <v>2977.725</v>
      </c>
      <c r="E1196" s="13" t="str">
        <f t="shared" si="3"/>
        <v>LONG</v>
      </c>
      <c r="F1196" s="3">
        <f t="shared" si="4"/>
        <v>0.01896243058</v>
      </c>
      <c r="G1196" s="4">
        <f t="shared" si="5"/>
        <v>1.502741228</v>
      </c>
      <c r="H1196" s="3">
        <f t="shared" si="6"/>
        <v>0.01896243058</v>
      </c>
      <c r="I1196" s="5">
        <f t="shared" si="7"/>
        <v>1.247918695</v>
      </c>
    </row>
    <row r="1197">
      <c r="A1197" s="12">
        <f>IFERROR(__xludf.DUMMYFUNCTION("""COMPUTED_VALUE"""),43999.66666666667)</f>
        <v>43999.66667</v>
      </c>
      <c r="B1197" s="13">
        <f>IFERROR(__xludf.DUMMYFUNCTION("""COMPUTED_VALUE"""),3113.49)</f>
        <v>3113.49</v>
      </c>
      <c r="C1197" s="13">
        <f t="shared" si="1"/>
        <v>3118.18</v>
      </c>
      <c r="D1197" s="13">
        <f t="shared" si="2"/>
        <v>2978.115</v>
      </c>
      <c r="E1197" s="13" t="str">
        <f t="shared" si="3"/>
        <v>LONG</v>
      </c>
      <c r="F1197" s="3">
        <f t="shared" si="4"/>
        <v>-0.003600299545</v>
      </c>
      <c r="G1197" s="4">
        <f t="shared" si="5"/>
        <v>1.49733091</v>
      </c>
      <c r="H1197" s="3">
        <f t="shared" si="6"/>
        <v>-0.003600299545</v>
      </c>
      <c r="I1197" s="5">
        <f t="shared" si="7"/>
        <v>1.243425813</v>
      </c>
    </row>
    <row r="1198">
      <c r="A1198" s="12">
        <f>IFERROR(__xludf.DUMMYFUNCTION("""COMPUTED_VALUE"""),44000.66666666667)</f>
        <v>44000.66667</v>
      </c>
      <c r="B1198" s="13">
        <f>IFERROR(__xludf.DUMMYFUNCTION("""COMPUTED_VALUE"""),3115.34)</f>
        <v>3115.34</v>
      </c>
      <c r="C1198" s="13">
        <f t="shared" si="1"/>
        <v>3113.845</v>
      </c>
      <c r="D1198" s="13">
        <f t="shared" si="2"/>
        <v>2991.89</v>
      </c>
      <c r="E1198" s="13" t="str">
        <f t="shared" si="3"/>
        <v>LONG</v>
      </c>
      <c r="F1198" s="3">
        <f t="shared" si="4"/>
        <v>0.0005941885151</v>
      </c>
      <c r="G1198" s="4">
        <f t="shared" si="5"/>
        <v>1.498220606</v>
      </c>
      <c r="H1198" s="3">
        <f t="shared" si="6"/>
        <v>0.0005941885151</v>
      </c>
      <c r="I1198" s="5">
        <f t="shared" si="7"/>
        <v>1.244164643</v>
      </c>
    </row>
    <row r="1199">
      <c r="A1199" s="12">
        <f>IFERROR(__xludf.DUMMYFUNCTION("""COMPUTED_VALUE"""),44001.66666666667)</f>
        <v>44001.66667</v>
      </c>
      <c r="B1199" s="13">
        <f>IFERROR(__xludf.DUMMYFUNCTION("""COMPUTED_VALUE"""),3097.74)</f>
        <v>3097.74</v>
      </c>
      <c r="C1199" s="13">
        <f t="shared" si="1"/>
        <v>3145.835</v>
      </c>
      <c r="D1199" s="13">
        <f t="shared" si="2"/>
        <v>2973.08</v>
      </c>
      <c r="E1199" s="13" t="str">
        <f t="shared" si="3"/>
        <v>LONG</v>
      </c>
      <c r="F1199" s="3">
        <f t="shared" si="4"/>
        <v>-0.005649463622</v>
      </c>
      <c r="G1199" s="4">
        <f t="shared" si="5"/>
        <v>1.489756464</v>
      </c>
      <c r="H1199" s="3">
        <f t="shared" si="6"/>
        <v>-0.005649463622</v>
      </c>
      <c r="I1199" s="5">
        <f t="shared" si="7"/>
        <v>1.23713578</v>
      </c>
    </row>
    <row r="1200">
      <c r="A1200" s="12">
        <f>IFERROR(__xludf.DUMMYFUNCTION("""COMPUTED_VALUE"""),44004.66666666667)</f>
        <v>44004.66667</v>
      </c>
      <c r="B1200" s="13">
        <f>IFERROR(__xludf.DUMMYFUNCTION("""COMPUTED_VALUE"""),3117.86)</f>
        <v>3117.86</v>
      </c>
      <c r="C1200" s="13">
        <f t="shared" si="1"/>
        <v>3175.125</v>
      </c>
      <c r="D1200" s="13">
        <f t="shared" si="2"/>
        <v>2999.525</v>
      </c>
      <c r="E1200" s="13" t="str">
        <f t="shared" si="3"/>
        <v>LONG</v>
      </c>
      <c r="F1200" s="3">
        <f t="shared" si="4"/>
        <v>0.006495057687</v>
      </c>
      <c r="G1200" s="4">
        <f t="shared" si="5"/>
        <v>1.499432518</v>
      </c>
      <c r="H1200" s="3">
        <f t="shared" si="6"/>
        <v>0.006495057687</v>
      </c>
      <c r="I1200" s="5">
        <f t="shared" si="7"/>
        <v>1.245171048</v>
      </c>
    </row>
    <row r="1201">
      <c r="A1201" s="12">
        <f>IFERROR(__xludf.DUMMYFUNCTION("""COMPUTED_VALUE"""),44005.66666666667)</f>
        <v>44005.66667</v>
      </c>
      <c r="B1201" s="13">
        <f>IFERROR(__xludf.DUMMYFUNCTION("""COMPUTED_VALUE"""),3131.29)</f>
        <v>3131.29</v>
      </c>
      <c r="C1201" s="13">
        <f t="shared" si="1"/>
        <v>3169.235</v>
      </c>
      <c r="D1201" s="13">
        <f t="shared" si="2"/>
        <v>3030.545</v>
      </c>
      <c r="E1201" s="13" t="str">
        <f t="shared" si="3"/>
        <v>LONG</v>
      </c>
      <c r="F1201" s="3">
        <f t="shared" si="4"/>
        <v>0.004307441643</v>
      </c>
      <c r="G1201" s="4">
        <f t="shared" si="5"/>
        <v>1.505891236</v>
      </c>
      <c r="H1201" s="3">
        <f t="shared" si="6"/>
        <v>0.004307441643</v>
      </c>
      <c r="I1201" s="5">
        <f t="shared" si="7"/>
        <v>1.25053455</v>
      </c>
    </row>
    <row r="1202">
      <c r="A1202" s="12">
        <f>IFERROR(__xludf.DUMMYFUNCTION("""COMPUTED_VALUE"""),44006.66666666667)</f>
        <v>44006.66667</v>
      </c>
      <c r="B1202" s="13">
        <f>IFERROR(__xludf.DUMMYFUNCTION("""COMPUTED_VALUE"""),3050.33)</f>
        <v>3050.33</v>
      </c>
      <c r="C1202" s="13">
        <f t="shared" si="1"/>
        <v>3120.235</v>
      </c>
      <c r="D1202" s="13">
        <f t="shared" si="2"/>
        <v>2990.325</v>
      </c>
      <c r="E1202" s="13" t="str">
        <f t="shared" si="3"/>
        <v>LONG</v>
      </c>
      <c r="F1202" s="3">
        <f t="shared" si="4"/>
        <v>-0.02585515874</v>
      </c>
      <c r="G1202" s="4">
        <f t="shared" si="5"/>
        <v>1.466956179</v>
      </c>
      <c r="H1202" s="3">
        <f t="shared" si="6"/>
        <v>-0.02585515874</v>
      </c>
      <c r="I1202" s="5">
        <f t="shared" si="7"/>
        <v>1.218201781</v>
      </c>
    </row>
    <row r="1203">
      <c r="A1203" s="12">
        <f>IFERROR(__xludf.DUMMYFUNCTION("""COMPUTED_VALUE"""),44007.66666666667)</f>
        <v>44007.66667</v>
      </c>
      <c r="B1203" s="13">
        <f>IFERROR(__xludf.DUMMYFUNCTION("""COMPUTED_VALUE"""),3083.76)</f>
        <v>3083.76</v>
      </c>
      <c r="C1203" s="13">
        <f t="shared" si="1"/>
        <v>3042.93</v>
      </c>
      <c r="D1203" s="13">
        <f t="shared" si="2"/>
        <v>2976.94</v>
      </c>
      <c r="E1203" s="13" t="str">
        <f t="shared" si="3"/>
        <v>LONG</v>
      </c>
      <c r="F1203" s="3">
        <f t="shared" si="4"/>
        <v>0.01095946996</v>
      </c>
      <c r="G1203" s="4">
        <f t="shared" si="5"/>
        <v>1.483033241</v>
      </c>
      <c r="H1203" s="3">
        <f t="shared" si="6"/>
        <v>0.01095946996</v>
      </c>
      <c r="I1203" s="5">
        <f t="shared" si="7"/>
        <v>1.231552626</v>
      </c>
    </row>
    <row r="1204">
      <c r="A1204" s="12">
        <f>IFERROR(__xludf.DUMMYFUNCTION("""COMPUTED_VALUE"""),44008.66666666667)</f>
        <v>44008.66667</v>
      </c>
      <c r="B1204" s="13">
        <f>IFERROR(__xludf.DUMMYFUNCTION("""COMPUTED_VALUE"""),3009.05)</f>
        <v>3009.05</v>
      </c>
      <c r="C1204" s="13">
        <f t="shared" si="1"/>
        <v>3025.18</v>
      </c>
      <c r="D1204" s="13">
        <f t="shared" si="2"/>
        <v>2914.525</v>
      </c>
      <c r="E1204" s="13" t="str">
        <f t="shared" si="3"/>
        <v>LONG</v>
      </c>
      <c r="F1204" s="3">
        <f t="shared" si="4"/>
        <v>-0.02422691779</v>
      </c>
      <c r="G1204" s="4">
        <f t="shared" si="5"/>
        <v>1.447103917</v>
      </c>
      <c r="H1204" s="3">
        <f t="shared" si="6"/>
        <v>-0.02422691779</v>
      </c>
      <c r="I1204" s="5">
        <f t="shared" si="7"/>
        <v>1.201715902</v>
      </c>
    </row>
    <row r="1205">
      <c r="A1205" s="12">
        <f>IFERROR(__xludf.DUMMYFUNCTION("""COMPUTED_VALUE"""),44011.66666666667)</f>
        <v>44011.66667</v>
      </c>
      <c r="B1205" s="13">
        <f>IFERROR(__xludf.DUMMYFUNCTION("""COMPUTED_VALUE"""),3053.24)</f>
        <v>3053.24</v>
      </c>
      <c r="C1205" s="13">
        <f t="shared" si="1"/>
        <v>3059.915</v>
      </c>
      <c r="D1205" s="13">
        <f t="shared" si="2"/>
        <v>2952.87</v>
      </c>
      <c r="E1205" s="13" t="str">
        <f t="shared" si="3"/>
        <v>LONG</v>
      </c>
      <c r="F1205" s="3">
        <f t="shared" si="4"/>
        <v>0.01468569814</v>
      </c>
      <c r="G1205" s="4">
        <f t="shared" si="5"/>
        <v>1.468355648</v>
      </c>
      <c r="H1205" s="3">
        <f t="shared" si="6"/>
        <v>0.01468569814</v>
      </c>
      <c r="I1205" s="5">
        <f t="shared" si="7"/>
        <v>1.219363939</v>
      </c>
    </row>
    <row r="1206">
      <c r="A1206" s="12">
        <f>IFERROR(__xludf.DUMMYFUNCTION("""COMPUTED_VALUE"""),44012.66666666667)</f>
        <v>44012.66667</v>
      </c>
      <c r="B1206" s="13">
        <f>IFERROR(__xludf.DUMMYFUNCTION("""COMPUTED_VALUE"""),3100.29)</f>
        <v>3100.29</v>
      </c>
      <c r="C1206" s="13">
        <f t="shared" si="1"/>
        <v>3112.515</v>
      </c>
      <c r="D1206" s="13">
        <f t="shared" si="2"/>
        <v>2981.995</v>
      </c>
      <c r="E1206" s="13" t="str">
        <f t="shared" si="3"/>
        <v>LONG</v>
      </c>
      <c r="F1206" s="3">
        <f t="shared" si="4"/>
        <v>0.01540985969</v>
      </c>
      <c r="G1206" s="4">
        <f t="shared" si="5"/>
        <v>1.490982802</v>
      </c>
      <c r="H1206" s="3">
        <f t="shared" si="6"/>
        <v>0.01540985969</v>
      </c>
      <c r="I1206" s="5">
        <f t="shared" si="7"/>
        <v>1.238154166</v>
      </c>
    </row>
    <row r="1207">
      <c r="A1207" s="12">
        <f>IFERROR(__xludf.DUMMYFUNCTION("""COMPUTED_VALUE"""),44013.66666666667)</f>
        <v>44013.66667</v>
      </c>
      <c r="B1207" s="13">
        <f>IFERROR(__xludf.DUMMYFUNCTION("""COMPUTED_VALUE"""),3115.86)</f>
        <v>3115.86</v>
      </c>
      <c r="C1207" s="13">
        <f t="shared" si="1"/>
        <v>3114.675</v>
      </c>
      <c r="D1207" s="13">
        <f t="shared" si="2"/>
        <v>3034.885</v>
      </c>
      <c r="E1207" s="13" t="str">
        <f t="shared" si="3"/>
        <v>LONG</v>
      </c>
      <c r="F1207" s="3">
        <f t="shared" si="4"/>
        <v>0.005022110835</v>
      </c>
      <c r="G1207" s="4">
        <f t="shared" si="5"/>
        <v>1.498470683</v>
      </c>
      <c r="H1207" s="3">
        <f t="shared" si="6"/>
        <v>0.005022110835</v>
      </c>
      <c r="I1207" s="5">
        <f t="shared" si="7"/>
        <v>1.244372314</v>
      </c>
    </row>
    <row r="1208">
      <c r="A1208" s="12">
        <f>IFERROR(__xludf.DUMMYFUNCTION("""COMPUTED_VALUE"""),44014.66666666667)</f>
        <v>44014.66667</v>
      </c>
      <c r="B1208" s="13">
        <f>IFERROR(__xludf.DUMMYFUNCTION("""COMPUTED_VALUE"""),3130.01)</f>
        <v>3130.01</v>
      </c>
      <c r="C1208" s="13">
        <f t="shared" si="1"/>
        <v>3122.675</v>
      </c>
      <c r="D1208" s="13">
        <f t="shared" si="2"/>
        <v>3026.475</v>
      </c>
      <c r="E1208" s="13" t="str">
        <f t="shared" si="3"/>
        <v>LONG</v>
      </c>
      <c r="F1208" s="3">
        <f t="shared" si="4"/>
        <v>0.004541282343</v>
      </c>
      <c r="G1208" s="4">
        <f t="shared" si="5"/>
        <v>1.505275662</v>
      </c>
      <c r="H1208" s="3">
        <f t="shared" si="6"/>
        <v>0.004541282343</v>
      </c>
      <c r="I1208" s="5">
        <f t="shared" si="7"/>
        <v>1.25002336</v>
      </c>
    </row>
    <row r="1209">
      <c r="A1209" s="12">
        <f>IFERROR(__xludf.DUMMYFUNCTION("""COMPUTED_VALUE"""),44018.66666666667)</f>
        <v>44018.66667</v>
      </c>
      <c r="B1209" s="13">
        <f>IFERROR(__xludf.DUMMYFUNCTION("""COMPUTED_VALUE"""),3179.72)</f>
        <v>3179.72</v>
      </c>
      <c r="C1209" s="13">
        <f t="shared" si="1"/>
        <v>3138.73</v>
      </c>
      <c r="D1209" s="13">
        <f t="shared" si="2"/>
        <v>3075.665</v>
      </c>
      <c r="E1209" s="13" t="str">
        <f t="shared" si="3"/>
        <v>LONG</v>
      </c>
      <c r="F1209" s="3">
        <f t="shared" si="4"/>
        <v>0.0158817384</v>
      </c>
      <c r="G1209" s="4">
        <f t="shared" si="5"/>
        <v>1.529182056</v>
      </c>
      <c r="H1209" s="3">
        <f t="shared" si="6"/>
        <v>0.0158817384</v>
      </c>
      <c r="I1209" s="5">
        <f t="shared" si="7"/>
        <v>1.269875904</v>
      </c>
    </row>
    <row r="1210">
      <c r="A1210" s="12">
        <f>IFERROR(__xludf.DUMMYFUNCTION("""COMPUTED_VALUE"""),44019.66666666667)</f>
        <v>44019.66667</v>
      </c>
      <c r="B1210" s="13">
        <f>IFERROR(__xludf.DUMMYFUNCTION("""COMPUTED_VALUE"""),3145.32)</f>
        <v>3145.32</v>
      </c>
      <c r="C1210" s="13">
        <f t="shared" si="1"/>
        <v>3131.59</v>
      </c>
      <c r="D1210" s="13">
        <f t="shared" si="2"/>
        <v>3046.915</v>
      </c>
      <c r="E1210" s="13" t="str">
        <f t="shared" si="3"/>
        <v>LONG</v>
      </c>
      <c r="F1210" s="3">
        <f t="shared" si="4"/>
        <v>-0.01081856264</v>
      </c>
      <c r="G1210" s="4">
        <f t="shared" si="5"/>
        <v>1.512638504</v>
      </c>
      <c r="H1210" s="3">
        <f t="shared" si="6"/>
        <v>-0.01081856264</v>
      </c>
      <c r="I1210" s="5">
        <f t="shared" si="7"/>
        <v>1.256137672</v>
      </c>
    </row>
    <row r="1211">
      <c r="A1211" s="12">
        <f>IFERROR(__xludf.DUMMYFUNCTION("""COMPUTED_VALUE"""),44020.66666666667)</f>
        <v>44020.66667</v>
      </c>
      <c r="B1211" s="13">
        <f>IFERROR(__xludf.DUMMYFUNCTION("""COMPUTED_VALUE"""),3169.94)</f>
        <v>3169.94</v>
      </c>
      <c r="C1211" s="13">
        <f t="shared" si="1"/>
        <v>3150.615</v>
      </c>
      <c r="D1211" s="13">
        <f t="shared" si="2"/>
        <v>3062.695</v>
      </c>
      <c r="E1211" s="13" t="str">
        <f t="shared" si="3"/>
        <v>LONG</v>
      </c>
      <c r="F1211" s="3">
        <f t="shared" si="4"/>
        <v>0.007827502448</v>
      </c>
      <c r="G1211" s="4">
        <f t="shared" si="5"/>
        <v>1.524478686</v>
      </c>
      <c r="H1211" s="3">
        <f t="shared" si="6"/>
        <v>0.007827502448</v>
      </c>
      <c r="I1211" s="5">
        <f t="shared" si="7"/>
        <v>1.265970092</v>
      </c>
    </row>
    <row r="1212">
      <c r="A1212" s="12">
        <f>IFERROR(__xludf.DUMMYFUNCTION("""COMPUTED_VALUE"""),44021.66666666667)</f>
        <v>44021.66667</v>
      </c>
      <c r="B1212" s="13">
        <f>IFERROR(__xludf.DUMMYFUNCTION("""COMPUTED_VALUE"""),3152.05)</f>
        <v>3152.05</v>
      </c>
      <c r="C1212" s="13">
        <f t="shared" si="1"/>
        <v>3101.19</v>
      </c>
      <c r="D1212" s="13">
        <f t="shared" si="2"/>
        <v>3071.91</v>
      </c>
      <c r="E1212" s="13" t="str">
        <f t="shared" si="3"/>
        <v>LONG</v>
      </c>
      <c r="F1212" s="3">
        <f t="shared" si="4"/>
        <v>-0.005643639943</v>
      </c>
      <c r="G1212" s="4">
        <f t="shared" si="5"/>
        <v>1.515875077</v>
      </c>
      <c r="H1212" s="3">
        <f t="shared" si="6"/>
        <v>-0.005643639943</v>
      </c>
      <c r="I1212" s="5">
        <f t="shared" si="7"/>
        <v>1.258825413</v>
      </c>
    </row>
    <row r="1213">
      <c r="A1213" s="12">
        <f>IFERROR(__xludf.DUMMYFUNCTION("""COMPUTED_VALUE"""),44022.66666666667)</f>
        <v>44022.66667</v>
      </c>
      <c r="B1213" s="13">
        <f>IFERROR(__xludf.DUMMYFUNCTION("""COMPUTED_VALUE"""),3185.04)</f>
        <v>3185.04</v>
      </c>
      <c r="C1213" s="13">
        <f t="shared" si="1"/>
        <v>3134.4</v>
      </c>
      <c r="D1213" s="13">
        <f t="shared" si="2"/>
        <v>3110.585</v>
      </c>
      <c r="E1213" s="13" t="str">
        <f t="shared" si="3"/>
        <v>LONG</v>
      </c>
      <c r="F1213" s="3">
        <f t="shared" si="4"/>
        <v>0.01046620453</v>
      </c>
      <c r="G1213" s="4">
        <f t="shared" si="5"/>
        <v>1.531740536</v>
      </c>
      <c r="H1213" s="3">
        <f t="shared" si="6"/>
        <v>0.01046620453</v>
      </c>
      <c r="I1213" s="5">
        <f t="shared" si="7"/>
        <v>1.272000537</v>
      </c>
    </row>
    <row r="1214">
      <c r="A1214" s="12">
        <f>IFERROR(__xludf.DUMMYFUNCTION("""COMPUTED_VALUE"""),44025.66666666667)</f>
        <v>44025.66667</v>
      </c>
      <c r="B1214" s="13">
        <f>IFERROR(__xludf.DUMMYFUNCTION("""COMPUTED_VALUE"""),3155.22)</f>
        <v>3155.22</v>
      </c>
      <c r="C1214" s="13">
        <f t="shared" si="1"/>
        <v>3082.135</v>
      </c>
      <c r="D1214" s="13">
        <f t="shared" si="2"/>
        <v>3092.475</v>
      </c>
      <c r="E1214" s="13" t="str">
        <f t="shared" si="3"/>
        <v/>
      </c>
      <c r="F1214" s="3">
        <f t="shared" si="4"/>
        <v>-0.00936251978</v>
      </c>
      <c r="G1214" s="4">
        <f t="shared" si="5"/>
        <v>1.517399584</v>
      </c>
      <c r="H1214" s="5">
        <f t="shared" si="6"/>
        <v>0</v>
      </c>
      <c r="I1214" s="5">
        <f t="shared" si="7"/>
        <v>1.272000537</v>
      </c>
    </row>
    <row r="1215">
      <c r="A1215" s="12">
        <f>IFERROR(__xludf.DUMMYFUNCTION("""COMPUTED_VALUE"""),44026.66666666667)</f>
        <v>44026.66667</v>
      </c>
      <c r="B1215" s="13">
        <f>IFERROR(__xludf.DUMMYFUNCTION("""COMPUTED_VALUE"""),3197.52)</f>
        <v>3197.52</v>
      </c>
      <c r="C1215" s="13">
        <f t="shared" si="1"/>
        <v>3125.38</v>
      </c>
      <c r="D1215" s="13">
        <f t="shared" si="2"/>
        <v>3120.915</v>
      </c>
      <c r="E1215" s="13" t="str">
        <f t="shared" si="3"/>
        <v>LONG</v>
      </c>
      <c r="F1215" s="3">
        <f t="shared" si="4"/>
        <v>0.01340635518</v>
      </c>
      <c r="G1215" s="4">
        <f t="shared" si="5"/>
        <v>1.537742382</v>
      </c>
      <c r="H1215" s="3">
        <f t="shared" si="6"/>
        <v>0.01340635518</v>
      </c>
      <c r="I1215" s="5">
        <f t="shared" si="7"/>
        <v>1.289053428</v>
      </c>
    </row>
    <row r="1216">
      <c r="A1216" s="12">
        <f>IFERROR(__xludf.DUMMYFUNCTION("""COMPUTED_VALUE"""),44027.66666666667)</f>
        <v>44027.66667</v>
      </c>
      <c r="B1216" s="13">
        <f>IFERROR(__xludf.DUMMYFUNCTION("""COMPUTED_VALUE"""),3226.56)</f>
        <v>3226.56</v>
      </c>
      <c r="C1216" s="13">
        <f t="shared" si="1"/>
        <v>3163.425</v>
      </c>
      <c r="D1216" s="13">
        <f t="shared" si="2"/>
        <v>3141.145</v>
      </c>
      <c r="E1216" s="13" t="str">
        <f t="shared" si="3"/>
        <v>LONG</v>
      </c>
      <c r="F1216" s="3">
        <f t="shared" si="4"/>
        <v>0.00908203858</v>
      </c>
      <c r="G1216" s="4">
        <f t="shared" si="5"/>
        <v>1.551708218</v>
      </c>
      <c r="H1216" s="3">
        <f t="shared" si="6"/>
        <v>0.00908203858</v>
      </c>
      <c r="I1216" s="5">
        <f t="shared" si="7"/>
        <v>1.300760661</v>
      </c>
    </row>
    <row r="1217">
      <c r="A1217" s="12">
        <f>IFERROR(__xludf.DUMMYFUNCTION("""COMPUTED_VALUE"""),44028.66666666667)</f>
        <v>44028.66667</v>
      </c>
      <c r="B1217" s="13">
        <f>IFERROR(__xludf.DUMMYFUNCTION("""COMPUTED_VALUE"""),3215.57)</f>
        <v>3215.57</v>
      </c>
      <c r="C1217" s="13">
        <f t="shared" si="1"/>
        <v>3165.715</v>
      </c>
      <c r="D1217" s="13">
        <f t="shared" si="2"/>
        <v>3148.195</v>
      </c>
      <c r="E1217" s="13" t="str">
        <f t="shared" si="3"/>
        <v>LONG</v>
      </c>
      <c r="F1217" s="3">
        <f t="shared" si="4"/>
        <v>-0.003406104334</v>
      </c>
      <c r="G1217" s="4">
        <f t="shared" si="5"/>
        <v>1.546422938</v>
      </c>
      <c r="H1217" s="3">
        <f t="shared" si="6"/>
        <v>-0.003406104334</v>
      </c>
      <c r="I1217" s="5">
        <f t="shared" si="7"/>
        <v>1.296330135</v>
      </c>
    </row>
    <row r="1218">
      <c r="A1218" s="12">
        <f>IFERROR(__xludf.DUMMYFUNCTION("""COMPUTED_VALUE"""),44029.66666666667)</f>
        <v>44029.66667</v>
      </c>
      <c r="B1218" s="13">
        <f>IFERROR(__xludf.DUMMYFUNCTION("""COMPUTED_VALUE"""),3224.73)</f>
        <v>3224.73</v>
      </c>
      <c r="C1218" s="13">
        <f t="shared" si="1"/>
        <v>3177.37</v>
      </c>
      <c r="D1218" s="13">
        <f t="shared" si="2"/>
        <v>3173.8</v>
      </c>
      <c r="E1218" s="13" t="str">
        <f t="shared" si="3"/>
        <v>LONG</v>
      </c>
      <c r="F1218" s="3">
        <f t="shared" si="4"/>
        <v>0.002848639588</v>
      </c>
      <c r="G1218" s="4">
        <f t="shared" si="5"/>
        <v>1.550828139</v>
      </c>
      <c r="H1218" s="3">
        <f t="shared" si="6"/>
        <v>0.002848639588</v>
      </c>
      <c r="I1218" s="5">
        <f t="shared" si="7"/>
        <v>1.300022912</v>
      </c>
    </row>
    <row r="1219">
      <c r="A1219" s="12">
        <f>IFERROR(__xludf.DUMMYFUNCTION("""COMPUTED_VALUE"""),44032.66666666667)</f>
        <v>44032.66667</v>
      </c>
      <c r="B1219" s="13">
        <f>IFERROR(__xludf.DUMMYFUNCTION("""COMPUTED_VALUE"""),3251.84)</f>
        <v>3251.84</v>
      </c>
      <c r="C1219" s="13">
        <f t="shared" si="1"/>
        <v>3215.78</v>
      </c>
      <c r="D1219" s="13">
        <f t="shared" si="2"/>
        <v>3182.095</v>
      </c>
      <c r="E1219" s="13" t="str">
        <f t="shared" si="3"/>
        <v>LONG</v>
      </c>
      <c r="F1219" s="3">
        <f t="shared" si="4"/>
        <v>0.008406905384</v>
      </c>
      <c r="G1219" s="4">
        <f t="shared" si="5"/>
        <v>1.563865805</v>
      </c>
      <c r="H1219" s="3">
        <f t="shared" si="6"/>
        <v>0.008406905384</v>
      </c>
      <c r="I1219" s="5">
        <f t="shared" si="7"/>
        <v>1.310952082</v>
      </c>
    </row>
    <row r="1220">
      <c r="A1220" s="12">
        <f>IFERROR(__xludf.DUMMYFUNCTION("""COMPUTED_VALUE"""),44033.66666666667)</f>
        <v>44033.66667</v>
      </c>
      <c r="B1220" s="13">
        <f>IFERROR(__xludf.DUMMYFUNCTION("""COMPUTED_VALUE"""),3257.3)</f>
        <v>3257.3</v>
      </c>
      <c r="C1220" s="13">
        <f t="shared" si="1"/>
        <v>3201.31</v>
      </c>
      <c r="D1220" s="13">
        <f t="shared" si="2"/>
        <v>3225.615</v>
      </c>
      <c r="E1220" s="13" t="str">
        <f t="shared" si="3"/>
        <v/>
      </c>
      <c r="F1220" s="3">
        <f t="shared" si="4"/>
        <v>0.0016790494</v>
      </c>
      <c r="G1220" s="4">
        <f t="shared" si="5"/>
        <v>1.566491613</v>
      </c>
      <c r="H1220" s="5">
        <f t="shared" si="6"/>
        <v>0</v>
      </c>
      <c r="I1220" s="5">
        <f t="shared" si="7"/>
        <v>1.310952082</v>
      </c>
    </row>
    <row r="1221">
      <c r="A1221" s="12">
        <f>IFERROR(__xludf.DUMMYFUNCTION("""COMPUTED_VALUE"""),44034.66666666667)</f>
        <v>44034.66667</v>
      </c>
      <c r="B1221" s="13">
        <f>IFERROR(__xludf.DUMMYFUNCTION("""COMPUTED_VALUE"""),3276.02)</f>
        <v>3276.02</v>
      </c>
      <c r="C1221" s="13">
        <f t="shared" si="1"/>
        <v>3222.98</v>
      </c>
      <c r="D1221" s="13">
        <f t="shared" si="2"/>
        <v>3254.205</v>
      </c>
      <c r="E1221" s="13" t="str">
        <f t="shared" si="3"/>
        <v/>
      </c>
      <c r="F1221" s="3">
        <f t="shared" si="4"/>
        <v>0.005747091149</v>
      </c>
      <c r="G1221" s="4">
        <f t="shared" si="5"/>
        <v>1.575494383</v>
      </c>
      <c r="H1221" s="5">
        <f t="shared" si="6"/>
        <v>0</v>
      </c>
      <c r="I1221" s="5">
        <f t="shared" si="7"/>
        <v>1.310952082</v>
      </c>
    </row>
    <row r="1222">
      <c r="A1222" s="12">
        <f>IFERROR(__xludf.DUMMYFUNCTION("""COMPUTED_VALUE"""),44035.66666666667)</f>
        <v>44035.66667</v>
      </c>
      <c r="B1222" s="13">
        <f>IFERROR(__xludf.DUMMYFUNCTION("""COMPUTED_VALUE"""),3235.66)</f>
        <v>3235.66</v>
      </c>
      <c r="C1222" s="13">
        <f t="shared" si="1"/>
        <v>3193.855</v>
      </c>
      <c r="D1222" s="13">
        <f t="shared" si="2"/>
        <v>3221.42</v>
      </c>
      <c r="E1222" s="13" t="str">
        <f t="shared" si="3"/>
        <v/>
      </c>
      <c r="F1222" s="3">
        <f t="shared" si="4"/>
        <v>-0.01231982711</v>
      </c>
      <c r="G1222" s="4">
        <f t="shared" si="5"/>
        <v>1.556084564</v>
      </c>
      <c r="H1222" s="5">
        <f t="shared" si="6"/>
        <v>0</v>
      </c>
      <c r="I1222" s="5">
        <f t="shared" si="7"/>
        <v>1.310952082</v>
      </c>
    </row>
    <row r="1223">
      <c r="A1223" s="12">
        <f>IFERROR(__xludf.DUMMYFUNCTION("""COMPUTED_VALUE"""),44036.66666666667)</f>
        <v>44036.66667</v>
      </c>
      <c r="B1223" s="13">
        <f>IFERROR(__xludf.DUMMYFUNCTION("""COMPUTED_VALUE"""),3215.63)</f>
        <v>3215.63</v>
      </c>
      <c r="C1223" s="13">
        <f t="shared" si="1"/>
        <v>3200.335</v>
      </c>
      <c r="D1223" s="13">
        <f t="shared" si="2"/>
        <v>3202.885</v>
      </c>
      <c r="E1223" s="13" t="str">
        <f t="shared" si="3"/>
        <v/>
      </c>
      <c r="F1223" s="3">
        <f t="shared" si="4"/>
        <v>-0.006190390832</v>
      </c>
      <c r="G1223" s="4">
        <f t="shared" si="5"/>
        <v>1.546451793</v>
      </c>
      <c r="H1223" s="5">
        <f t="shared" si="6"/>
        <v>0</v>
      </c>
      <c r="I1223" s="5">
        <f t="shared" si="7"/>
        <v>1.310952082</v>
      </c>
    </row>
    <row r="1224">
      <c r="A1224" s="12">
        <f>IFERROR(__xludf.DUMMYFUNCTION("""COMPUTED_VALUE"""),44039.66666666667)</f>
        <v>44039.66667</v>
      </c>
      <c r="B1224" s="13">
        <f>IFERROR(__xludf.DUMMYFUNCTION("""COMPUTED_VALUE"""),3239.41)</f>
        <v>3239.41</v>
      </c>
      <c r="C1224" s="13">
        <f t="shared" si="1"/>
        <v>3197.315</v>
      </c>
      <c r="D1224" s="13">
        <f t="shared" si="2"/>
        <v>3120.755</v>
      </c>
      <c r="E1224" s="13" t="str">
        <f t="shared" si="3"/>
        <v>LONG</v>
      </c>
      <c r="F1224" s="3">
        <f t="shared" si="4"/>
        <v>0.007395129415</v>
      </c>
      <c r="G1224" s="4">
        <f t="shared" si="5"/>
        <v>1.557888004</v>
      </c>
      <c r="H1224" s="3">
        <f t="shared" si="6"/>
        <v>0.007395129415</v>
      </c>
      <c r="I1224" s="5">
        <f t="shared" si="7"/>
        <v>1.320646742</v>
      </c>
    </row>
    <row r="1225">
      <c r="A1225" s="12">
        <f>IFERROR(__xludf.DUMMYFUNCTION("""COMPUTED_VALUE"""),44040.66666666667)</f>
        <v>44040.66667</v>
      </c>
      <c r="B1225" s="13">
        <f>IFERROR(__xludf.DUMMYFUNCTION("""COMPUTED_VALUE"""),3218.44)</f>
        <v>3218.44</v>
      </c>
      <c r="C1225" s="13">
        <f t="shared" si="1"/>
        <v>3207.98</v>
      </c>
      <c r="D1225" s="13">
        <f t="shared" si="2"/>
        <v>3129.875</v>
      </c>
      <c r="E1225" s="13" t="str">
        <f t="shared" si="3"/>
        <v>LONG</v>
      </c>
      <c r="F1225" s="3">
        <f t="shared" si="4"/>
        <v>-0.006473401021</v>
      </c>
      <c r="G1225" s="4">
        <f t="shared" si="5"/>
        <v>1.54780317</v>
      </c>
      <c r="H1225" s="3">
        <f t="shared" si="6"/>
        <v>-0.006473401021</v>
      </c>
      <c r="I1225" s="5">
        <f t="shared" si="7"/>
        <v>1.312097666</v>
      </c>
    </row>
    <row r="1226">
      <c r="A1226" s="12">
        <f>IFERROR(__xludf.DUMMYFUNCTION("""COMPUTED_VALUE"""),44041.66666666667)</f>
        <v>44041.66667</v>
      </c>
      <c r="B1226" s="13">
        <f>IFERROR(__xludf.DUMMYFUNCTION("""COMPUTED_VALUE"""),3258.44)</f>
        <v>3258.44</v>
      </c>
      <c r="C1226" s="13">
        <f t="shared" si="1"/>
        <v>3242.5</v>
      </c>
      <c r="D1226" s="13">
        <f t="shared" si="2"/>
        <v>3162.515</v>
      </c>
      <c r="E1226" s="13" t="str">
        <f t="shared" si="3"/>
        <v>LONG</v>
      </c>
      <c r="F1226" s="3">
        <f t="shared" si="4"/>
        <v>0.01242838145</v>
      </c>
      <c r="G1226" s="4">
        <f t="shared" si="5"/>
        <v>1.567039858</v>
      </c>
      <c r="H1226" s="3">
        <f t="shared" si="6"/>
        <v>0.01242838145</v>
      </c>
      <c r="I1226" s="5">
        <f t="shared" si="7"/>
        <v>1.328404916</v>
      </c>
    </row>
    <row r="1227">
      <c r="A1227" s="12">
        <f>IFERROR(__xludf.DUMMYFUNCTION("""COMPUTED_VALUE"""),44042.66666666667)</f>
        <v>44042.66667</v>
      </c>
      <c r="B1227" s="13">
        <f>IFERROR(__xludf.DUMMYFUNCTION("""COMPUTED_VALUE"""),3246.22)</f>
        <v>3246.22</v>
      </c>
      <c r="C1227" s="13">
        <f t="shared" si="1"/>
        <v>3230.895</v>
      </c>
      <c r="D1227" s="13">
        <f t="shared" si="2"/>
        <v>3185.48</v>
      </c>
      <c r="E1227" s="13" t="str">
        <f t="shared" si="3"/>
        <v>LONG</v>
      </c>
      <c r="F1227" s="3">
        <f t="shared" si="4"/>
        <v>-0.003750260861</v>
      </c>
      <c r="G1227" s="4">
        <f t="shared" si="5"/>
        <v>1.56116305</v>
      </c>
      <c r="H1227" s="3">
        <f t="shared" si="6"/>
        <v>-0.003750260861</v>
      </c>
      <c r="I1227" s="5">
        <f t="shared" si="7"/>
        <v>1.323423051</v>
      </c>
    </row>
    <row r="1228">
      <c r="A1228" s="12">
        <f>IFERROR(__xludf.DUMMYFUNCTION("""COMPUTED_VALUE"""),44043.66666666667)</f>
        <v>44043.66667</v>
      </c>
      <c r="B1228" s="13">
        <f>IFERROR(__xludf.DUMMYFUNCTION("""COMPUTED_VALUE"""),3271.12)</f>
        <v>3271.12</v>
      </c>
      <c r="C1228" s="13">
        <f t="shared" si="1"/>
        <v>3247.925</v>
      </c>
      <c r="D1228" s="13">
        <f t="shared" si="2"/>
        <v>3192.305</v>
      </c>
      <c r="E1228" s="13" t="str">
        <f t="shared" si="3"/>
        <v>LONG</v>
      </c>
      <c r="F1228" s="3">
        <f t="shared" si="4"/>
        <v>0.007670459796</v>
      </c>
      <c r="G1228" s="4">
        <f t="shared" si="5"/>
        <v>1.573137889</v>
      </c>
      <c r="H1228" s="3">
        <f t="shared" si="6"/>
        <v>0.007670459796</v>
      </c>
      <c r="I1228" s="5">
        <f t="shared" si="7"/>
        <v>1.333574315</v>
      </c>
    </row>
    <row r="1229">
      <c r="A1229" s="12">
        <f>IFERROR(__xludf.DUMMYFUNCTION("""COMPUTED_VALUE"""),44046.66666666667)</f>
        <v>44046.66667</v>
      </c>
      <c r="B1229" s="13">
        <f>IFERROR(__xludf.DUMMYFUNCTION("""COMPUTED_VALUE"""),3294.61)</f>
        <v>3294.61</v>
      </c>
      <c r="C1229" s="13">
        <f t="shared" si="1"/>
        <v>3273.225</v>
      </c>
      <c r="D1229" s="13">
        <f t="shared" si="2"/>
        <v>3204.975</v>
      </c>
      <c r="E1229" s="13" t="str">
        <f t="shared" si="3"/>
        <v>LONG</v>
      </c>
      <c r="F1229" s="3">
        <f t="shared" si="4"/>
        <v>0.007181026682</v>
      </c>
      <c r="G1229" s="4">
        <f t="shared" si="5"/>
        <v>1.584434634</v>
      </c>
      <c r="H1229" s="3">
        <f t="shared" si="6"/>
        <v>0.007181026682</v>
      </c>
      <c r="I1229" s="5">
        <f t="shared" si="7"/>
        <v>1.343150747</v>
      </c>
    </row>
    <row r="1230">
      <c r="A1230" s="12">
        <f>IFERROR(__xludf.DUMMYFUNCTION("""COMPUTED_VALUE"""),44047.66666666667)</f>
        <v>44047.66667</v>
      </c>
      <c r="B1230" s="13">
        <f>IFERROR(__xludf.DUMMYFUNCTION("""COMPUTED_VALUE"""),3306.51)</f>
        <v>3306.51</v>
      </c>
      <c r="C1230" s="13">
        <f t="shared" si="1"/>
        <v>3281.905</v>
      </c>
      <c r="D1230" s="13">
        <f t="shared" si="2"/>
        <v>3202.125</v>
      </c>
      <c r="E1230" s="13" t="str">
        <f t="shared" si="3"/>
        <v>LONG</v>
      </c>
      <c r="F1230" s="3">
        <f t="shared" si="4"/>
        <v>0.003611960141</v>
      </c>
      <c r="G1230" s="4">
        <f t="shared" si="5"/>
        <v>1.590157548</v>
      </c>
      <c r="H1230" s="3">
        <f t="shared" si="6"/>
        <v>0.003611960141</v>
      </c>
      <c r="I1230" s="5">
        <f t="shared" si="7"/>
        <v>1.348002154</v>
      </c>
    </row>
    <row r="1231">
      <c r="A1231" s="12">
        <f>IFERROR(__xludf.DUMMYFUNCTION("""COMPUTED_VALUE"""),44048.66666666667)</f>
        <v>44048.66667</v>
      </c>
      <c r="B1231" s="13">
        <f>IFERROR(__xludf.DUMMYFUNCTION("""COMPUTED_VALUE"""),3327.77)</f>
        <v>3327.77</v>
      </c>
      <c r="C1231" s="13">
        <f t="shared" si="1"/>
        <v>3301.895</v>
      </c>
      <c r="D1231" s="13">
        <f t="shared" si="2"/>
        <v>3222.815</v>
      </c>
      <c r="E1231" s="13" t="str">
        <f t="shared" si="3"/>
        <v>LONG</v>
      </c>
      <c r="F1231" s="3">
        <f t="shared" si="4"/>
        <v>0.006429740119</v>
      </c>
      <c r="G1231" s="4">
        <f t="shared" si="5"/>
        <v>1.600381848</v>
      </c>
      <c r="H1231" s="3">
        <f t="shared" si="6"/>
        <v>0.006429740119</v>
      </c>
      <c r="I1231" s="5">
        <f t="shared" si="7"/>
        <v>1.356669458</v>
      </c>
    </row>
    <row r="1232">
      <c r="A1232" s="12">
        <f>IFERROR(__xludf.DUMMYFUNCTION("""COMPUTED_VALUE"""),44049.66666666667)</f>
        <v>44049.66667</v>
      </c>
      <c r="B1232" s="13">
        <f>IFERROR(__xludf.DUMMYFUNCTION("""COMPUTED_VALUE"""),3349.16)</f>
        <v>3349.16</v>
      </c>
      <c r="C1232" s="13">
        <f t="shared" si="1"/>
        <v>3292.41</v>
      </c>
      <c r="D1232" s="13">
        <f t="shared" si="2"/>
        <v>3240.225</v>
      </c>
      <c r="E1232" s="13" t="str">
        <f t="shared" si="3"/>
        <v>LONG</v>
      </c>
      <c r="F1232" s="3">
        <f t="shared" si="4"/>
        <v>0.006427727878</v>
      </c>
      <c r="G1232" s="4">
        <f t="shared" si="5"/>
        <v>1.610668667</v>
      </c>
      <c r="H1232" s="3">
        <f t="shared" si="6"/>
        <v>0.006427727878</v>
      </c>
      <c r="I1232" s="5">
        <f t="shared" si="7"/>
        <v>1.36538976</v>
      </c>
    </row>
    <row r="1233">
      <c r="A1233" s="12">
        <f>IFERROR(__xludf.DUMMYFUNCTION("""COMPUTED_VALUE"""),44050.66666666667)</f>
        <v>44050.66667</v>
      </c>
      <c r="B1233" s="13">
        <f>IFERROR(__xludf.DUMMYFUNCTION("""COMPUTED_VALUE"""),3351.28)</f>
        <v>3351.28</v>
      </c>
      <c r="C1233" s="13">
        <f t="shared" si="1"/>
        <v>3283.455</v>
      </c>
      <c r="D1233" s="13">
        <f t="shared" si="2"/>
        <v>3200.805</v>
      </c>
      <c r="E1233" s="13" t="str">
        <f t="shared" si="3"/>
        <v>LONG</v>
      </c>
      <c r="F1233" s="3">
        <f t="shared" si="4"/>
        <v>0.0006329945419</v>
      </c>
      <c r="G1233" s="4">
        <f t="shared" si="5"/>
        <v>1.611688212</v>
      </c>
      <c r="H1233" s="3">
        <f t="shared" si="6"/>
        <v>0.0006329945419</v>
      </c>
      <c r="I1233" s="5">
        <f t="shared" si="7"/>
        <v>1.366254044</v>
      </c>
    </row>
    <row r="1234">
      <c r="A1234" s="12">
        <f>IFERROR(__xludf.DUMMYFUNCTION("""COMPUTED_VALUE"""),44053.66666666667)</f>
        <v>44053.66667</v>
      </c>
      <c r="B1234" s="13">
        <f>IFERROR(__xludf.DUMMYFUNCTION("""COMPUTED_VALUE"""),3360.47)</f>
        <v>3360.47</v>
      </c>
      <c r="C1234" s="13">
        <f t="shared" si="1"/>
        <v>3299.94</v>
      </c>
      <c r="D1234" s="13">
        <f t="shared" si="2"/>
        <v>3222.115</v>
      </c>
      <c r="E1234" s="13" t="str">
        <f t="shared" si="3"/>
        <v>LONG</v>
      </c>
      <c r="F1234" s="3">
        <f t="shared" si="4"/>
        <v>0.002742235802</v>
      </c>
      <c r="G1234" s="4">
        <f t="shared" si="5"/>
        <v>1.616107841</v>
      </c>
      <c r="H1234" s="3">
        <f t="shared" si="6"/>
        <v>0.002742235802</v>
      </c>
      <c r="I1234" s="5">
        <f t="shared" si="7"/>
        <v>1.370000635</v>
      </c>
    </row>
    <row r="1235">
      <c r="A1235" s="12">
        <f>IFERROR(__xludf.DUMMYFUNCTION("""COMPUTED_VALUE"""),44054.66666666667)</f>
        <v>44054.66667</v>
      </c>
      <c r="B1235" s="13">
        <f>IFERROR(__xludf.DUMMYFUNCTION("""COMPUTED_VALUE"""),3333.69)</f>
        <v>3333.69</v>
      </c>
      <c r="C1235" s="13">
        <f t="shared" si="1"/>
        <v>3276.065</v>
      </c>
      <c r="D1235" s="13">
        <f t="shared" si="2"/>
        <v>3171.37</v>
      </c>
      <c r="E1235" s="13" t="str">
        <f t="shared" si="3"/>
        <v>LONG</v>
      </c>
      <c r="F1235" s="3">
        <f t="shared" si="4"/>
        <v>-0.007969123367</v>
      </c>
      <c r="G1235" s="4">
        <f t="shared" si="5"/>
        <v>1.603228878</v>
      </c>
      <c r="H1235" s="3">
        <f t="shared" si="6"/>
        <v>-0.007969123367</v>
      </c>
      <c r="I1235" s="5">
        <f t="shared" si="7"/>
        <v>1.359082931</v>
      </c>
    </row>
    <row r="1236">
      <c r="A1236" s="12">
        <f>IFERROR(__xludf.DUMMYFUNCTION("""COMPUTED_VALUE"""),44055.66666666667)</f>
        <v>44055.66667</v>
      </c>
      <c r="B1236" s="13">
        <f>IFERROR(__xludf.DUMMYFUNCTION("""COMPUTED_VALUE"""),3380.35)</f>
        <v>3380.35</v>
      </c>
      <c r="C1236" s="13">
        <f t="shared" si="1"/>
        <v>3319.395</v>
      </c>
      <c r="D1236" s="13">
        <f t="shared" si="2"/>
        <v>3216.795</v>
      </c>
      <c r="E1236" s="13" t="str">
        <f t="shared" si="3"/>
        <v>LONG</v>
      </c>
      <c r="F1236" s="3">
        <f t="shared" si="4"/>
        <v>0.01399650237</v>
      </c>
      <c r="G1236" s="4">
        <f t="shared" si="5"/>
        <v>1.625668475</v>
      </c>
      <c r="H1236" s="3">
        <f t="shared" si="6"/>
        <v>0.01399650237</v>
      </c>
      <c r="I1236" s="5">
        <f t="shared" si="7"/>
        <v>1.378105338</v>
      </c>
    </row>
    <row r="1237">
      <c r="A1237" s="12">
        <f>IFERROR(__xludf.DUMMYFUNCTION("""COMPUTED_VALUE"""),44056.66666666667)</f>
        <v>44056.66667</v>
      </c>
      <c r="B1237" s="13">
        <f>IFERROR(__xludf.DUMMYFUNCTION("""COMPUTED_VALUE"""),3373.43)</f>
        <v>3373.43</v>
      </c>
      <c r="C1237" s="13">
        <f t="shared" si="1"/>
        <v>3309.825</v>
      </c>
      <c r="D1237" s="13">
        <f t="shared" si="2"/>
        <v>3236.86</v>
      </c>
      <c r="E1237" s="13" t="str">
        <f t="shared" si="3"/>
        <v>LONG</v>
      </c>
      <c r="F1237" s="3">
        <f t="shared" si="4"/>
        <v>-0.002047125298</v>
      </c>
      <c r="G1237" s="4">
        <f t="shared" si="5"/>
        <v>1.622340528</v>
      </c>
      <c r="H1237" s="3">
        <f t="shared" si="6"/>
        <v>-0.002047125298</v>
      </c>
      <c r="I1237" s="5">
        <f t="shared" si="7"/>
        <v>1.375284184</v>
      </c>
    </row>
    <row r="1238">
      <c r="A1238" s="12">
        <f>IFERROR(__xludf.DUMMYFUNCTION("""COMPUTED_VALUE"""),44057.66666666667)</f>
        <v>44057.66667</v>
      </c>
      <c r="B1238" s="13">
        <f>IFERROR(__xludf.DUMMYFUNCTION("""COMPUTED_VALUE"""),3372.85)</f>
        <v>3372.85</v>
      </c>
      <c r="C1238" s="13">
        <f t="shared" si="1"/>
        <v>3321.985</v>
      </c>
      <c r="D1238" s="13">
        <f t="shared" si="2"/>
        <v>3244.355</v>
      </c>
      <c r="E1238" s="13" t="str">
        <f t="shared" si="3"/>
        <v>LONG</v>
      </c>
      <c r="F1238" s="3">
        <f t="shared" si="4"/>
        <v>-0.000171931832</v>
      </c>
      <c r="G1238" s="4">
        <f t="shared" si="5"/>
        <v>1.622061596</v>
      </c>
      <c r="H1238" s="3">
        <f t="shared" si="6"/>
        <v>-0.000171931832</v>
      </c>
      <c r="I1238" s="5">
        <f t="shared" si="7"/>
        <v>1.375047729</v>
      </c>
    </row>
    <row r="1239">
      <c r="A1239" s="12">
        <f>IFERROR(__xludf.DUMMYFUNCTION("""COMPUTED_VALUE"""),44060.66666666667)</f>
        <v>44060.66667</v>
      </c>
      <c r="B1239" s="13">
        <f>IFERROR(__xludf.DUMMYFUNCTION("""COMPUTED_VALUE"""),3381.99)</f>
        <v>3381.99</v>
      </c>
      <c r="C1239" s="13">
        <f t="shared" si="1"/>
        <v>3338.3</v>
      </c>
      <c r="D1239" s="13">
        <f t="shared" si="2"/>
        <v>3256</v>
      </c>
      <c r="E1239" s="13" t="str">
        <f t="shared" si="3"/>
        <v>LONG</v>
      </c>
      <c r="F1239" s="3">
        <f t="shared" si="4"/>
        <v>0.002709874439</v>
      </c>
      <c r="G1239" s="4">
        <f t="shared" si="5"/>
        <v>1.626457179</v>
      </c>
      <c r="H1239" s="3">
        <f t="shared" si="6"/>
        <v>0.002709874439</v>
      </c>
      <c r="I1239" s="5">
        <f t="shared" si="7"/>
        <v>1.378773936</v>
      </c>
    </row>
    <row r="1240">
      <c r="A1240" s="12">
        <f>IFERROR(__xludf.DUMMYFUNCTION("""COMPUTED_VALUE"""),44061.66666666667)</f>
        <v>44061.66667</v>
      </c>
      <c r="B1240" s="13">
        <f>IFERROR(__xludf.DUMMYFUNCTION("""COMPUTED_VALUE"""),3389.78)</f>
        <v>3389.78</v>
      </c>
      <c r="C1240" s="13">
        <f t="shared" si="1"/>
        <v>3348.145</v>
      </c>
      <c r="D1240" s="13">
        <f t="shared" si="2"/>
        <v>3284.75</v>
      </c>
      <c r="E1240" s="13" t="str">
        <f t="shared" si="3"/>
        <v>LONG</v>
      </c>
      <c r="F1240" s="3">
        <f t="shared" si="4"/>
        <v>0.002303377597</v>
      </c>
      <c r="G1240" s="4">
        <f t="shared" si="5"/>
        <v>1.630203524</v>
      </c>
      <c r="H1240" s="3">
        <f t="shared" si="6"/>
        <v>0.002303377597</v>
      </c>
      <c r="I1240" s="5">
        <f t="shared" si="7"/>
        <v>1.381949773</v>
      </c>
    </row>
    <row r="1241">
      <c r="A1241" s="12">
        <f>IFERROR(__xludf.DUMMYFUNCTION("""COMPUTED_VALUE"""),44062.66666666667)</f>
        <v>44062.66667</v>
      </c>
      <c r="B1241" s="13">
        <f>IFERROR(__xludf.DUMMYFUNCTION("""COMPUTED_VALUE"""),3374.85)</f>
        <v>3374.85</v>
      </c>
      <c r="C1241" s="13">
        <f t="shared" si="1"/>
        <v>3351.31</v>
      </c>
      <c r="D1241" s="13">
        <f t="shared" si="2"/>
        <v>3260.085</v>
      </c>
      <c r="E1241" s="13" t="str">
        <f t="shared" si="3"/>
        <v>LONG</v>
      </c>
      <c r="F1241" s="3">
        <f t="shared" si="4"/>
        <v>-0.004404415626</v>
      </c>
      <c r="G1241" s="4">
        <f t="shared" si="5"/>
        <v>1.62302343</v>
      </c>
      <c r="H1241" s="3">
        <f t="shared" si="6"/>
        <v>-0.004404415626</v>
      </c>
      <c r="I1241" s="5">
        <f t="shared" si="7"/>
        <v>1.375863092</v>
      </c>
    </row>
    <row r="1242">
      <c r="A1242" s="12">
        <f>IFERROR(__xludf.DUMMYFUNCTION("""COMPUTED_VALUE"""),44063.66666666667)</f>
        <v>44063.66667</v>
      </c>
      <c r="B1242" s="13">
        <f>IFERROR(__xludf.DUMMYFUNCTION("""COMPUTED_VALUE"""),3385.51)</f>
        <v>3385.51</v>
      </c>
      <c r="C1242" s="13">
        <f t="shared" si="1"/>
        <v>3367.335</v>
      </c>
      <c r="D1242" s="13">
        <f t="shared" si="2"/>
        <v>3277.725</v>
      </c>
      <c r="E1242" s="13" t="str">
        <f t="shared" si="3"/>
        <v>LONG</v>
      </c>
      <c r="F1242" s="3">
        <f t="shared" si="4"/>
        <v>0.003158658903</v>
      </c>
      <c r="G1242" s="4">
        <f t="shared" si="5"/>
        <v>1.628150008</v>
      </c>
      <c r="H1242" s="3">
        <f t="shared" si="6"/>
        <v>0.003158658903</v>
      </c>
      <c r="I1242" s="5">
        <f t="shared" si="7"/>
        <v>1.380208974</v>
      </c>
    </row>
    <row r="1243">
      <c r="A1243" s="12">
        <f>IFERROR(__xludf.DUMMYFUNCTION("""COMPUTED_VALUE"""),44064.66666666667)</f>
        <v>44064.66667</v>
      </c>
      <c r="B1243" s="13">
        <f>IFERROR(__xludf.DUMMYFUNCTION("""COMPUTED_VALUE"""),3397.16)</f>
        <v>3397.16</v>
      </c>
      <c r="C1243" s="13">
        <f t="shared" si="1"/>
        <v>3374.22</v>
      </c>
      <c r="D1243" s="13">
        <f t="shared" si="2"/>
        <v>3274.605</v>
      </c>
      <c r="E1243" s="13" t="str">
        <f t="shared" si="3"/>
        <v>LONG</v>
      </c>
      <c r="F1243" s="3">
        <f t="shared" si="4"/>
        <v>0.0034411359</v>
      </c>
      <c r="G1243" s="4">
        <f t="shared" si="5"/>
        <v>1.633752693</v>
      </c>
      <c r="H1243" s="3">
        <f t="shared" si="6"/>
        <v>0.0034411359</v>
      </c>
      <c r="I1243" s="5">
        <f t="shared" si="7"/>
        <v>1.38495846</v>
      </c>
    </row>
    <row r="1244">
      <c r="A1244" s="12">
        <f>IFERROR(__xludf.DUMMYFUNCTION("""COMPUTED_VALUE"""),44067.66666666667)</f>
        <v>44067.66667</v>
      </c>
      <c r="B1244" s="13">
        <f>IFERROR(__xludf.DUMMYFUNCTION("""COMPUTED_VALUE"""),3431.28)</f>
        <v>3431.28</v>
      </c>
      <c r="C1244" s="13">
        <f t="shared" si="1"/>
        <v>3395.875</v>
      </c>
      <c r="D1244" s="13">
        <f t="shared" si="2"/>
        <v>3308.16</v>
      </c>
      <c r="E1244" s="13" t="str">
        <f t="shared" si="3"/>
        <v>LONG</v>
      </c>
      <c r="F1244" s="3">
        <f t="shared" si="4"/>
        <v>0.01004368355</v>
      </c>
      <c r="G1244" s="4">
        <f t="shared" si="5"/>
        <v>1.650161588</v>
      </c>
      <c r="H1244" s="3">
        <f t="shared" si="6"/>
        <v>0.01004368355</v>
      </c>
      <c r="I1244" s="5">
        <f t="shared" si="7"/>
        <v>1.398868545</v>
      </c>
    </row>
    <row r="1245">
      <c r="A1245" s="12">
        <f>IFERROR(__xludf.DUMMYFUNCTION("""COMPUTED_VALUE"""),44068.66666666667)</f>
        <v>44068.66667</v>
      </c>
      <c r="B1245" s="13">
        <f>IFERROR(__xludf.DUMMYFUNCTION("""COMPUTED_VALUE"""),3443.62)</f>
        <v>3443.62</v>
      </c>
      <c r="C1245" s="13">
        <f t="shared" si="1"/>
        <v>3388.655</v>
      </c>
      <c r="D1245" s="13">
        <f t="shared" si="2"/>
        <v>3299.42</v>
      </c>
      <c r="E1245" s="13" t="str">
        <f t="shared" si="3"/>
        <v>LONG</v>
      </c>
      <c r="F1245" s="3">
        <f t="shared" si="4"/>
        <v>0.003596325569</v>
      </c>
      <c r="G1245" s="4">
        <f t="shared" si="5"/>
        <v>1.656096106</v>
      </c>
      <c r="H1245" s="3">
        <f t="shared" si="6"/>
        <v>0.003596325569</v>
      </c>
      <c r="I1245" s="5">
        <f t="shared" si="7"/>
        <v>1.403899332</v>
      </c>
    </row>
    <row r="1246">
      <c r="A1246" s="12">
        <f>IFERROR(__xludf.DUMMYFUNCTION("""COMPUTED_VALUE"""),44069.66666666667)</f>
        <v>44069.66667</v>
      </c>
      <c r="B1246" s="13">
        <f>IFERROR(__xludf.DUMMYFUNCTION("""COMPUTED_VALUE"""),3478.73)</f>
        <v>3478.73</v>
      </c>
      <c r="C1246" s="13">
        <f t="shared" si="1"/>
        <v>3429.54</v>
      </c>
      <c r="D1246" s="13">
        <f t="shared" si="2"/>
        <v>3338.125</v>
      </c>
      <c r="E1246" s="13" t="str">
        <f t="shared" si="3"/>
        <v>LONG</v>
      </c>
      <c r="F1246" s="3">
        <f t="shared" si="4"/>
        <v>0.01019566619</v>
      </c>
      <c r="G1246" s="4">
        <f t="shared" si="5"/>
        <v>1.67298111</v>
      </c>
      <c r="H1246" s="3">
        <f t="shared" si="6"/>
        <v>0.01019566619</v>
      </c>
      <c r="I1246" s="5">
        <f t="shared" si="7"/>
        <v>1.418213021</v>
      </c>
    </row>
    <row r="1247">
      <c r="A1247" s="12">
        <f>IFERROR(__xludf.DUMMYFUNCTION("""COMPUTED_VALUE"""),44070.66666666667)</f>
        <v>44070.66667</v>
      </c>
      <c r="B1247" s="13">
        <f>IFERROR(__xludf.DUMMYFUNCTION("""COMPUTED_VALUE"""),3484.55)</f>
        <v>3484.55</v>
      </c>
      <c r="C1247" s="13">
        <f t="shared" si="1"/>
        <v>3428.99</v>
      </c>
      <c r="D1247" s="13">
        <f t="shared" si="2"/>
        <v>3355.555</v>
      </c>
      <c r="E1247" s="13" t="str">
        <f t="shared" si="3"/>
        <v>LONG</v>
      </c>
      <c r="F1247" s="3">
        <f t="shared" si="4"/>
        <v>0.001673024351</v>
      </c>
      <c r="G1247" s="4">
        <f t="shared" si="5"/>
        <v>1.675780048</v>
      </c>
      <c r="H1247" s="3">
        <f t="shared" si="6"/>
        <v>0.001673024351</v>
      </c>
      <c r="I1247" s="5">
        <f t="shared" si="7"/>
        <v>1.420585725</v>
      </c>
    </row>
    <row r="1248">
      <c r="A1248" s="12">
        <f>IFERROR(__xludf.DUMMYFUNCTION("""COMPUTED_VALUE"""),44071.66666666667)</f>
        <v>44071.66667</v>
      </c>
      <c r="B1248" s="13">
        <f>IFERROR(__xludf.DUMMYFUNCTION("""COMPUTED_VALUE"""),3508.01)</f>
        <v>3508.01</v>
      </c>
      <c r="C1248" s="13">
        <f t="shared" si="1"/>
        <v>3440.43</v>
      </c>
      <c r="D1248" s="13">
        <f t="shared" si="2"/>
        <v>3361.79</v>
      </c>
      <c r="E1248" s="13" t="str">
        <f t="shared" si="3"/>
        <v>LONG</v>
      </c>
      <c r="F1248" s="3">
        <f t="shared" si="4"/>
        <v>0.00673257666</v>
      </c>
      <c r="G1248" s="4">
        <f t="shared" si="5"/>
        <v>1.687062365</v>
      </c>
      <c r="H1248" s="3">
        <f t="shared" si="6"/>
        <v>0.00673257666</v>
      </c>
      <c r="I1248" s="5">
        <f t="shared" si="7"/>
        <v>1.430149928</v>
      </c>
    </row>
    <row r="1249">
      <c r="A1249" s="12">
        <f>IFERROR(__xludf.DUMMYFUNCTION("""COMPUTED_VALUE"""),44074.66666666667)</f>
        <v>44074.66667</v>
      </c>
      <c r="B1249" s="13">
        <f>IFERROR(__xludf.DUMMYFUNCTION("""COMPUTED_VALUE"""),3500.31)</f>
        <v>3500.31</v>
      </c>
      <c r="C1249" s="13">
        <f t="shared" si="1"/>
        <v>3441.15</v>
      </c>
      <c r="D1249" s="13">
        <f t="shared" si="2"/>
        <v>3362.52</v>
      </c>
      <c r="E1249" s="13" t="str">
        <f t="shared" si="3"/>
        <v>LONG</v>
      </c>
      <c r="F1249" s="3">
        <f t="shared" si="4"/>
        <v>-0.002194976639</v>
      </c>
      <c r="G1249" s="4">
        <f t="shared" si="5"/>
        <v>1.683359303</v>
      </c>
      <c r="H1249" s="3">
        <f t="shared" si="6"/>
        <v>-0.002194976639</v>
      </c>
      <c r="I1249" s="5">
        <f t="shared" si="7"/>
        <v>1.427010782</v>
      </c>
    </row>
    <row r="1250">
      <c r="A1250" s="12">
        <f>IFERROR(__xludf.DUMMYFUNCTION("""COMPUTED_VALUE"""),44075.66666666667)</f>
        <v>44075.66667</v>
      </c>
      <c r="B1250" s="13">
        <f>IFERROR(__xludf.DUMMYFUNCTION("""COMPUTED_VALUE"""),3526.65)</f>
        <v>3526.65</v>
      </c>
      <c r="C1250" s="13">
        <f t="shared" si="1"/>
        <v>3458.215</v>
      </c>
      <c r="D1250" s="13">
        <f t="shared" si="2"/>
        <v>3389.245</v>
      </c>
      <c r="E1250" s="13" t="str">
        <f t="shared" si="3"/>
        <v>LONG</v>
      </c>
      <c r="F1250" s="3">
        <f t="shared" si="4"/>
        <v>0.007525047781</v>
      </c>
      <c r="G1250" s="4">
        <f t="shared" si="5"/>
        <v>1.696026662</v>
      </c>
      <c r="H1250" s="3">
        <f t="shared" si="6"/>
        <v>0.007525047781</v>
      </c>
      <c r="I1250" s="5">
        <f t="shared" si="7"/>
        <v>1.437749106</v>
      </c>
    </row>
    <row r="1251">
      <c r="A1251" s="12">
        <f>IFERROR(__xludf.DUMMYFUNCTION("""COMPUTED_VALUE"""),44076.66666666667)</f>
        <v>44076.66667</v>
      </c>
      <c r="B1251" s="13">
        <f>IFERROR(__xludf.DUMMYFUNCTION("""COMPUTED_VALUE"""),3580.84)</f>
        <v>3580.84</v>
      </c>
      <c r="C1251" s="13">
        <f t="shared" si="1"/>
        <v>3477.845</v>
      </c>
      <c r="D1251" s="13">
        <f t="shared" si="2"/>
        <v>3419.07</v>
      </c>
      <c r="E1251" s="13" t="str">
        <f t="shared" si="3"/>
        <v>LONG</v>
      </c>
      <c r="F1251" s="3">
        <f t="shared" si="4"/>
        <v>0.01536585712</v>
      </c>
      <c r="G1251" s="4">
        <f t="shared" si="5"/>
        <v>1.722087565</v>
      </c>
      <c r="H1251" s="3">
        <f t="shared" si="6"/>
        <v>0.01536585712</v>
      </c>
      <c r="I1251" s="5">
        <f t="shared" si="7"/>
        <v>1.459841354</v>
      </c>
    </row>
    <row r="1252">
      <c r="A1252" s="12">
        <f>IFERROR(__xludf.DUMMYFUNCTION("""COMPUTED_VALUE"""),44077.66666666667)</f>
        <v>44077.66667</v>
      </c>
      <c r="B1252" s="13">
        <f>IFERROR(__xludf.DUMMYFUNCTION("""COMPUTED_VALUE"""),3455.06)</f>
        <v>3455.06</v>
      </c>
      <c r="C1252" s="13">
        <f t="shared" si="1"/>
        <v>3420.285</v>
      </c>
      <c r="D1252" s="13">
        <f t="shared" si="2"/>
        <v>3365.54</v>
      </c>
      <c r="E1252" s="13" t="str">
        <f t="shared" si="3"/>
        <v>LONG</v>
      </c>
      <c r="F1252" s="3">
        <f t="shared" si="4"/>
        <v>-0.0351258364</v>
      </c>
      <c r="G1252" s="4">
        <f t="shared" si="5"/>
        <v>1.661597799</v>
      </c>
      <c r="H1252" s="3">
        <f t="shared" si="6"/>
        <v>-0.0351258364</v>
      </c>
      <c r="I1252" s="5">
        <f t="shared" si="7"/>
        <v>1.408563205</v>
      </c>
    </row>
    <row r="1253">
      <c r="A1253" s="12">
        <f>IFERROR(__xludf.DUMMYFUNCTION("""COMPUTED_VALUE"""),44078.66666666667)</f>
        <v>44078.66667</v>
      </c>
      <c r="B1253" s="13">
        <f>IFERROR(__xludf.DUMMYFUNCTION("""COMPUTED_VALUE"""),3426.96)</f>
        <v>3426.96</v>
      </c>
      <c r="C1253" s="13">
        <f t="shared" si="1"/>
        <v>3412.06</v>
      </c>
      <c r="D1253" s="13">
        <f t="shared" si="2"/>
        <v>3331.31</v>
      </c>
      <c r="E1253" s="13" t="str">
        <f t="shared" si="3"/>
        <v>LONG</v>
      </c>
      <c r="F1253" s="3">
        <f t="shared" si="4"/>
        <v>-0.008132999137</v>
      </c>
      <c r="G1253" s="4">
        <f t="shared" si="5"/>
        <v>1.648084026</v>
      </c>
      <c r="H1253" s="3">
        <f t="shared" si="6"/>
        <v>-0.008132999137</v>
      </c>
      <c r="I1253" s="5">
        <f t="shared" si="7"/>
        <v>1.397107362</v>
      </c>
    </row>
    <row r="1254">
      <c r="A1254" s="12">
        <f>IFERROR(__xludf.DUMMYFUNCTION("""COMPUTED_VALUE"""),44082.66666666667)</f>
        <v>44082.66667</v>
      </c>
      <c r="B1254" s="13">
        <f>IFERROR(__xludf.DUMMYFUNCTION("""COMPUTED_VALUE"""),3331.84)</f>
        <v>3331.84</v>
      </c>
      <c r="C1254" s="13">
        <f t="shared" si="1"/>
        <v>3381.56</v>
      </c>
      <c r="D1254" s="13">
        <f t="shared" si="2"/>
        <v>3273.735</v>
      </c>
      <c r="E1254" s="13" t="str">
        <f t="shared" si="3"/>
        <v>LONG</v>
      </c>
      <c r="F1254" s="3">
        <f t="shared" si="4"/>
        <v>-0.02775637883</v>
      </c>
      <c r="G1254" s="4">
        <f t="shared" si="5"/>
        <v>1.602339181</v>
      </c>
      <c r="H1254" s="3">
        <f t="shared" si="6"/>
        <v>-0.02775637883</v>
      </c>
      <c r="I1254" s="5">
        <f t="shared" si="7"/>
        <v>1.358328721</v>
      </c>
    </row>
    <row r="1255">
      <c r="A1255" s="12">
        <f>IFERROR(__xludf.DUMMYFUNCTION("""COMPUTED_VALUE"""),44083.66666666667)</f>
        <v>44083.66667</v>
      </c>
      <c r="B1255" s="13">
        <f>IFERROR(__xludf.DUMMYFUNCTION("""COMPUTED_VALUE"""),3398.96)</f>
        <v>3398.96</v>
      </c>
      <c r="C1255" s="13">
        <f t="shared" si="1"/>
        <v>3421.29</v>
      </c>
      <c r="D1255" s="13">
        <f t="shared" si="2"/>
        <v>3319.185</v>
      </c>
      <c r="E1255" s="13" t="str">
        <f t="shared" si="3"/>
        <v>LONG</v>
      </c>
      <c r="F1255" s="3">
        <f t="shared" si="4"/>
        <v>0.02014502497</v>
      </c>
      <c r="G1255" s="4">
        <f t="shared" si="5"/>
        <v>1.634618344</v>
      </c>
      <c r="H1255" s="3">
        <f t="shared" si="6"/>
        <v>0.02014502497</v>
      </c>
      <c r="I1255" s="5">
        <f t="shared" si="7"/>
        <v>1.385692287</v>
      </c>
    </row>
    <row r="1256">
      <c r="A1256" s="12">
        <f>IFERROR(__xludf.DUMMYFUNCTION("""COMPUTED_VALUE"""),44084.66666666667)</f>
        <v>44084.66667</v>
      </c>
      <c r="B1256" s="13">
        <f>IFERROR(__xludf.DUMMYFUNCTION("""COMPUTED_VALUE"""),3339.19)</f>
        <v>3339.19</v>
      </c>
      <c r="C1256" s="13">
        <f t="shared" si="1"/>
        <v>3408.96</v>
      </c>
      <c r="D1256" s="13">
        <f t="shared" si="2"/>
        <v>3278.815</v>
      </c>
      <c r="E1256" s="13" t="str">
        <f t="shared" si="3"/>
        <v>LONG</v>
      </c>
      <c r="F1256" s="3">
        <f t="shared" si="4"/>
        <v>-0.01758479064</v>
      </c>
      <c r="G1256" s="4">
        <f t="shared" si="5"/>
        <v>1.605873923</v>
      </c>
      <c r="H1256" s="3">
        <f t="shared" si="6"/>
        <v>-0.01758479064</v>
      </c>
      <c r="I1256" s="5">
        <f t="shared" si="7"/>
        <v>1.361325178</v>
      </c>
    </row>
    <row r="1257">
      <c r="A1257" s="12">
        <f>IFERROR(__xludf.DUMMYFUNCTION("""COMPUTED_VALUE"""),44085.66666666667)</f>
        <v>44085.66667</v>
      </c>
      <c r="B1257" s="13">
        <f>IFERROR(__xludf.DUMMYFUNCTION("""COMPUTED_VALUE"""),3340.97)</f>
        <v>3340.97</v>
      </c>
      <c r="C1257" s="13">
        <f t="shared" si="1"/>
        <v>3412.76</v>
      </c>
      <c r="D1257" s="13">
        <f t="shared" si="2"/>
        <v>3299.705</v>
      </c>
      <c r="E1257" s="13" t="str">
        <f t="shared" si="3"/>
        <v>LONG</v>
      </c>
      <c r="F1257" s="3">
        <f t="shared" si="4"/>
        <v>0.0005330634076</v>
      </c>
      <c r="G1257" s="4">
        <f t="shared" si="5"/>
        <v>1.606729955</v>
      </c>
      <c r="H1257" s="3">
        <f t="shared" si="6"/>
        <v>0.0005330634076</v>
      </c>
      <c r="I1257" s="5">
        <f t="shared" si="7"/>
        <v>1.362050851</v>
      </c>
    </row>
    <row r="1258">
      <c r="A1258" s="12">
        <f>IFERROR(__xludf.DUMMYFUNCTION("""COMPUTED_VALUE"""),44088.66666666667)</f>
        <v>44088.66667</v>
      </c>
      <c r="B1258" s="13">
        <f>IFERROR(__xludf.DUMMYFUNCTION("""COMPUTED_VALUE"""),3383.54)</f>
        <v>3383.54</v>
      </c>
      <c r="C1258" s="13">
        <f t="shared" si="1"/>
        <v>3445.775</v>
      </c>
      <c r="D1258" s="13">
        <f t="shared" si="2"/>
        <v>3314.88</v>
      </c>
      <c r="E1258" s="13" t="str">
        <f t="shared" si="3"/>
        <v>LONG</v>
      </c>
      <c r="F1258" s="3">
        <f t="shared" si="4"/>
        <v>0.01274180852</v>
      </c>
      <c r="G1258" s="4">
        <f t="shared" si="5"/>
        <v>1.627202601</v>
      </c>
      <c r="H1258" s="3">
        <f t="shared" si="6"/>
        <v>0.01274180852</v>
      </c>
      <c r="I1258" s="5">
        <f t="shared" si="7"/>
        <v>1.379405842</v>
      </c>
    </row>
    <row r="1259">
      <c r="A1259" s="12">
        <f>IFERROR(__xludf.DUMMYFUNCTION("""COMPUTED_VALUE"""),44089.66666666667)</f>
        <v>44089.66667</v>
      </c>
      <c r="B1259" s="13">
        <f>IFERROR(__xludf.DUMMYFUNCTION("""COMPUTED_VALUE"""),3401.2)</f>
        <v>3401.2</v>
      </c>
      <c r="C1259" s="13">
        <f t="shared" si="1"/>
        <v>3450.755</v>
      </c>
      <c r="D1259" s="13">
        <f t="shared" si="2"/>
        <v>3336.16</v>
      </c>
      <c r="E1259" s="13" t="str">
        <f t="shared" si="3"/>
        <v>LONG</v>
      </c>
      <c r="F1259" s="3">
        <f t="shared" si="4"/>
        <v>0.005219385614</v>
      </c>
      <c r="G1259" s="4">
        <f t="shared" si="5"/>
        <v>1.635695599</v>
      </c>
      <c r="H1259" s="3">
        <f t="shared" si="6"/>
        <v>0.005219385614</v>
      </c>
      <c r="I1259" s="5">
        <f t="shared" si="7"/>
        <v>1.386605493</v>
      </c>
    </row>
    <row r="1260">
      <c r="A1260" s="12">
        <f>IFERROR(__xludf.DUMMYFUNCTION("""COMPUTED_VALUE"""),44090.66666666667)</f>
        <v>44090.66667</v>
      </c>
      <c r="B1260" s="13">
        <f>IFERROR(__xludf.DUMMYFUNCTION("""COMPUTED_VALUE"""),3385.49)</f>
        <v>3385.49</v>
      </c>
      <c r="C1260" s="13">
        <f t="shared" si="1"/>
        <v>3456.07</v>
      </c>
      <c r="D1260" s="13">
        <f t="shared" si="2"/>
        <v>3340.05</v>
      </c>
      <c r="E1260" s="13" t="str">
        <f t="shared" si="3"/>
        <v>LONG</v>
      </c>
      <c r="F1260" s="3">
        <f t="shared" si="4"/>
        <v>-0.004618958015</v>
      </c>
      <c r="G1260" s="4">
        <f t="shared" si="5"/>
        <v>1.628140389</v>
      </c>
      <c r="H1260" s="3">
        <f t="shared" si="6"/>
        <v>-0.004618958015</v>
      </c>
      <c r="I1260" s="5">
        <f t="shared" si="7"/>
        <v>1.38020082</v>
      </c>
    </row>
    <row r="1261">
      <c r="A1261" s="12">
        <f>IFERROR(__xludf.DUMMYFUNCTION("""COMPUTED_VALUE"""),44091.66666666667)</f>
        <v>44091.66667</v>
      </c>
      <c r="B1261" s="13">
        <f>IFERROR(__xludf.DUMMYFUNCTION("""COMPUTED_VALUE"""),3357.01)</f>
        <v>3357.01</v>
      </c>
      <c r="C1261" s="13">
        <f t="shared" si="1"/>
        <v>3468.925</v>
      </c>
      <c r="D1261" s="13">
        <f t="shared" si="2"/>
        <v>3331.76</v>
      </c>
      <c r="E1261" s="13" t="str">
        <f t="shared" si="3"/>
        <v>LONG</v>
      </c>
      <c r="F1261" s="3">
        <f t="shared" si="4"/>
        <v>-0.008412371621</v>
      </c>
      <c r="G1261" s="4">
        <f t="shared" si="5"/>
        <v>1.614443867</v>
      </c>
      <c r="H1261" s="3">
        <f t="shared" si="6"/>
        <v>-0.008412371621</v>
      </c>
      <c r="I1261" s="5">
        <f t="shared" si="7"/>
        <v>1.368590058</v>
      </c>
    </row>
    <row r="1262">
      <c r="A1262" s="12">
        <f>IFERROR(__xludf.DUMMYFUNCTION("""COMPUTED_VALUE"""),44092.66666666667)</f>
        <v>44092.66667</v>
      </c>
      <c r="B1262" s="13">
        <f>IFERROR(__xludf.DUMMYFUNCTION("""COMPUTED_VALUE"""),3319.47)</f>
        <v>3319.47</v>
      </c>
      <c r="C1262" s="13">
        <f t="shared" si="1"/>
        <v>3387.265</v>
      </c>
      <c r="D1262" s="13">
        <f t="shared" si="2"/>
        <v>3323.62</v>
      </c>
      <c r="E1262" s="13" t="str">
        <f t="shared" si="3"/>
        <v>LONG</v>
      </c>
      <c r="F1262" s="3">
        <f t="shared" si="4"/>
        <v>-0.0111825702</v>
      </c>
      <c r="G1262" s="4">
        <f t="shared" si="5"/>
        <v>1.596390235</v>
      </c>
      <c r="H1262" s="3">
        <f t="shared" si="6"/>
        <v>-0.0111825702</v>
      </c>
      <c r="I1262" s="5">
        <f t="shared" si="7"/>
        <v>1.353285704</v>
      </c>
    </row>
    <row r="1263">
      <c r="A1263" s="12">
        <f>IFERROR(__xludf.DUMMYFUNCTION("""COMPUTED_VALUE"""),44095.66666666667)</f>
        <v>44095.66667</v>
      </c>
      <c r="B1263" s="13">
        <f>IFERROR(__xludf.DUMMYFUNCTION("""COMPUTED_VALUE"""),3281.06)</f>
        <v>3281.06</v>
      </c>
      <c r="C1263" s="13">
        <f t="shared" si="1"/>
        <v>3354.01</v>
      </c>
      <c r="D1263" s="13">
        <f t="shared" si="2"/>
        <v>3315.11</v>
      </c>
      <c r="E1263" s="13" t="str">
        <f t="shared" si="3"/>
        <v>LONG</v>
      </c>
      <c r="F1263" s="3">
        <f t="shared" si="4"/>
        <v>-0.01157112431</v>
      </c>
      <c r="G1263" s="4">
        <f t="shared" si="5"/>
        <v>1.577918206</v>
      </c>
      <c r="H1263" s="3">
        <f t="shared" si="6"/>
        <v>-0.01157112431</v>
      </c>
      <c r="I1263" s="5">
        <f t="shared" si="7"/>
        <v>1.337626666</v>
      </c>
    </row>
    <row r="1264">
      <c r="A1264" s="12">
        <f>IFERROR(__xludf.DUMMYFUNCTION("""COMPUTED_VALUE"""),44096.66666666667)</f>
        <v>44096.66667</v>
      </c>
      <c r="B1264" s="13">
        <f>IFERROR(__xludf.DUMMYFUNCTION("""COMPUTED_VALUE"""),3315.57)</f>
        <v>3315.57</v>
      </c>
      <c r="C1264" s="13">
        <f t="shared" si="1"/>
        <v>3323.705</v>
      </c>
      <c r="D1264" s="13">
        <f t="shared" si="2"/>
        <v>3333.425</v>
      </c>
      <c r="E1264" s="13" t="str">
        <f t="shared" si="3"/>
        <v/>
      </c>
      <c r="F1264" s="3">
        <f t="shared" si="4"/>
        <v>0.01051794237</v>
      </c>
      <c r="G1264" s="4">
        <f t="shared" si="5"/>
        <v>1.594514658</v>
      </c>
      <c r="H1264" s="5">
        <f t="shared" si="6"/>
        <v>0</v>
      </c>
      <c r="I1264" s="5">
        <f t="shared" si="7"/>
        <v>1.337626666</v>
      </c>
    </row>
    <row r="1265">
      <c r="A1265" s="12">
        <f>IFERROR(__xludf.DUMMYFUNCTION("""COMPUTED_VALUE"""),44097.66666666667)</f>
        <v>44097.66667</v>
      </c>
      <c r="B1265" s="13">
        <f>IFERROR(__xludf.DUMMYFUNCTION("""COMPUTED_VALUE"""),3236.92)</f>
        <v>3236.92</v>
      </c>
      <c r="C1265" s="13">
        <f t="shared" si="1"/>
        <v>3317.94</v>
      </c>
      <c r="D1265" s="13">
        <f t="shared" si="2"/>
        <v>3298.695</v>
      </c>
      <c r="E1265" s="13" t="str">
        <f t="shared" si="3"/>
        <v>LONG</v>
      </c>
      <c r="F1265" s="3">
        <f t="shared" si="4"/>
        <v>-0.0237214114</v>
      </c>
      <c r="G1265" s="4">
        <f t="shared" si="5"/>
        <v>1.55669052</v>
      </c>
      <c r="H1265" s="3">
        <f t="shared" si="6"/>
        <v>-0.0237214114</v>
      </c>
      <c r="I1265" s="5">
        <f t="shared" si="7"/>
        <v>1.305896274</v>
      </c>
    </row>
    <row r="1266">
      <c r="A1266" s="12">
        <f>IFERROR(__xludf.DUMMYFUNCTION("""COMPUTED_VALUE"""),44098.66666666667)</f>
        <v>44098.66667</v>
      </c>
      <c r="B1266" s="13">
        <f>IFERROR(__xludf.DUMMYFUNCTION("""COMPUTED_VALUE"""),3246.59)</f>
        <v>3246.59</v>
      </c>
      <c r="C1266" s="13">
        <f t="shared" si="1"/>
        <v>3292.89</v>
      </c>
      <c r="D1266" s="13">
        <f t="shared" si="2"/>
        <v>3290.14</v>
      </c>
      <c r="E1266" s="13" t="str">
        <f t="shared" si="3"/>
        <v>LONG</v>
      </c>
      <c r="F1266" s="3">
        <f t="shared" si="4"/>
        <v>0.002987407783</v>
      </c>
      <c r="G1266" s="4">
        <f t="shared" si="5"/>
        <v>1.56134099</v>
      </c>
      <c r="H1266" s="3">
        <f t="shared" si="6"/>
        <v>0.002987407783</v>
      </c>
      <c r="I1266" s="5">
        <f t="shared" si="7"/>
        <v>1.309797519</v>
      </c>
    </row>
    <row r="1267">
      <c r="A1267" s="12">
        <f>IFERROR(__xludf.DUMMYFUNCTION("""COMPUTED_VALUE"""),44099.66666666667)</f>
        <v>44099.66667</v>
      </c>
      <c r="B1267" s="13">
        <f>IFERROR(__xludf.DUMMYFUNCTION("""COMPUTED_VALUE"""),3298.46)</f>
        <v>3298.46</v>
      </c>
      <c r="C1267" s="13">
        <f t="shared" si="1"/>
        <v>3319.715</v>
      </c>
      <c r="D1267" s="13">
        <f t="shared" si="2"/>
        <v>3339.405</v>
      </c>
      <c r="E1267" s="13" t="str">
        <f t="shared" si="3"/>
        <v/>
      </c>
      <c r="F1267" s="3">
        <f t="shared" si="4"/>
        <v>0.01597676331</v>
      </c>
      <c r="G1267" s="4">
        <f t="shared" si="5"/>
        <v>1.586286165</v>
      </c>
      <c r="H1267" s="5">
        <f t="shared" si="6"/>
        <v>0</v>
      </c>
      <c r="I1267" s="5">
        <f t="shared" si="7"/>
        <v>1.309797519</v>
      </c>
    </row>
    <row r="1268">
      <c r="A1268" s="12">
        <f>IFERROR(__xludf.DUMMYFUNCTION("""COMPUTED_VALUE"""),44102.66666666667)</f>
        <v>44102.66667</v>
      </c>
      <c r="B1268" s="13">
        <f>IFERROR(__xludf.DUMMYFUNCTION("""COMPUTED_VALUE"""),3351.6)</f>
        <v>3351.6</v>
      </c>
      <c r="C1268" s="13">
        <f t="shared" si="1"/>
        <v>3367.57</v>
      </c>
      <c r="D1268" s="13">
        <f t="shared" si="2"/>
        <v>3362.515</v>
      </c>
      <c r="E1268" s="13" t="str">
        <f t="shared" si="3"/>
        <v>LONG</v>
      </c>
      <c r="F1268" s="3">
        <f t="shared" si="4"/>
        <v>0.01611054856</v>
      </c>
      <c r="G1268" s="4">
        <f t="shared" si="5"/>
        <v>1.611842105</v>
      </c>
      <c r="H1268" s="3">
        <f t="shared" si="6"/>
        <v>0.01611054856</v>
      </c>
      <c r="I1268" s="5">
        <f t="shared" si="7"/>
        <v>1.330899075</v>
      </c>
    </row>
    <row r="1269">
      <c r="A1269" s="12">
        <f>IFERROR(__xludf.DUMMYFUNCTION("""COMPUTED_VALUE"""),44103.66666666667)</f>
        <v>44103.66667</v>
      </c>
      <c r="B1269" s="13">
        <f>IFERROR(__xludf.DUMMYFUNCTION("""COMPUTED_VALUE"""),3335.47)</f>
        <v>3335.47</v>
      </c>
      <c r="C1269" s="13">
        <f t="shared" si="1"/>
        <v>3368.335</v>
      </c>
      <c r="D1269" s="13">
        <f t="shared" si="2"/>
        <v>3354.16</v>
      </c>
      <c r="E1269" s="13" t="str">
        <f t="shared" si="3"/>
        <v>LONG</v>
      </c>
      <c r="F1269" s="3">
        <f t="shared" si="4"/>
        <v>-0.004812626805</v>
      </c>
      <c r="G1269" s="4">
        <f t="shared" si="5"/>
        <v>1.604084911</v>
      </c>
      <c r="H1269" s="3">
        <f t="shared" si="6"/>
        <v>-0.004812626805</v>
      </c>
      <c r="I1269" s="5">
        <f t="shared" si="7"/>
        <v>1.324493955</v>
      </c>
    </row>
    <row r="1270">
      <c r="A1270" s="12">
        <f>IFERROR(__xludf.DUMMYFUNCTION("""COMPUTED_VALUE"""),44104.66666666667)</f>
        <v>44104.66667</v>
      </c>
      <c r="B1270" s="13">
        <f>IFERROR(__xludf.DUMMYFUNCTION("""COMPUTED_VALUE"""),3363.0)</f>
        <v>3363</v>
      </c>
      <c r="C1270" s="13">
        <f t="shared" si="1"/>
        <v>3374.245</v>
      </c>
      <c r="D1270" s="13">
        <f t="shared" si="2"/>
        <v>3372.495</v>
      </c>
      <c r="E1270" s="13" t="str">
        <f t="shared" si="3"/>
        <v>LONG</v>
      </c>
      <c r="F1270" s="3">
        <f t="shared" si="4"/>
        <v>0.008253709372</v>
      </c>
      <c r="G1270" s="4">
        <f t="shared" si="5"/>
        <v>1.617324561</v>
      </c>
      <c r="H1270" s="3">
        <f t="shared" si="6"/>
        <v>0.008253709372</v>
      </c>
      <c r="I1270" s="5">
        <f t="shared" si="7"/>
        <v>1.335425943</v>
      </c>
    </row>
    <row r="1271">
      <c r="A1271" s="12">
        <f>IFERROR(__xludf.DUMMYFUNCTION("""COMPUTED_VALUE"""),44105.66666666667)</f>
        <v>44105.66667</v>
      </c>
      <c r="B1271" s="13">
        <f>IFERROR(__xludf.DUMMYFUNCTION("""COMPUTED_VALUE"""),3380.8)</f>
        <v>3380.8</v>
      </c>
      <c r="C1271" s="13">
        <f t="shared" si="1"/>
        <v>3368.905</v>
      </c>
      <c r="D1271" s="13">
        <f t="shared" si="2"/>
        <v>3385.29</v>
      </c>
      <c r="E1271" s="13" t="str">
        <f t="shared" si="3"/>
        <v/>
      </c>
      <c r="F1271" s="3">
        <f t="shared" si="4"/>
        <v>0.00529289325</v>
      </c>
      <c r="G1271" s="4">
        <f t="shared" si="5"/>
        <v>1.625884888</v>
      </c>
      <c r="H1271" s="5">
        <f t="shared" si="6"/>
        <v>0</v>
      </c>
      <c r="I1271" s="5">
        <f t="shared" si="7"/>
        <v>1.335425943</v>
      </c>
    </row>
    <row r="1272">
      <c r="A1272" s="12">
        <f>IFERROR(__xludf.DUMMYFUNCTION("""COMPUTED_VALUE"""),44106.66666666667)</f>
        <v>44106.66667</v>
      </c>
      <c r="B1272" s="13">
        <f>IFERROR(__xludf.DUMMYFUNCTION("""COMPUTED_VALUE"""),3348.44)</f>
        <v>3348.44</v>
      </c>
      <c r="C1272" s="13">
        <f t="shared" si="1"/>
        <v>3333.955</v>
      </c>
      <c r="D1272" s="13">
        <f t="shared" si="2"/>
        <v>3361.645</v>
      </c>
      <c r="E1272" s="13" t="str">
        <f t="shared" si="3"/>
        <v/>
      </c>
      <c r="F1272" s="3">
        <f t="shared" si="4"/>
        <v>-0.009571699006</v>
      </c>
      <c r="G1272" s="4">
        <f t="shared" si="5"/>
        <v>1.610322407</v>
      </c>
      <c r="H1272" s="5">
        <f t="shared" si="6"/>
        <v>0</v>
      </c>
      <c r="I1272" s="5">
        <f t="shared" si="7"/>
        <v>1.335425943</v>
      </c>
    </row>
    <row r="1273">
      <c r="A1273" s="12">
        <f>IFERROR(__xludf.DUMMYFUNCTION("""COMPUTED_VALUE"""),44109.66666666667)</f>
        <v>44109.66667</v>
      </c>
      <c r="B1273" s="13">
        <f>IFERROR(__xludf.DUMMYFUNCTION("""COMPUTED_VALUE"""),3408.63)</f>
        <v>3408.63</v>
      </c>
      <c r="C1273" s="13">
        <f t="shared" si="1"/>
        <v>3344.845</v>
      </c>
      <c r="D1273" s="13">
        <f t="shared" si="2"/>
        <v>3397.07</v>
      </c>
      <c r="E1273" s="13" t="str">
        <f t="shared" si="3"/>
        <v/>
      </c>
      <c r="F1273" s="3">
        <f t="shared" si="4"/>
        <v>0.01797553488</v>
      </c>
      <c r="G1273" s="4">
        <f t="shared" si="5"/>
        <v>1.639268813</v>
      </c>
      <c r="H1273" s="5">
        <f t="shared" si="6"/>
        <v>0</v>
      </c>
      <c r="I1273" s="5">
        <f t="shared" si="7"/>
        <v>1.335425943</v>
      </c>
    </row>
    <row r="1274">
      <c r="A1274" s="12">
        <f>IFERROR(__xludf.DUMMYFUNCTION("""COMPUTED_VALUE"""),44110.66666666667)</f>
        <v>44110.66667</v>
      </c>
      <c r="B1274" s="13">
        <f>IFERROR(__xludf.DUMMYFUNCTION("""COMPUTED_VALUE"""),3360.95)</f>
        <v>3360.95</v>
      </c>
      <c r="C1274" s="13">
        <f t="shared" si="1"/>
        <v>3338.26</v>
      </c>
      <c r="D1274" s="13">
        <f t="shared" si="2"/>
        <v>3379.055</v>
      </c>
      <c r="E1274" s="13" t="str">
        <f t="shared" si="3"/>
        <v/>
      </c>
      <c r="F1274" s="3">
        <f t="shared" si="4"/>
        <v>-0.01398802451</v>
      </c>
      <c r="G1274" s="4">
        <f t="shared" si="5"/>
        <v>1.616338681</v>
      </c>
      <c r="H1274" s="5">
        <f t="shared" si="6"/>
        <v>0</v>
      </c>
      <c r="I1274" s="5">
        <f t="shared" si="7"/>
        <v>1.335425943</v>
      </c>
    </row>
    <row r="1275">
      <c r="A1275" s="12">
        <f>IFERROR(__xludf.DUMMYFUNCTION("""COMPUTED_VALUE"""),44111.66666666667)</f>
        <v>44111.66667</v>
      </c>
      <c r="B1275" s="13">
        <f>IFERROR(__xludf.DUMMYFUNCTION("""COMPUTED_VALUE"""),3419.45)</f>
        <v>3419.45</v>
      </c>
      <c r="C1275" s="13">
        <f t="shared" si="1"/>
        <v>3328.185</v>
      </c>
      <c r="D1275" s="13">
        <f t="shared" si="2"/>
        <v>3425.365</v>
      </c>
      <c r="E1275" s="13" t="str">
        <f t="shared" si="3"/>
        <v/>
      </c>
      <c r="F1275" s="3">
        <f t="shared" si="4"/>
        <v>0.017405793</v>
      </c>
      <c r="G1275" s="4">
        <f t="shared" si="5"/>
        <v>1.644472338</v>
      </c>
      <c r="H1275" s="5">
        <f t="shared" si="6"/>
        <v>0</v>
      </c>
      <c r="I1275" s="5">
        <f t="shared" si="7"/>
        <v>1.335425943</v>
      </c>
    </row>
    <row r="1276">
      <c r="A1276" s="12">
        <f>IFERROR(__xludf.DUMMYFUNCTION("""COMPUTED_VALUE"""),44112.66666666667)</f>
        <v>44112.66667</v>
      </c>
      <c r="B1276" s="13">
        <f>IFERROR(__xludf.DUMMYFUNCTION("""COMPUTED_VALUE"""),3446.83)</f>
        <v>3446.83</v>
      </c>
      <c r="C1276" s="13">
        <f t="shared" si="1"/>
        <v>3346.71</v>
      </c>
      <c r="D1276" s="13">
        <f t="shared" si="2"/>
        <v>3445.225</v>
      </c>
      <c r="E1276" s="13" t="str">
        <f t="shared" si="3"/>
        <v/>
      </c>
      <c r="F1276" s="3">
        <f t="shared" si="4"/>
        <v>0.00800713565</v>
      </c>
      <c r="G1276" s="4">
        <f t="shared" si="5"/>
        <v>1.657639851</v>
      </c>
      <c r="H1276" s="5">
        <f t="shared" si="6"/>
        <v>0</v>
      </c>
      <c r="I1276" s="5">
        <f t="shared" si="7"/>
        <v>1.335425943</v>
      </c>
    </row>
    <row r="1277">
      <c r="A1277" s="12">
        <f>IFERROR(__xludf.DUMMYFUNCTION("""COMPUTED_VALUE"""),44113.66666666667)</f>
        <v>44113.66667</v>
      </c>
      <c r="B1277" s="13">
        <f>IFERROR(__xludf.DUMMYFUNCTION("""COMPUTED_VALUE"""),3477.13)</f>
        <v>3477.13</v>
      </c>
      <c r="C1277" s="13">
        <f t="shared" si="1"/>
        <v>3387.795</v>
      </c>
      <c r="D1277" s="13">
        <f t="shared" si="2"/>
        <v>3477.93</v>
      </c>
      <c r="E1277" s="13" t="str">
        <f t="shared" si="3"/>
        <v/>
      </c>
      <c r="F1277" s="3">
        <f t="shared" si="4"/>
        <v>0.008790685935</v>
      </c>
      <c r="G1277" s="4">
        <f t="shared" si="5"/>
        <v>1.672211642</v>
      </c>
      <c r="H1277" s="5">
        <f t="shared" si="6"/>
        <v>0</v>
      </c>
      <c r="I1277" s="5">
        <f t="shared" si="7"/>
        <v>1.335425943</v>
      </c>
    </row>
    <row r="1278">
      <c r="A1278" s="12">
        <f>IFERROR(__xludf.DUMMYFUNCTION("""COMPUTED_VALUE"""),44116.66666666667)</f>
        <v>44116.66667</v>
      </c>
      <c r="B1278" s="13">
        <f>IFERROR(__xludf.DUMMYFUNCTION("""COMPUTED_VALUE"""),3534.22)</f>
        <v>3534.22</v>
      </c>
      <c r="C1278" s="13">
        <f t="shared" si="1"/>
        <v>3442.91</v>
      </c>
      <c r="D1278" s="13">
        <f t="shared" si="2"/>
        <v>3509.385</v>
      </c>
      <c r="E1278" s="13" t="str">
        <f t="shared" si="3"/>
        <v/>
      </c>
      <c r="F1278" s="3">
        <f t="shared" si="4"/>
        <v>0.01641871313</v>
      </c>
      <c r="G1278" s="4">
        <f t="shared" si="5"/>
        <v>1.699667205</v>
      </c>
      <c r="H1278" s="5">
        <f t="shared" si="6"/>
        <v>0</v>
      </c>
      <c r="I1278" s="5">
        <f t="shared" si="7"/>
        <v>1.335425943</v>
      </c>
    </row>
    <row r="1279">
      <c r="A1279" s="12">
        <f>IFERROR(__xludf.DUMMYFUNCTION("""COMPUTED_VALUE"""),44117.66666666667)</f>
        <v>44117.66667</v>
      </c>
      <c r="B1279" s="13">
        <f>IFERROR(__xludf.DUMMYFUNCTION("""COMPUTED_VALUE"""),3511.93)</f>
        <v>3511.93</v>
      </c>
      <c r="C1279" s="13">
        <f t="shared" si="1"/>
        <v>3423.7</v>
      </c>
      <c r="D1279" s="13">
        <f t="shared" si="2"/>
        <v>3509.97</v>
      </c>
      <c r="E1279" s="13" t="str">
        <f t="shared" si="3"/>
        <v/>
      </c>
      <c r="F1279" s="3">
        <f t="shared" si="4"/>
        <v>-0.006306907889</v>
      </c>
      <c r="G1279" s="4">
        <f t="shared" si="5"/>
        <v>1.688947561</v>
      </c>
      <c r="H1279" s="5">
        <f t="shared" si="6"/>
        <v>0</v>
      </c>
      <c r="I1279" s="5">
        <f t="shared" si="7"/>
        <v>1.335425943</v>
      </c>
    </row>
    <row r="1280">
      <c r="A1280" s="12">
        <f>IFERROR(__xludf.DUMMYFUNCTION("""COMPUTED_VALUE"""),44118.66666666667)</f>
        <v>44118.66667</v>
      </c>
      <c r="B1280" s="13">
        <f>IFERROR(__xludf.DUMMYFUNCTION("""COMPUTED_VALUE"""),3488.67)</f>
        <v>3488.67</v>
      </c>
      <c r="C1280" s="13">
        <f t="shared" si="1"/>
        <v>3425.835</v>
      </c>
      <c r="D1280" s="13">
        <f t="shared" si="2"/>
        <v>3494.49</v>
      </c>
      <c r="E1280" s="13" t="str">
        <f t="shared" si="3"/>
        <v/>
      </c>
      <c r="F1280" s="3">
        <f t="shared" si="4"/>
        <v>-0.006623138844</v>
      </c>
      <c r="G1280" s="4">
        <f t="shared" si="5"/>
        <v>1.677761427</v>
      </c>
      <c r="H1280" s="5">
        <f t="shared" si="6"/>
        <v>0</v>
      </c>
      <c r="I1280" s="5">
        <f t="shared" si="7"/>
        <v>1.335425943</v>
      </c>
    </row>
    <row r="1281">
      <c r="A1281" s="12">
        <f>IFERROR(__xludf.DUMMYFUNCTION("""COMPUTED_VALUE"""),44119.66666666667)</f>
        <v>44119.66667</v>
      </c>
      <c r="B1281" s="13">
        <f>IFERROR(__xludf.DUMMYFUNCTION("""COMPUTED_VALUE"""),3483.34)</f>
        <v>3483.34</v>
      </c>
      <c r="C1281" s="13">
        <f t="shared" si="1"/>
        <v>3432.07</v>
      </c>
      <c r="D1281" s="13">
        <f t="shared" si="2"/>
        <v>3504.995</v>
      </c>
      <c r="E1281" s="13" t="str">
        <f t="shared" si="3"/>
        <v/>
      </c>
      <c r="F1281" s="3">
        <f t="shared" si="4"/>
        <v>-0.001527802859</v>
      </c>
      <c r="G1281" s="4">
        <f t="shared" si="5"/>
        <v>1.675198138</v>
      </c>
      <c r="H1281" s="5">
        <f t="shared" si="6"/>
        <v>0</v>
      </c>
      <c r="I1281" s="5">
        <f t="shared" si="7"/>
        <v>1.335425943</v>
      </c>
    </row>
    <row r="1282">
      <c r="A1282" s="12">
        <f>IFERROR(__xludf.DUMMYFUNCTION("""COMPUTED_VALUE"""),44120.66666666667)</f>
        <v>44120.66667</v>
      </c>
      <c r="B1282" s="13">
        <f>IFERROR(__xludf.DUMMYFUNCTION("""COMPUTED_VALUE"""),3483.81)</f>
        <v>3483.81</v>
      </c>
      <c r="C1282" s="13">
        <f t="shared" si="1"/>
        <v>3416.125</v>
      </c>
      <c r="D1282" s="13">
        <f t="shared" si="2"/>
        <v>3532.325</v>
      </c>
      <c r="E1282" s="13" t="str">
        <f t="shared" si="3"/>
        <v/>
      </c>
      <c r="F1282" s="3">
        <f t="shared" si="4"/>
        <v>0.0001349279714</v>
      </c>
      <c r="G1282" s="4">
        <f t="shared" si="5"/>
        <v>1.675424169</v>
      </c>
      <c r="H1282" s="5">
        <f t="shared" si="6"/>
        <v>0</v>
      </c>
      <c r="I1282" s="5">
        <f t="shared" si="7"/>
        <v>1.335425943</v>
      </c>
    </row>
    <row r="1283">
      <c r="A1283" s="12">
        <f>IFERROR(__xludf.DUMMYFUNCTION("""COMPUTED_VALUE"""),44123.66666666667)</f>
        <v>44123.66667</v>
      </c>
      <c r="B1283" s="13">
        <f>IFERROR(__xludf.DUMMYFUNCTION("""COMPUTED_VALUE"""),3426.92)</f>
        <v>3426.92</v>
      </c>
      <c r="C1283" s="13">
        <f t="shared" si="1"/>
        <v>3417.775</v>
      </c>
      <c r="D1283" s="13">
        <f t="shared" si="2"/>
        <v>3440.99</v>
      </c>
      <c r="E1283" s="13" t="str">
        <f t="shared" si="3"/>
        <v/>
      </c>
      <c r="F1283" s="3">
        <f t="shared" si="4"/>
        <v>-0.01632982281</v>
      </c>
      <c r="G1283" s="4">
        <f t="shared" si="5"/>
        <v>1.648064789</v>
      </c>
      <c r="H1283" s="5">
        <f t="shared" si="6"/>
        <v>0</v>
      </c>
      <c r="I1283" s="5">
        <f t="shared" si="7"/>
        <v>1.335425943</v>
      </c>
    </row>
    <row r="1284">
      <c r="A1284" s="12">
        <f>IFERROR(__xludf.DUMMYFUNCTION("""COMPUTED_VALUE"""),44124.66666666667)</f>
        <v>44124.66667</v>
      </c>
      <c r="B1284" s="13">
        <f>IFERROR(__xludf.DUMMYFUNCTION("""COMPUTED_VALUE"""),3443.12)</f>
        <v>3443.12</v>
      </c>
      <c r="C1284" s="13">
        <f t="shared" si="1"/>
        <v>3402.035</v>
      </c>
      <c r="D1284" s="13">
        <f t="shared" si="2"/>
        <v>3435.04</v>
      </c>
      <c r="E1284" s="13" t="str">
        <f t="shared" si="3"/>
        <v/>
      </c>
      <c r="F1284" s="3">
        <f t="shared" si="4"/>
        <v>0.004727276972</v>
      </c>
      <c r="G1284" s="4">
        <f t="shared" si="5"/>
        <v>1.655855648</v>
      </c>
      <c r="H1284" s="5">
        <f t="shared" si="6"/>
        <v>0</v>
      </c>
      <c r="I1284" s="5">
        <f t="shared" si="7"/>
        <v>1.335425943</v>
      </c>
    </row>
    <row r="1285">
      <c r="A1285" s="12">
        <f>IFERROR(__xludf.DUMMYFUNCTION("""COMPUTED_VALUE"""),44125.66666666667)</f>
        <v>44125.66667</v>
      </c>
      <c r="B1285" s="13">
        <f>IFERROR(__xludf.DUMMYFUNCTION("""COMPUTED_VALUE"""),3435.56)</f>
        <v>3435.56</v>
      </c>
      <c r="C1285" s="13">
        <f t="shared" si="1"/>
        <v>3427.505</v>
      </c>
      <c r="D1285" s="13">
        <f t="shared" si="2"/>
        <v>3383.7</v>
      </c>
      <c r="E1285" s="13" t="str">
        <f t="shared" si="3"/>
        <v>LONG</v>
      </c>
      <c r="F1285" s="3">
        <f t="shared" si="4"/>
        <v>-0.002195682985</v>
      </c>
      <c r="G1285" s="4">
        <f t="shared" si="5"/>
        <v>1.652219914</v>
      </c>
      <c r="H1285" s="3">
        <f t="shared" si="6"/>
        <v>-0.002195682985</v>
      </c>
      <c r="I1285" s="5">
        <f t="shared" si="7"/>
        <v>1.332493771</v>
      </c>
    </row>
    <row r="1286">
      <c r="A1286" s="12">
        <f>IFERROR(__xludf.DUMMYFUNCTION("""COMPUTED_VALUE"""),44126.66666666667)</f>
        <v>44126.66667</v>
      </c>
      <c r="B1286" s="13">
        <f>IFERROR(__xludf.DUMMYFUNCTION("""COMPUTED_VALUE"""),3453.49)</f>
        <v>3453.49</v>
      </c>
      <c r="C1286" s="13">
        <f t="shared" si="1"/>
        <v>3450.16</v>
      </c>
      <c r="D1286" s="13">
        <f t="shared" si="2"/>
        <v>3426.225</v>
      </c>
      <c r="E1286" s="13" t="str">
        <f t="shared" si="3"/>
        <v>LONG</v>
      </c>
      <c r="F1286" s="3">
        <f t="shared" si="4"/>
        <v>0.005218945383</v>
      </c>
      <c r="G1286" s="4">
        <f t="shared" si="5"/>
        <v>1.660842759</v>
      </c>
      <c r="H1286" s="3">
        <f t="shared" si="6"/>
        <v>0.005218945383</v>
      </c>
      <c r="I1286" s="5">
        <f t="shared" si="7"/>
        <v>1.339447983</v>
      </c>
    </row>
    <row r="1287">
      <c r="A1287" s="12">
        <f>IFERROR(__xludf.DUMMYFUNCTION("""COMPUTED_VALUE"""),44127.66666666667)</f>
        <v>44127.66667</v>
      </c>
      <c r="B1287" s="13">
        <f>IFERROR(__xludf.DUMMYFUNCTION("""COMPUTED_VALUE"""),3465.39)</f>
        <v>3465.39</v>
      </c>
      <c r="C1287" s="13">
        <f t="shared" si="1"/>
        <v>3471.26</v>
      </c>
      <c r="D1287" s="13">
        <f t="shared" si="2"/>
        <v>3402.29</v>
      </c>
      <c r="E1287" s="13" t="str">
        <f t="shared" si="3"/>
        <v>LONG</v>
      </c>
      <c r="F1287" s="3">
        <f t="shared" si="4"/>
        <v>0.003445789622</v>
      </c>
      <c r="G1287" s="4">
        <f t="shared" si="5"/>
        <v>1.666565674</v>
      </c>
      <c r="H1287" s="3">
        <f t="shared" si="6"/>
        <v>0.003445789622</v>
      </c>
      <c r="I1287" s="5">
        <f t="shared" si="7"/>
        <v>1.344063439</v>
      </c>
    </row>
    <row r="1288">
      <c r="A1288" s="12">
        <f>IFERROR(__xludf.DUMMYFUNCTION("""COMPUTED_VALUE"""),44130.66666666667)</f>
        <v>44130.66667</v>
      </c>
      <c r="B1288" s="13">
        <f>IFERROR(__xludf.DUMMYFUNCTION("""COMPUTED_VALUE"""),3400.97)</f>
        <v>3400.97</v>
      </c>
      <c r="C1288" s="13">
        <f t="shared" si="1"/>
        <v>3467.595</v>
      </c>
      <c r="D1288" s="13">
        <f t="shared" si="2"/>
        <v>3370.97</v>
      </c>
      <c r="E1288" s="13" t="str">
        <f t="shared" si="3"/>
        <v>LONG</v>
      </c>
      <c r="F1288" s="3">
        <f t="shared" si="4"/>
        <v>-0.01858953826</v>
      </c>
      <c r="G1288" s="4">
        <f t="shared" si="5"/>
        <v>1.635584988</v>
      </c>
      <c r="H1288" s="3">
        <f t="shared" si="6"/>
        <v>-0.01858953826</v>
      </c>
      <c r="I1288" s="5">
        <f t="shared" si="7"/>
        <v>1.31907792</v>
      </c>
    </row>
    <row r="1289">
      <c r="A1289" s="12">
        <f>IFERROR(__xludf.DUMMYFUNCTION("""COMPUTED_VALUE"""),44131.66666666667)</f>
        <v>44131.66667</v>
      </c>
      <c r="B1289" s="13">
        <f>IFERROR(__xludf.DUMMYFUNCTION("""COMPUTED_VALUE"""),3390.68)</f>
        <v>3390.68</v>
      </c>
      <c r="C1289" s="13">
        <f t="shared" si="1"/>
        <v>3451.305</v>
      </c>
      <c r="D1289" s="13">
        <f t="shared" si="2"/>
        <v>3387.11</v>
      </c>
      <c r="E1289" s="13" t="str">
        <f t="shared" si="3"/>
        <v>LONG</v>
      </c>
      <c r="F1289" s="3">
        <f t="shared" si="4"/>
        <v>-0.0030256074</v>
      </c>
      <c r="G1289" s="4">
        <f t="shared" si="5"/>
        <v>1.63063635</v>
      </c>
      <c r="H1289" s="3">
        <f t="shared" si="6"/>
        <v>-0.0030256074</v>
      </c>
      <c r="I1289" s="5">
        <f t="shared" si="7"/>
        <v>1.315086908</v>
      </c>
    </row>
    <row r="1290">
      <c r="A1290" s="12">
        <f>IFERROR(__xludf.DUMMYFUNCTION("""COMPUTED_VALUE"""),44132.66666666667)</f>
        <v>44132.66667</v>
      </c>
      <c r="B1290" s="13">
        <f>IFERROR(__xludf.DUMMYFUNCTION("""COMPUTED_VALUE"""),3271.03)</f>
        <v>3271.03</v>
      </c>
      <c r="C1290" s="13">
        <f t="shared" si="1"/>
        <v>3379.85</v>
      </c>
      <c r="D1290" s="13">
        <f t="shared" si="2"/>
        <v>3336.115</v>
      </c>
      <c r="E1290" s="13" t="str">
        <f t="shared" si="3"/>
        <v>LONG</v>
      </c>
      <c r="F1290" s="3">
        <f t="shared" si="4"/>
        <v>-0.03528790685</v>
      </c>
      <c r="G1290" s="4">
        <f t="shared" si="5"/>
        <v>1.573094606</v>
      </c>
      <c r="H1290" s="3">
        <f t="shared" si="6"/>
        <v>-0.03528790685</v>
      </c>
      <c r="I1290" s="5">
        <f t="shared" si="7"/>
        <v>1.268680244</v>
      </c>
    </row>
    <row r="1291">
      <c r="A1291" s="12">
        <f>IFERROR(__xludf.DUMMYFUNCTION("""COMPUTED_VALUE"""),44133.66666666667)</f>
        <v>44133.66667</v>
      </c>
      <c r="B1291" s="13">
        <f>IFERROR(__xludf.DUMMYFUNCTION("""COMPUTED_VALUE"""),3310.11)</f>
        <v>3310.11</v>
      </c>
      <c r="C1291" s="13">
        <f t="shared" si="1"/>
        <v>3396.725</v>
      </c>
      <c r="D1291" s="13">
        <f t="shared" si="2"/>
        <v>3347.8</v>
      </c>
      <c r="E1291" s="13" t="str">
        <f t="shared" si="3"/>
        <v>LONG</v>
      </c>
      <c r="F1291" s="3">
        <f t="shared" si="4"/>
        <v>0.01194730712</v>
      </c>
      <c r="G1291" s="4">
        <f t="shared" si="5"/>
        <v>1.59188885</v>
      </c>
      <c r="H1291" s="3">
        <f t="shared" si="6"/>
        <v>0.01194730712</v>
      </c>
      <c r="I1291" s="5">
        <f t="shared" si="7"/>
        <v>1.283837556</v>
      </c>
    </row>
    <row r="1292">
      <c r="A1292" s="12">
        <f>IFERROR(__xludf.DUMMYFUNCTION("""COMPUTED_VALUE"""),44134.66666666667)</f>
        <v>44134.66667</v>
      </c>
      <c r="B1292" s="13">
        <f>IFERROR(__xludf.DUMMYFUNCTION("""COMPUTED_VALUE"""),3269.96)</f>
        <v>3269.96</v>
      </c>
      <c r="C1292" s="13">
        <f t="shared" si="1"/>
        <v>3376.885</v>
      </c>
      <c r="D1292" s="13">
        <f t="shared" si="2"/>
        <v>3313.485</v>
      </c>
      <c r="E1292" s="13" t="str">
        <f t="shared" si="3"/>
        <v>LONG</v>
      </c>
      <c r="F1292" s="3">
        <f t="shared" si="4"/>
        <v>-0.01212950627</v>
      </c>
      <c r="G1292" s="4">
        <f t="shared" si="5"/>
        <v>1.572580025</v>
      </c>
      <c r="H1292" s="3">
        <f t="shared" si="6"/>
        <v>-0.01212950627</v>
      </c>
      <c r="I1292" s="5">
        <f t="shared" si="7"/>
        <v>1.268265241</v>
      </c>
    </row>
    <row r="1293">
      <c r="A1293" s="12">
        <f>IFERROR(__xludf.DUMMYFUNCTION("""COMPUTED_VALUE"""),44137.66666666667)</f>
        <v>44137.66667</v>
      </c>
      <c r="B1293" s="13">
        <f>IFERROR(__xludf.DUMMYFUNCTION("""COMPUTED_VALUE"""),3310.24)</f>
        <v>3310.24</v>
      </c>
      <c r="C1293" s="13">
        <f t="shared" si="1"/>
        <v>3368.58</v>
      </c>
      <c r="D1293" s="13">
        <f t="shared" si="2"/>
        <v>3314.855</v>
      </c>
      <c r="E1293" s="13" t="str">
        <f t="shared" si="3"/>
        <v>LONG</v>
      </c>
      <c r="F1293" s="3">
        <f t="shared" si="4"/>
        <v>0.01231819349</v>
      </c>
      <c r="G1293" s="4">
        <f t="shared" si="5"/>
        <v>1.59195137</v>
      </c>
      <c r="H1293" s="3">
        <f t="shared" si="6"/>
        <v>0.01231819349</v>
      </c>
      <c r="I1293" s="5">
        <f t="shared" si="7"/>
        <v>1.283887977</v>
      </c>
    </row>
    <row r="1294">
      <c r="A1294" s="12">
        <f>IFERROR(__xludf.DUMMYFUNCTION("""COMPUTED_VALUE"""),44138.66666666667)</f>
        <v>44138.66667</v>
      </c>
      <c r="B1294" s="13">
        <f>IFERROR(__xludf.DUMMYFUNCTION("""COMPUTED_VALUE"""),3369.02)</f>
        <v>3369.02</v>
      </c>
      <c r="C1294" s="13">
        <f t="shared" si="1"/>
        <v>3406.07</v>
      </c>
      <c r="D1294" s="13">
        <f t="shared" si="2"/>
        <v>3325.04</v>
      </c>
      <c r="E1294" s="13" t="str">
        <f t="shared" si="3"/>
        <v>LONG</v>
      </c>
      <c r="F1294" s="3">
        <f t="shared" si="4"/>
        <v>0.01775702064</v>
      </c>
      <c r="G1294" s="4">
        <f t="shared" si="5"/>
        <v>1.620219683</v>
      </c>
      <c r="H1294" s="3">
        <f t="shared" si="6"/>
        <v>0.01775702064</v>
      </c>
      <c r="I1294" s="5">
        <f t="shared" si="7"/>
        <v>1.306686003</v>
      </c>
    </row>
    <row r="1295">
      <c r="A1295" s="12">
        <f>IFERROR(__xludf.DUMMYFUNCTION("""COMPUTED_VALUE"""),44139.66666666667)</f>
        <v>44139.66667</v>
      </c>
      <c r="B1295" s="13">
        <f>IFERROR(__xludf.DUMMYFUNCTION("""COMPUTED_VALUE"""),3443.44)</f>
        <v>3443.44</v>
      </c>
      <c r="C1295" s="13">
        <f t="shared" si="1"/>
        <v>3439.5</v>
      </c>
      <c r="D1295" s="13">
        <f t="shared" si="2"/>
        <v>3379.505</v>
      </c>
      <c r="E1295" s="13" t="str">
        <f t="shared" si="3"/>
        <v>LONG</v>
      </c>
      <c r="F1295" s="3">
        <f t="shared" si="4"/>
        <v>0.02208950971</v>
      </c>
      <c r="G1295" s="4">
        <f t="shared" si="5"/>
        <v>1.656009541</v>
      </c>
      <c r="H1295" s="3">
        <f t="shared" si="6"/>
        <v>0.02208950971</v>
      </c>
      <c r="I1295" s="5">
        <f t="shared" si="7"/>
        <v>1.335550056</v>
      </c>
    </row>
    <row r="1296">
      <c r="A1296" s="12">
        <f>IFERROR(__xludf.DUMMYFUNCTION("""COMPUTED_VALUE"""),44140.66666666667)</f>
        <v>44140.66667</v>
      </c>
      <c r="B1296" s="13">
        <f>IFERROR(__xludf.DUMMYFUNCTION("""COMPUTED_VALUE"""),3510.45)</f>
        <v>3510.45</v>
      </c>
      <c r="C1296" s="13">
        <f t="shared" si="1"/>
        <v>3481.97</v>
      </c>
      <c r="D1296" s="13">
        <f t="shared" si="2"/>
        <v>3373.685</v>
      </c>
      <c r="E1296" s="13" t="str">
        <f t="shared" si="3"/>
        <v>LONG</v>
      </c>
      <c r="F1296" s="3">
        <f t="shared" si="4"/>
        <v>0.01946019097</v>
      </c>
      <c r="G1296" s="4">
        <f t="shared" si="5"/>
        <v>1.688235803</v>
      </c>
      <c r="H1296" s="3">
        <f t="shared" si="6"/>
        <v>0.01946019097</v>
      </c>
      <c r="I1296" s="5">
        <f t="shared" si="7"/>
        <v>1.361540115</v>
      </c>
    </row>
    <row r="1297">
      <c r="A1297" s="12">
        <f>IFERROR(__xludf.DUMMYFUNCTION("""COMPUTED_VALUE"""),44141.66666666667)</f>
        <v>44141.66667</v>
      </c>
      <c r="B1297" s="13">
        <f>IFERROR(__xludf.DUMMYFUNCTION("""COMPUTED_VALUE"""),3509.44)</f>
        <v>3509.44</v>
      </c>
      <c r="C1297" s="13">
        <f t="shared" si="1"/>
        <v>3487.415</v>
      </c>
      <c r="D1297" s="13">
        <f t="shared" si="2"/>
        <v>3378.015</v>
      </c>
      <c r="E1297" s="13" t="str">
        <f t="shared" si="3"/>
        <v>LONG</v>
      </c>
      <c r="F1297" s="3">
        <f t="shared" si="4"/>
        <v>-0.0002877124015</v>
      </c>
      <c r="G1297" s="4">
        <f t="shared" si="5"/>
        <v>1.687750077</v>
      </c>
      <c r="H1297" s="3">
        <f t="shared" si="6"/>
        <v>-0.0002877124015</v>
      </c>
      <c r="I1297" s="5">
        <f t="shared" si="7"/>
        <v>1.361148383</v>
      </c>
    </row>
    <row r="1298">
      <c r="A1298" s="12">
        <f>IFERROR(__xludf.DUMMYFUNCTION("""COMPUTED_VALUE"""),44144.66666666667)</f>
        <v>44144.66667</v>
      </c>
      <c r="B1298" s="13">
        <f>IFERROR(__xludf.DUMMYFUNCTION("""COMPUTED_VALUE"""),3550.5)</f>
        <v>3550.5</v>
      </c>
      <c r="C1298" s="13">
        <f t="shared" si="1"/>
        <v>3475.735</v>
      </c>
      <c r="D1298" s="13">
        <f t="shared" si="2"/>
        <v>3424.48</v>
      </c>
      <c r="E1298" s="13" t="str">
        <f t="shared" si="3"/>
        <v>LONG</v>
      </c>
      <c r="F1298" s="3">
        <f t="shared" si="4"/>
        <v>0.01169987234</v>
      </c>
      <c r="G1298" s="4">
        <f t="shared" si="5"/>
        <v>1.707496537</v>
      </c>
      <c r="H1298" s="3">
        <f t="shared" si="6"/>
        <v>0.01169987234</v>
      </c>
      <c r="I1298" s="5">
        <f t="shared" si="7"/>
        <v>1.377073645</v>
      </c>
    </row>
    <row r="1299">
      <c r="A1299" s="12">
        <f>IFERROR(__xludf.DUMMYFUNCTION("""COMPUTED_VALUE"""),44145.66666666667)</f>
        <v>44145.66667</v>
      </c>
      <c r="B1299" s="13">
        <f>IFERROR(__xludf.DUMMYFUNCTION("""COMPUTED_VALUE"""),3545.53)</f>
        <v>3545.53</v>
      </c>
      <c r="C1299" s="13">
        <f t="shared" si="1"/>
        <v>3468.105</v>
      </c>
      <c r="D1299" s="13">
        <f t="shared" si="2"/>
        <v>3448.565</v>
      </c>
      <c r="E1299" s="13" t="str">
        <f t="shared" si="3"/>
        <v>LONG</v>
      </c>
      <c r="F1299" s="3">
        <f t="shared" si="4"/>
        <v>-0.001399802845</v>
      </c>
      <c r="G1299" s="4">
        <f t="shared" si="5"/>
        <v>1.705106379</v>
      </c>
      <c r="H1299" s="3">
        <f t="shared" si="6"/>
        <v>-0.001399802845</v>
      </c>
      <c r="I1299" s="5">
        <f t="shared" si="7"/>
        <v>1.375146014</v>
      </c>
    </row>
    <row r="1300">
      <c r="A1300" s="12">
        <f>IFERROR(__xludf.DUMMYFUNCTION("""COMPUTED_VALUE"""),44146.66666666667)</f>
        <v>44146.66667</v>
      </c>
      <c r="B1300" s="13">
        <f>IFERROR(__xludf.DUMMYFUNCTION("""COMPUTED_VALUE"""),3572.66)</f>
        <v>3572.66</v>
      </c>
      <c r="C1300" s="13">
        <f t="shared" si="1"/>
        <v>3421.845</v>
      </c>
      <c r="D1300" s="13">
        <f t="shared" si="2"/>
        <v>3454.065</v>
      </c>
      <c r="E1300" s="13" t="str">
        <f t="shared" si="3"/>
        <v/>
      </c>
      <c r="F1300" s="3">
        <f t="shared" si="4"/>
        <v>0.007651888434</v>
      </c>
      <c r="G1300" s="4">
        <f t="shared" si="5"/>
        <v>1.718153663</v>
      </c>
      <c r="H1300" s="5">
        <f t="shared" si="6"/>
        <v>0</v>
      </c>
      <c r="I1300" s="5">
        <f t="shared" si="7"/>
        <v>1.375146014</v>
      </c>
    </row>
    <row r="1301">
      <c r="A1301" s="12">
        <f>IFERROR(__xludf.DUMMYFUNCTION("""COMPUTED_VALUE"""),44147.66666666667)</f>
        <v>44147.66667</v>
      </c>
      <c r="B1301" s="13">
        <f>IFERROR(__xludf.DUMMYFUNCTION("""COMPUTED_VALUE"""),3537.01)</f>
        <v>3537.01</v>
      </c>
      <c r="C1301" s="13">
        <f t="shared" si="1"/>
        <v>3423.56</v>
      </c>
      <c r="D1301" s="13">
        <f t="shared" si="2"/>
        <v>3450.005</v>
      </c>
      <c r="E1301" s="13" t="str">
        <f t="shared" si="3"/>
        <v/>
      </c>
      <c r="F1301" s="3">
        <f t="shared" si="4"/>
        <v>-0.009978559393</v>
      </c>
      <c r="G1301" s="4">
        <f t="shared" si="5"/>
        <v>1.701008964</v>
      </c>
      <c r="H1301" s="5">
        <f t="shared" si="6"/>
        <v>0</v>
      </c>
      <c r="I1301" s="5">
        <f t="shared" si="7"/>
        <v>1.375146014</v>
      </c>
    </row>
    <row r="1302">
      <c r="A1302" s="12">
        <f>IFERROR(__xludf.DUMMYFUNCTION("""COMPUTED_VALUE"""),44148.66666666667)</f>
        <v>44148.66667</v>
      </c>
      <c r="B1302" s="13">
        <f>IFERROR(__xludf.DUMMYFUNCTION("""COMPUTED_VALUE"""),3585.15)</f>
        <v>3585.15</v>
      </c>
      <c r="C1302" s="13">
        <f t="shared" si="1"/>
        <v>3427.555</v>
      </c>
      <c r="D1302" s="13">
        <f t="shared" si="2"/>
        <v>3482.975</v>
      </c>
      <c r="E1302" s="13" t="str">
        <f t="shared" si="3"/>
        <v/>
      </c>
      <c r="F1302" s="3">
        <f t="shared" si="4"/>
        <v>0.01361036582</v>
      </c>
      <c r="G1302" s="4">
        <f t="shared" si="5"/>
        <v>1.724160319</v>
      </c>
      <c r="H1302" s="5">
        <f t="shared" si="6"/>
        <v>0</v>
      </c>
      <c r="I1302" s="5">
        <f t="shared" si="7"/>
        <v>1.375146014</v>
      </c>
    </row>
    <row r="1303">
      <c r="A1303" s="12">
        <f>IFERROR(__xludf.DUMMYFUNCTION("""COMPUTED_VALUE"""),44151.66666666667)</f>
        <v>44151.66667</v>
      </c>
      <c r="B1303" s="13">
        <f>IFERROR(__xludf.DUMMYFUNCTION("""COMPUTED_VALUE"""),3626.91)</f>
        <v>3626.91</v>
      </c>
      <c r="C1303" s="13">
        <f t="shared" si="1"/>
        <v>3468.575</v>
      </c>
      <c r="D1303" s="13">
        <f t="shared" si="2"/>
        <v>3487.675</v>
      </c>
      <c r="E1303" s="13" t="str">
        <f t="shared" si="3"/>
        <v/>
      </c>
      <c r="F1303" s="3">
        <f t="shared" si="4"/>
        <v>0.0116480482</v>
      </c>
      <c r="G1303" s="4">
        <f t="shared" si="5"/>
        <v>1.744243421</v>
      </c>
      <c r="H1303" s="5">
        <f t="shared" si="6"/>
        <v>0</v>
      </c>
      <c r="I1303" s="5">
        <f t="shared" si="7"/>
        <v>1.375146014</v>
      </c>
    </row>
    <row r="1304">
      <c r="A1304" s="12">
        <f>IFERROR(__xludf.DUMMYFUNCTION("""COMPUTED_VALUE"""),44152.66666666667)</f>
        <v>44152.66667</v>
      </c>
      <c r="B1304" s="13">
        <f>IFERROR(__xludf.DUMMYFUNCTION("""COMPUTED_VALUE"""),3609.53)</f>
        <v>3609.53</v>
      </c>
      <c r="C1304" s="13">
        <f t="shared" si="1"/>
        <v>3489.275</v>
      </c>
      <c r="D1304" s="13">
        <f t="shared" si="2"/>
        <v>3509.08</v>
      </c>
      <c r="E1304" s="13" t="str">
        <f t="shared" si="3"/>
        <v/>
      </c>
      <c r="F1304" s="3">
        <f t="shared" si="4"/>
        <v>-0.004791957893</v>
      </c>
      <c r="G1304" s="4">
        <f t="shared" si="5"/>
        <v>1.73588508</v>
      </c>
      <c r="H1304" s="5">
        <f t="shared" si="6"/>
        <v>0</v>
      </c>
      <c r="I1304" s="5">
        <f t="shared" si="7"/>
        <v>1.375146014</v>
      </c>
    </row>
    <row r="1305">
      <c r="A1305" s="12">
        <f>IFERROR(__xludf.DUMMYFUNCTION("""COMPUTED_VALUE"""),44153.66666666667)</f>
        <v>44153.66667</v>
      </c>
      <c r="B1305" s="13">
        <f>IFERROR(__xludf.DUMMYFUNCTION("""COMPUTED_VALUE"""),3567.79)</f>
        <v>3567.79</v>
      </c>
      <c r="C1305" s="13">
        <f t="shared" si="1"/>
        <v>3505.615</v>
      </c>
      <c r="D1305" s="13">
        <f t="shared" si="2"/>
        <v>3464.37</v>
      </c>
      <c r="E1305" s="13" t="str">
        <f t="shared" si="3"/>
        <v>LONG</v>
      </c>
      <c r="F1305" s="3">
        <f t="shared" si="4"/>
        <v>-0.01156383241</v>
      </c>
      <c r="G1305" s="4">
        <f t="shared" si="5"/>
        <v>1.715811596</v>
      </c>
      <c r="H1305" s="3">
        <f t="shared" si="6"/>
        <v>-0.01156383241</v>
      </c>
      <c r="I1305" s="5">
        <f t="shared" si="7"/>
        <v>1.359244056</v>
      </c>
    </row>
    <row r="1306">
      <c r="A1306" s="12">
        <f>IFERROR(__xludf.DUMMYFUNCTION("""COMPUTED_VALUE"""),44154.66666666667)</f>
        <v>44154.66667</v>
      </c>
      <c r="B1306" s="13">
        <f>IFERROR(__xludf.DUMMYFUNCTION("""COMPUTED_VALUE"""),3581.87)</f>
        <v>3581.87</v>
      </c>
      <c r="C1306" s="13">
        <f t="shared" si="1"/>
        <v>3546.16</v>
      </c>
      <c r="D1306" s="13">
        <f t="shared" si="2"/>
        <v>3500.66</v>
      </c>
      <c r="E1306" s="13" t="str">
        <f t="shared" si="3"/>
        <v>LONG</v>
      </c>
      <c r="F1306" s="3">
        <f t="shared" si="4"/>
        <v>0.003946420613</v>
      </c>
      <c r="G1306" s="4">
        <f t="shared" si="5"/>
        <v>1.72258291</v>
      </c>
      <c r="H1306" s="3">
        <f t="shared" si="6"/>
        <v>0.003946420613</v>
      </c>
      <c r="I1306" s="5">
        <f t="shared" si="7"/>
        <v>1.364608204</v>
      </c>
    </row>
    <row r="1307">
      <c r="A1307" s="12">
        <f>IFERROR(__xludf.DUMMYFUNCTION("""COMPUTED_VALUE"""),44155.66666666667)</f>
        <v>44155.66667</v>
      </c>
      <c r="B1307" s="13">
        <f>IFERROR(__xludf.DUMMYFUNCTION("""COMPUTED_VALUE"""),3557.54)</f>
        <v>3557.54</v>
      </c>
      <c r="C1307" s="13">
        <f t="shared" si="1"/>
        <v>3533.49</v>
      </c>
      <c r="D1307" s="13">
        <f t="shared" si="2"/>
        <v>3502.185</v>
      </c>
      <c r="E1307" s="13" t="str">
        <f t="shared" si="3"/>
        <v>LONG</v>
      </c>
      <c r="F1307" s="3">
        <f t="shared" si="4"/>
        <v>-0.006792541326</v>
      </c>
      <c r="G1307" s="4">
        <f t="shared" si="5"/>
        <v>1.710882195</v>
      </c>
      <c r="H1307" s="3">
        <f t="shared" si="6"/>
        <v>-0.006792541326</v>
      </c>
      <c r="I1307" s="5">
        <f t="shared" si="7"/>
        <v>1.355339047</v>
      </c>
    </row>
    <row r="1308">
      <c r="A1308" s="12">
        <f>IFERROR(__xludf.DUMMYFUNCTION("""COMPUTED_VALUE"""),44158.66666666667)</f>
        <v>44158.66667</v>
      </c>
      <c r="B1308" s="13">
        <f>IFERROR(__xludf.DUMMYFUNCTION("""COMPUTED_VALUE"""),3577.59)</f>
        <v>3577.59</v>
      </c>
      <c r="C1308" s="13">
        <f t="shared" si="1"/>
        <v>3564.045</v>
      </c>
      <c r="D1308" s="13">
        <f t="shared" si="2"/>
        <v>3527.36</v>
      </c>
      <c r="E1308" s="13" t="str">
        <f t="shared" si="3"/>
        <v>LONG</v>
      </c>
      <c r="F1308" s="3">
        <f t="shared" si="4"/>
        <v>0.005635916954</v>
      </c>
      <c r="G1308" s="4">
        <f t="shared" si="5"/>
        <v>1.720524584</v>
      </c>
      <c r="H1308" s="3">
        <f t="shared" si="6"/>
        <v>0.005635916954</v>
      </c>
      <c r="I1308" s="5">
        <f t="shared" si="7"/>
        <v>1.362977625</v>
      </c>
    </row>
    <row r="1309">
      <c r="A1309" s="12">
        <f>IFERROR(__xludf.DUMMYFUNCTION("""COMPUTED_VALUE"""),44159.66666666667)</f>
        <v>44159.66667</v>
      </c>
      <c r="B1309" s="13">
        <f>IFERROR(__xludf.DUMMYFUNCTION("""COMPUTED_VALUE"""),3635.41)</f>
        <v>3635.41</v>
      </c>
      <c r="C1309" s="13">
        <f t="shared" si="1"/>
        <v>3590.47</v>
      </c>
      <c r="D1309" s="13">
        <f t="shared" si="2"/>
        <v>3584.815</v>
      </c>
      <c r="E1309" s="13" t="str">
        <f t="shared" si="3"/>
        <v>LONG</v>
      </c>
      <c r="F1309" s="3">
        <f t="shared" si="4"/>
        <v>0.0161617178</v>
      </c>
      <c r="G1309" s="4">
        <f t="shared" si="5"/>
        <v>1.748331217</v>
      </c>
      <c r="H1309" s="3">
        <f t="shared" si="6"/>
        <v>0.0161617178</v>
      </c>
      <c r="I1309" s="5">
        <f t="shared" si="7"/>
        <v>1.385005685</v>
      </c>
    </row>
    <row r="1310">
      <c r="A1310" s="12">
        <f>IFERROR(__xludf.DUMMYFUNCTION("""COMPUTED_VALUE"""),44160.66666666667)</f>
        <v>44160.66667</v>
      </c>
      <c r="B1310" s="13">
        <f>IFERROR(__xludf.DUMMYFUNCTION("""COMPUTED_VALUE"""),3629.65)</f>
        <v>3629.65</v>
      </c>
      <c r="C1310" s="13">
        <f t="shared" si="1"/>
        <v>3601.155</v>
      </c>
      <c r="D1310" s="13">
        <f t="shared" si="2"/>
        <v>3570.79</v>
      </c>
      <c r="E1310" s="13" t="str">
        <f t="shared" si="3"/>
        <v>LONG</v>
      </c>
      <c r="F1310" s="3">
        <f t="shared" si="4"/>
        <v>-0.001584415513</v>
      </c>
      <c r="G1310" s="4">
        <f t="shared" si="5"/>
        <v>1.745561134</v>
      </c>
      <c r="H1310" s="3">
        <f t="shared" si="6"/>
        <v>-0.001584415513</v>
      </c>
      <c r="I1310" s="5">
        <f t="shared" si="7"/>
        <v>1.38281126</v>
      </c>
    </row>
    <row r="1311">
      <c r="A1311" s="12">
        <f>IFERROR(__xludf.DUMMYFUNCTION("""COMPUTED_VALUE"""),44162.54166666667)</f>
        <v>44162.54167</v>
      </c>
      <c r="B1311" s="13">
        <f>IFERROR(__xludf.DUMMYFUNCTION("""COMPUTED_VALUE"""),3638.35)</f>
        <v>3638.35</v>
      </c>
      <c r="C1311" s="13">
        <f t="shared" si="1"/>
        <v>3587.68</v>
      </c>
      <c r="D1311" s="13">
        <f t="shared" si="2"/>
        <v>3563.51</v>
      </c>
      <c r="E1311" s="13" t="str">
        <f t="shared" si="3"/>
        <v>LONG</v>
      </c>
      <c r="F1311" s="3">
        <f t="shared" si="4"/>
        <v>0.002396925323</v>
      </c>
      <c r="G1311" s="4">
        <f t="shared" si="5"/>
        <v>1.749745114</v>
      </c>
      <c r="H1311" s="3">
        <f t="shared" si="6"/>
        <v>0.002396925323</v>
      </c>
      <c r="I1311" s="5">
        <f t="shared" si="7"/>
        <v>1.386125756</v>
      </c>
    </row>
    <row r="1312">
      <c r="A1312" s="12">
        <f>IFERROR(__xludf.DUMMYFUNCTION("""COMPUTED_VALUE"""),44165.66666666667)</f>
        <v>44165.66667</v>
      </c>
      <c r="B1312" s="13">
        <f>IFERROR(__xludf.DUMMYFUNCTION("""COMPUTED_VALUE"""),3621.63)</f>
        <v>3621.63</v>
      </c>
      <c r="C1312" s="13">
        <f t="shared" si="1"/>
        <v>3603.39</v>
      </c>
      <c r="D1312" s="13">
        <f t="shared" si="2"/>
        <v>3552.485</v>
      </c>
      <c r="E1312" s="13" t="str">
        <f t="shared" si="3"/>
        <v>LONG</v>
      </c>
      <c r="F1312" s="3">
        <f t="shared" si="4"/>
        <v>-0.004595489714</v>
      </c>
      <c r="G1312" s="4">
        <f t="shared" si="5"/>
        <v>1.741704178</v>
      </c>
      <c r="H1312" s="3">
        <f t="shared" si="6"/>
        <v>-0.004595489714</v>
      </c>
      <c r="I1312" s="5">
        <f t="shared" si="7"/>
        <v>1.379755829</v>
      </c>
    </row>
    <row r="1313">
      <c r="A1313" s="12">
        <f>IFERROR(__xludf.DUMMYFUNCTION("""COMPUTED_VALUE"""),44166.66666666667)</f>
        <v>44166.66667</v>
      </c>
      <c r="B1313" s="13">
        <f>IFERROR(__xludf.DUMMYFUNCTION("""COMPUTED_VALUE"""),3662.45)</f>
        <v>3662.45</v>
      </c>
      <c r="C1313" s="13">
        <f t="shared" si="1"/>
        <v>3644.68</v>
      </c>
      <c r="D1313" s="13">
        <f t="shared" si="2"/>
        <v>3573.13</v>
      </c>
      <c r="E1313" s="13" t="str">
        <f t="shared" si="3"/>
        <v>LONG</v>
      </c>
      <c r="F1313" s="3">
        <f t="shared" si="4"/>
        <v>0.01127116795</v>
      </c>
      <c r="G1313" s="4">
        <f t="shared" si="5"/>
        <v>1.761335219</v>
      </c>
      <c r="H1313" s="3">
        <f t="shared" si="6"/>
        <v>0.01127116795</v>
      </c>
      <c r="I1313" s="5">
        <f t="shared" si="7"/>
        <v>1.395307289</v>
      </c>
    </row>
    <row r="1314">
      <c r="A1314" s="12">
        <f>IFERROR(__xludf.DUMMYFUNCTION("""COMPUTED_VALUE"""),44167.66666666667)</f>
        <v>44167.66667</v>
      </c>
      <c r="B1314" s="13">
        <f>IFERROR(__xludf.DUMMYFUNCTION("""COMPUTED_VALUE"""),3669.01)</f>
        <v>3669.01</v>
      </c>
      <c r="C1314" s="13">
        <f t="shared" si="1"/>
        <v>3639.27</v>
      </c>
      <c r="D1314" s="13">
        <f t="shared" si="2"/>
        <v>3547.965</v>
      </c>
      <c r="E1314" s="13" t="str">
        <f t="shared" si="3"/>
        <v>LONG</v>
      </c>
      <c r="F1314" s="3">
        <f t="shared" si="4"/>
        <v>0.001791150732</v>
      </c>
      <c r="G1314" s="4">
        <f t="shared" si="5"/>
        <v>1.764490035</v>
      </c>
      <c r="H1314" s="3">
        <f t="shared" si="6"/>
        <v>0.001791150732</v>
      </c>
      <c r="I1314" s="5">
        <f t="shared" si="7"/>
        <v>1.397806494</v>
      </c>
    </row>
    <row r="1315">
      <c r="A1315" s="12">
        <f>IFERROR(__xludf.DUMMYFUNCTION("""COMPUTED_VALUE"""),44168.66666666667)</f>
        <v>44168.66667</v>
      </c>
      <c r="B1315" s="13">
        <f>IFERROR(__xludf.DUMMYFUNCTION("""COMPUTED_VALUE"""),3666.72)</f>
        <v>3666.72</v>
      </c>
      <c r="C1315" s="13">
        <f t="shared" si="1"/>
        <v>3617.255</v>
      </c>
      <c r="D1315" s="13">
        <f t="shared" si="2"/>
        <v>3554.92</v>
      </c>
      <c r="E1315" s="13" t="str">
        <f t="shared" si="3"/>
        <v>LONG</v>
      </c>
      <c r="F1315" s="3">
        <f t="shared" si="4"/>
        <v>-0.0006241465681</v>
      </c>
      <c r="G1315" s="4">
        <f t="shared" si="5"/>
        <v>1.763388735</v>
      </c>
      <c r="H1315" s="3">
        <f t="shared" si="6"/>
        <v>-0.0006241465681</v>
      </c>
      <c r="I1315" s="5">
        <f t="shared" si="7"/>
        <v>1.396934058</v>
      </c>
    </row>
    <row r="1316">
      <c r="A1316" s="12">
        <f>IFERROR(__xludf.DUMMYFUNCTION("""COMPUTED_VALUE"""),44169.66666666667)</f>
        <v>44169.66667</v>
      </c>
      <c r="B1316" s="13">
        <f>IFERROR(__xludf.DUMMYFUNCTION("""COMPUTED_VALUE"""),3699.12)</f>
        <v>3699.12</v>
      </c>
      <c r="C1316" s="13">
        <f t="shared" si="1"/>
        <v>3640.495</v>
      </c>
      <c r="D1316" s="13">
        <f t="shared" si="2"/>
        <v>3567.34</v>
      </c>
      <c r="E1316" s="13" t="str">
        <f t="shared" si="3"/>
        <v>LONG</v>
      </c>
      <c r="F1316" s="3">
        <f t="shared" si="4"/>
        <v>0.008836235109</v>
      </c>
      <c r="G1316" s="4">
        <f t="shared" si="5"/>
        <v>1.778970452</v>
      </c>
      <c r="H1316" s="3">
        <f t="shared" si="6"/>
        <v>0.008836235109</v>
      </c>
      <c r="I1316" s="5">
        <f t="shared" si="7"/>
        <v>1.409277696</v>
      </c>
    </row>
    <row r="1317">
      <c r="A1317" s="12">
        <f>IFERROR(__xludf.DUMMYFUNCTION("""COMPUTED_VALUE"""),44172.66666666667)</f>
        <v>44172.66667</v>
      </c>
      <c r="B1317" s="13">
        <f>IFERROR(__xludf.DUMMYFUNCTION("""COMPUTED_VALUE"""),3691.96)</f>
        <v>3691.96</v>
      </c>
      <c r="C1317" s="13">
        <f t="shared" si="1"/>
        <v>3624.75</v>
      </c>
      <c r="D1317" s="13">
        <f t="shared" si="2"/>
        <v>3572.725</v>
      </c>
      <c r="E1317" s="13" t="str">
        <f t="shared" si="3"/>
        <v>LONG</v>
      </c>
      <c r="F1317" s="3">
        <f t="shared" si="4"/>
        <v>-0.001935595493</v>
      </c>
      <c r="G1317" s="4">
        <f t="shared" si="5"/>
        <v>1.775527085</v>
      </c>
      <c r="H1317" s="3">
        <f t="shared" si="6"/>
        <v>-0.001935595493</v>
      </c>
      <c r="I1317" s="5">
        <f t="shared" si="7"/>
        <v>1.406549905</v>
      </c>
    </row>
    <row r="1318">
      <c r="A1318" s="12">
        <f>IFERROR(__xludf.DUMMYFUNCTION("""COMPUTED_VALUE"""),44173.66666666667)</f>
        <v>44173.66667</v>
      </c>
      <c r="B1318" s="13">
        <f>IFERROR(__xludf.DUMMYFUNCTION("""COMPUTED_VALUE"""),3702.25)</f>
        <v>3702.25</v>
      </c>
      <c r="C1318" s="13">
        <f t="shared" si="1"/>
        <v>3639.92</v>
      </c>
      <c r="D1318" s="13">
        <f t="shared" si="2"/>
        <v>3583.82</v>
      </c>
      <c r="E1318" s="13" t="str">
        <f t="shared" si="3"/>
        <v>LONG</v>
      </c>
      <c r="F1318" s="3">
        <f t="shared" si="4"/>
        <v>0.002787137455</v>
      </c>
      <c r="G1318" s="4">
        <f t="shared" si="5"/>
        <v>1.780475723</v>
      </c>
      <c r="H1318" s="3">
        <f t="shared" si="6"/>
        <v>0.002787137455</v>
      </c>
      <c r="I1318" s="5">
        <f t="shared" si="7"/>
        <v>1.410470152</v>
      </c>
    </row>
    <row r="1319">
      <c r="A1319" s="12">
        <f>IFERROR(__xludf.DUMMYFUNCTION("""COMPUTED_VALUE"""),44174.66666666667)</f>
        <v>44174.66667</v>
      </c>
      <c r="B1319" s="13">
        <f>IFERROR(__xludf.DUMMYFUNCTION("""COMPUTED_VALUE"""),3672.82)</f>
        <v>3672.82</v>
      </c>
      <c r="C1319" s="13">
        <f t="shared" si="1"/>
        <v>3654.115</v>
      </c>
      <c r="D1319" s="13">
        <f t="shared" si="2"/>
        <v>3536.895</v>
      </c>
      <c r="E1319" s="13" t="str">
        <f t="shared" si="3"/>
        <v>LONG</v>
      </c>
      <c r="F1319" s="3">
        <f t="shared" si="4"/>
        <v>-0.007949220069</v>
      </c>
      <c r="G1319" s="4">
        <f t="shared" si="5"/>
        <v>1.76632233</v>
      </c>
      <c r="H1319" s="3">
        <f t="shared" si="6"/>
        <v>-0.007949220069</v>
      </c>
      <c r="I1319" s="5">
        <f t="shared" si="7"/>
        <v>1.399258015</v>
      </c>
    </row>
    <row r="1320">
      <c r="A1320" s="12">
        <f>IFERROR(__xludf.DUMMYFUNCTION("""COMPUTED_VALUE"""),44175.66666666667)</f>
        <v>44175.66667</v>
      </c>
      <c r="B1320" s="13">
        <f>IFERROR(__xludf.DUMMYFUNCTION("""COMPUTED_VALUE"""),3668.1)</f>
        <v>3668.1</v>
      </c>
      <c r="C1320" s="13">
        <f t="shared" si="1"/>
        <v>3648.875</v>
      </c>
      <c r="D1320" s="13">
        <f t="shared" si="2"/>
        <v>3529.39</v>
      </c>
      <c r="E1320" s="13" t="str">
        <f t="shared" si="3"/>
        <v>LONG</v>
      </c>
      <c r="F1320" s="3">
        <f t="shared" si="4"/>
        <v>-0.001285116069</v>
      </c>
      <c r="G1320" s="4">
        <f t="shared" si="5"/>
        <v>1.764052401</v>
      </c>
      <c r="H1320" s="3">
        <f t="shared" si="6"/>
        <v>-0.001285116069</v>
      </c>
      <c r="I1320" s="5">
        <f t="shared" si="7"/>
        <v>1.397459806</v>
      </c>
    </row>
    <row r="1321">
      <c r="A1321" s="12">
        <f>IFERROR(__xludf.DUMMYFUNCTION("""COMPUTED_VALUE"""),44176.66666666667)</f>
        <v>44176.66667</v>
      </c>
      <c r="B1321" s="13">
        <f>IFERROR(__xludf.DUMMYFUNCTION("""COMPUTED_VALUE"""),3663.46)</f>
        <v>3663.46</v>
      </c>
      <c r="C1321" s="13">
        <f t="shared" si="1"/>
        <v>3650.905</v>
      </c>
      <c r="D1321" s="13">
        <f t="shared" si="2"/>
        <v>3467.245</v>
      </c>
      <c r="E1321" s="13" t="str">
        <f t="shared" si="3"/>
        <v>LONG</v>
      </c>
      <c r="F1321" s="3">
        <f t="shared" si="4"/>
        <v>-0.001264960061</v>
      </c>
      <c r="G1321" s="4">
        <f t="shared" si="5"/>
        <v>1.761820945</v>
      </c>
      <c r="H1321" s="3">
        <f t="shared" si="6"/>
        <v>-0.001264960061</v>
      </c>
      <c r="I1321" s="5">
        <f t="shared" si="7"/>
        <v>1.395692075</v>
      </c>
    </row>
    <row r="1322">
      <c r="A1322" s="12">
        <f>IFERROR(__xludf.DUMMYFUNCTION("""COMPUTED_VALUE"""),44179.66666666667)</f>
        <v>44179.66667</v>
      </c>
      <c r="B1322" s="13">
        <f>IFERROR(__xludf.DUMMYFUNCTION("""COMPUTED_VALUE"""),3647.49)</f>
        <v>3647.49</v>
      </c>
      <c r="C1322" s="13">
        <f t="shared" si="1"/>
        <v>3634.56</v>
      </c>
      <c r="D1322" s="13">
        <f t="shared" si="2"/>
        <v>3478.8</v>
      </c>
      <c r="E1322" s="13" t="str">
        <f t="shared" si="3"/>
        <v>LONG</v>
      </c>
      <c r="F1322" s="3">
        <f t="shared" si="4"/>
        <v>-0.004359266923</v>
      </c>
      <c r="G1322" s="4">
        <f t="shared" si="5"/>
        <v>1.754140697</v>
      </c>
      <c r="H1322" s="3">
        <f t="shared" si="6"/>
        <v>-0.004359266923</v>
      </c>
      <c r="I1322" s="5">
        <f t="shared" si="7"/>
        <v>1.389607881</v>
      </c>
    </row>
    <row r="1323">
      <c r="A1323" s="12">
        <f>IFERROR(__xludf.DUMMYFUNCTION("""COMPUTED_VALUE"""),44180.66666666667)</f>
        <v>44180.66667</v>
      </c>
      <c r="B1323" s="13">
        <f>IFERROR(__xludf.DUMMYFUNCTION("""COMPUTED_VALUE"""),3694.62)</f>
        <v>3694.62</v>
      </c>
      <c r="C1323" s="13">
        <f t="shared" si="1"/>
        <v>3678.535</v>
      </c>
      <c r="D1323" s="13">
        <f t="shared" si="2"/>
        <v>3482.29</v>
      </c>
      <c r="E1323" s="13" t="str">
        <f t="shared" si="3"/>
        <v>LONG</v>
      </c>
      <c r="F1323" s="3">
        <f t="shared" si="4"/>
        <v>0.01292121431</v>
      </c>
      <c r="G1323" s="4">
        <f t="shared" si="5"/>
        <v>1.776806325</v>
      </c>
      <c r="H1323" s="3">
        <f t="shared" si="6"/>
        <v>0.01292121431</v>
      </c>
      <c r="I1323" s="5">
        <f t="shared" si="7"/>
        <v>1.407563302</v>
      </c>
    </row>
    <row r="1324">
      <c r="A1324" s="12">
        <f>IFERROR(__xludf.DUMMYFUNCTION("""COMPUTED_VALUE"""),44181.66666666667)</f>
        <v>44181.66667</v>
      </c>
      <c r="B1324" s="13">
        <f>IFERROR(__xludf.DUMMYFUNCTION("""COMPUTED_VALUE"""),3701.17)</f>
        <v>3701.17</v>
      </c>
      <c r="C1324" s="13">
        <f t="shared" si="1"/>
        <v>3685.09</v>
      </c>
      <c r="D1324" s="13">
        <f t="shared" si="2"/>
        <v>3505.705</v>
      </c>
      <c r="E1324" s="13" t="str">
        <f t="shared" si="3"/>
        <v>LONG</v>
      </c>
      <c r="F1324" s="3">
        <f t="shared" si="4"/>
        <v>0.001772848087</v>
      </c>
      <c r="G1324" s="4">
        <f t="shared" si="5"/>
        <v>1.779956333</v>
      </c>
      <c r="H1324" s="3">
        <f t="shared" si="6"/>
        <v>0.001772848087</v>
      </c>
      <c r="I1324" s="5">
        <f t="shared" si="7"/>
        <v>1.410058698</v>
      </c>
    </row>
    <row r="1325">
      <c r="A1325" s="12">
        <f>IFERROR(__xludf.DUMMYFUNCTION("""COMPUTED_VALUE"""),44182.66666666667)</f>
        <v>44182.66667</v>
      </c>
      <c r="B1325" s="13">
        <f>IFERROR(__xludf.DUMMYFUNCTION("""COMPUTED_VALUE"""),3722.48)</f>
        <v>3722.48</v>
      </c>
      <c r="C1325" s="13">
        <f t="shared" si="1"/>
        <v>3694.6</v>
      </c>
      <c r="D1325" s="13">
        <f t="shared" si="2"/>
        <v>3545.75</v>
      </c>
      <c r="E1325" s="13" t="str">
        <f t="shared" si="3"/>
        <v>LONG</v>
      </c>
      <c r="F1325" s="3">
        <f t="shared" si="4"/>
        <v>0.005757638801</v>
      </c>
      <c r="G1325" s="4">
        <f t="shared" si="5"/>
        <v>1.790204678</v>
      </c>
      <c r="H1325" s="3">
        <f t="shared" si="6"/>
        <v>0.005757638801</v>
      </c>
      <c r="I1325" s="5">
        <f t="shared" si="7"/>
        <v>1.418177307</v>
      </c>
    </row>
    <row r="1326">
      <c r="A1326" s="12">
        <f>IFERROR(__xludf.DUMMYFUNCTION("""COMPUTED_VALUE"""),44183.66666666667)</f>
        <v>44183.66667</v>
      </c>
      <c r="B1326" s="13">
        <f>IFERROR(__xludf.DUMMYFUNCTION("""COMPUTED_VALUE"""),3709.41)</f>
        <v>3709.41</v>
      </c>
      <c r="C1326" s="13">
        <f t="shared" si="1"/>
        <v>3704.265</v>
      </c>
      <c r="D1326" s="13">
        <f t="shared" si="2"/>
        <v>3576.425</v>
      </c>
      <c r="E1326" s="13" t="str">
        <f t="shared" si="3"/>
        <v>LONG</v>
      </c>
      <c r="F1326" s="3">
        <f t="shared" si="4"/>
        <v>-0.003511100127</v>
      </c>
      <c r="G1326" s="4">
        <f t="shared" si="5"/>
        <v>1.78391909</v>
      </c>
      <c r="H1326" s="3">
        <f t="shared" si="6"/>
        <v>-0.003511100127</v>
      </c>
      <c r="I1326" s="5">
        <f t="shared" si="7"/>
        <v>1.413197944</v>
      </c>
    </row>
    <row r="1327">
      <c r="A1327" s="12">
        <f>IFERROR(__xludf.DUMMYFUNCTION("""COMPUTED_VALUE"""),44186.66666666667)</f>
        <v>44186.66667</v>
      </c>
      <c r="B1327" s="13">
        <f>IFERROR(__xludf.DUMMYFUNCTION("""COMPUTED_VALUE"""),3694.92)</f>
        <v>3694.92</v>
      </c>
      <c r="C1327" s="13">
        <f t="shared" si="1"/>
        <v>3693.44</v>
      </c>
      <c r="D1327" s="13">
        <f t="shared" si="2"/>
        <v>3602.685</v>
      </c>
      <c r="E1327" s="13" t="str">
        <f t="shared" si="3"/>
        <v>LONG</v>
      </c>
      <c r="F1327" s="3">
        <f t="shared" si="4"/>
        <v>-0.003906281592</v>
      </c>
      <c r="G1327" s="4">
        <f t="shared" si="5"/>
        <v>1.7769506</v>
      </c>
      <c r="H1327" s="3">
        <f t="shared" si="6"/>
        <v>-0.003906281592</v>
      </c>
      <c r="I1327" s="5">
        <f t="shared" si="7"/>
        <v>1.407677595</v>
      </c>
    </row>
    <row r="1328">
      <c r="A1328" s="12">
        <f>IFERROR(__xludf.DUMMYFUNCTION("""COMPUTED_VALUE"""),44187.66666666667)</f>
        <v>44187.66667</v>
      </c>
      <c r="B1328" s="13">
        <f>IFERROR(__xludf.DUMMYFUNCTION("""COMPUTED_VALUE"""),3687.26)</f>
        <v>3687.26</v>
      </c>
      <c r="C1328" s="13">
        <f t="shared" si="1"/>
        <v>3694.755</v>
      </c>
      <c r="D1328" s="13">
        <f t="shared" si="2"/>
        <v>3598.35</v>
      </c>
      <c r="E1328" s="13" t="str">
        <f t="shared" si="3"/>
        <v>LONG</v>
      </c>
      <c r="F1328" s="3">
        <f t="shared" si="4"/>
        <v>-0.002073116603</v>
      </c>
      <c r="G1328" s="4">
        <f t="shared" si="5"/>
        <v>1.773266774</v>
      </c>
      <c r="H1328" s="3">
        <f t="shared" si="6"/>
        <v>-0.002073116603</v>
      </c>
      <c r="I1328" s="5">
        <f t="shared" si="7"/>
        <v>1.404759315</v>
      </c>
    </row>
    <row r="1329">
      <c r="A1329" s="12">
        <f>IFERROR(__xludf.DUMMYFUNCTION("""COMPUTED_VALUE"""),44188.66666666667)</f>
        <v>44188.66667</v>
      </c>
      <c r="B1329" s="13">
        <f>IFERROR(__xludf.DUMMYFUNCTION("""COMPUTED_VALUE"""),3690.01)</f>
        <v>3690.01</v>
      </c>
      <c r="C1329" s="13">
        <f t="shared" si="1"/>
        <v>3681.415</v>
      </c>
      <c r="D1329" s="13">
        <f t="shared" si="2"/>
        <v>3620.255</v>
      </c>
      <c r="E1329" s="13" t="str">
        <f t="shared" si="3"/>
        <v>LONG</v>
      </c>
      <c r="F1329" s="3">
        <f t="shared" si="4"/>
        <v>0.0007458112528</v>
      </c>
      <c r="G1329" s="4">
        <f t="shared" si="5"/>
        <v>1.774589297</v>
      </c>
      <c r="H1329" s="3">
        <f t="shared" si="6"/>
        <v>0.0007458112528</v>
      </c>
      <c r="I1329" s="5">
        <f t="shared" si="7"/>
        <v>1.405807</v>
      </c>
    </row>
    <row r="1330">
      <c r="A1330" s="12">
        <f>IFERROR(__xludf.DUMMYFUNCTION("""COMPUTED_VALUE"""),44193.66666666667)</f>
        <v>44193.66667</v>
      </c>
      <c r="B1330" s="13">
        <f>IFERROR(__xludf.DUMMYFUNCTION("""COMPUTED_VALUE"""),3735.36)</f>
        <v>3735.36</v>
      </c>
      <c r="C1330" s="13">
        <f t="shared" si="1"/>
        <v>3701.73</v>
      </c>
      <c r="D1330" s="13">
        <f t="shared" si="2"/>
        <v>3640.445</v>
      </c>
      <c r="E1330" s="13" t="str">
        <f t="shared" si="3"/>
        <v>LONG</v>
      </c>
      <c r="F1330" s="3">
        <f t="shared" si="4"/>
        <v>0.01228993959</v>
      </c>
      <c r="G1330" s="4">
        <f t="shared" si="5"/>
        <v>1.796398892</v>
      </c>
      <c r="H1330" s="3">
        <f t="shared" si="6"/>
        <v>0.01228993959</v>
      </c>
      <c r="I1330" s="5">
        <f t="shared" si="7"/>
        <v>1.423084284</v>
      </c>
    </row>
    <row r="1331">
      <c r="A1331" s="12">
        <f>IFERROR(__xludf.DUMMYFUNCTION("""COMPUTED_VALUE"""),44194.66666666667)</f>
        <v>44194.66667</v>
      </c>
      <c r="B1331" s="13">
        <f>IFERROR(__xludf.DUMMYFUNCTION("""COMPUTED_VALUE"""),3727.04)</f>
        <v>3727.04</v>
      </c>
      <c r="C1331" s="13">
        <f t="shared" si="1"/>
        <v>3695.25</v>
      </c>
      <c r="D1331" s="13">
        <f t="shared" si="2"/>
        <v>3649.85</v>
      </c>
      <c r="E1331" s="13" t="str">
        <f t="shared" si="3"/>
        <v>LONG</v>
      </c>
      <c r="F1331" s="3">
        <f t="shared" si="4"/>
        <v>-0.002227362289</v>
      </c>
      <c r="G1331" s="4">
        <f t="shared" si="5"/>
        <v>1.792397661</v>
      </c>
      <c r="H1331" s="3">
        <f t="shared" si="6"/>
        <v>-0.002227362289</v>
      </c>
      <c r="I1331" s="5">
        <f t="shared" si="7"/>
        <v>1.419914559</v>
      </c>
    </row>
    <row r="1332">
      <c r="A1332" s="12">
        <f>IFERROR(__xludf.DUMMYFUNCTION("""COMPUTED_VALUE"""),44195.66666666667)</f>
        <v>44195.66667</v>
      </c>
      <c r="B1332" s="13">
        <f>IFERROR(__xludf.DUMMYFUNCTION("""COMPUTED_VALUE"""),3732.04)</f>
        <v>3732.04</v>
      </c>
      <c r="C1332" s="13">
        <f t="shared" si="1"/>
        <v>3689.765</v>
      </c>
      <c r="D1332" s="13">
        <f t="shared" si="2"/>
        <v>3634.525</v>
      </c>
      <c r="E1332" s="13" t="str">
        <f t="shared" si="3"/>
        <v>LONG</v>
      </c>
      <c r="F1332" s="3">
        <f t="shared" si="4"/>
        <v>0.00134154718</v>
      </c>
      <c r="G1332" s="4">
        <f t="shared" si="5"/>
        <v>1.794802247</v>
      </c>
      <c r="H1332" s="3">
        <f t="shared" si="6"/>
        <v>0.00134154718</v>
      </c>
      <c r="I1332" s="5">
        <f t="shared" si="7"/>
        <v>1.421819442</v>
      </c>
    </row>
    <row r="1333">
      <c r="A1333" s="12">
        <f>IFERROR(__xludf.DUMMYFUNCTION("""COMPUTED_VALUE"""),44196.66666666667)</f>
        <v>44196.66667</v>
      </c>
      <c r="B1333" s="13">
        <f>IFERROR(__xludf.DUMMYFUNCTION("""COMPUTED_VALUE"""),3756.07)</f>
        <v>3756.07</v>
      </c>
      <c r="C1333" s="13">
        <f t="shared" si="1"/>
        <v>3725.345</v>
      </c>
      <c r="D1333" s="13">
        <f t="shared" si="2"/>
        <v>3670.61</v>
      </c>
      <c r="E1333" s="13" t="str">
        <f t="shared" si="3"/>
        <v>LONG</v>
      </c>
      <c r="F1333" s="3">
        <f t="shared" si="4"/>
        <v>0.00643883774</v>
      </c>
      <c r="G1333" s="4">
        <f t="shared" si="5"/>
        <v>1.806358687</v>
      </c>
      <c r="H1333" s="3">
        <f t="shared" si="6"/>
        <v>0.00643883774</v>
      </c>
      <c r="I1333" s="5">
        <f t="shared" si="7"/>
        <v>1.430974306</v>
      </c>
    </row>
    <row r="1334">
      <c r="A1334" s="12">
        <f>IFERROR(__xludf.DUMMYFUNCTION("""COMPUTED_VALUE"""),44200.66666666667)</f>
        <v>44200.66667</v>
      </c>
      <c r="B1334" s="13">
        <f>IFERROR(__xludf.DUMMYFUNCTION("""COMPUTED_VALUE"""),3700.65)</f>
        <v>3700.65</v>
      </c>
      <c r="C1334" s="13">
        <f t="shared" si="1"/>
        <v>3700.91</v>
      </c>
      <c r="D1334" s="13">
        <f t="shared" si="2"/>
        <v>3663.78</v>
      </c>
      <c r="E1334" s="13" t="str">
        <f t="shared" si="3"/>
        <v>LONG</v>
      </c>
      <c r="F1334" s="3">
        <f t="shared" si="4"/>
        <v>-0.01475478359</v>
      </c>
      <c r="G1334" s="4">
        <f t="shared" si="5"/>
        <v>1.779706256</v>
      </c>
      <c r="H1334" s="3">
        <f t="shared" si="6"/>
        <v>-0.01475478359</v>
      </c>
      <c r="I1334" s="5">
        <f t="shared" si="7"/>
        <v>1.40986059</v>
      </c>
    </row>
    <row r="1335">
      <c r="A1335" s="12">
        <f>IFERROR(__xludf.DUMMYFUNCTION("""COMPUTED_VALUE"""),44201.66666666667)</f>
        <v>44201.66667</v>
      </c>
      <c r="B1335" s="13">
        <f>IFERROR(__xludf.DUMMYFUNCTION("""COMPUTED_VALUE"""),3726.86)</f>
        <v>3726.86</v>
      </c>
      <c r="C1335" s="13">
        <f t="shared" si="1"/>
        <v>3724.67</v>
      </c>
      <c r="D1335" s="13">
        <f t="shared" si="2"/>
        <v>3668.195</v>
      </c>
      <c r="E1335" s="13" t="str">
        <f t="shared" si="3"/>
        <v>LONG</v>
      </c>
      <c r="F1335" s="3">
        <f t="shared" si="4"/>
        <v>0.007082539554</v>
      </c>
      <c r="G1335" s="4">
        <f t="shared" si="5"/>
        <v>1.792311096</v>
      </c>
      <c r="H1335" s="3">
        <f t="shared" si="6"/>
        <v>0.007082539554</v>
      </c>
      <c r="I1335" s="5">
        <f t="shared" si="7"/>
        <v>1.419845983</v>
      </c>
    </row>
    <row r="1336">
      <c r="A1336" s="12">
        <f>IFERROR(__xludf.DUMMYFUNCTION("""COMPUTED_VALUE"""),44202.66666666667)</f>
        <v>44202.66667</v>
      </c>
      <c r="B1336" s="13">
        <f>IFERROR(__xludf.DUMMYFUNCTION("""COMPUTED_VALUE"""),3748.14)</f>
        <v>3748.14</v>
      </c>
      <c r="C1336" s="13">
        <f t="shared" si="1"/>
        <v>3728.775</v>
      </c>
      <c r="D1336" s="13">
        <f t="shared" si="2"/>
        <v>3657.965</v>
      </c>
      <c r="E1336" s="13" t="str">
        <f t="shared" si="3"/>
        <v>LONG</v>
      </c>
      <c r="F1336" s="3">
        <f t="shared" si="4"/>
        <v>0.00570990056</v>
      </c>
      <c r="G1336" s="4">
        <f t="shared" si="5"/>
        <v>1.802545014</v>
      </c>
      <c r="H1336" s="3">
        <f t="shared" si="6"/>
        <v>0.00570990056</v>
      </c>
      <c r="I1336" s="5">
        <f t="shared" si="7"/>
        <v>1.427953163</v>
      </c>
    </row>
    <row r="1337">
      <c r="A1337" s="12">
        <f>IFERROR(__xludf.DUMMYFUNCTION("""COMPUTED_VALUE"""),44203.66666666667)</f>
        <v>44203.66667</v>
      </c>
      <c r="B1337" s="13">
        <f>IFERROR(__xludf.DUMMYFUNCTION("""COMPUTED_VALUE"""),3803.79)</f>
        <v>3803.79</v>
      </c>
      <c r="C1337" s="13">
        <f t="shared" si="1"/>
        <v>3749.355</v>
      </c>
      <c r="D1337" s="13">
        <f t="shared" si="2"/>
        <v>3692.83</v>
      </c>
      <c r="E1337" s="13" t="str">
        <f t="shared" si="3"/>
        <v>LONG</v>
      </c>
      <c r="F1337" s="3">
        <f t="shared" si="4"/>
        <v>0.01484736429</v>
      </c>
      <c r="G1337" s="4">
        <f t="shared" si="5"/>
        <v>1.829308056</v>
      </c>
      <c r="H1337" s="3">
        <f t="shared" si="6"/>
        <v>0.01484736429</v>
      </c>
      <c r="I1337" s="5">
        <f t="shared" si="7"/>
        <v>1.449154504</v>
      </c>
    </row>
    <row r="1338">
      <c r="A1338" s="12">
        <f>IFERROR(__xludf.DUMMYFUNCTION("""COMPUTED_VALUE"""),44204.66666666667)</f>
        <v>44204.66667</v>
      </c>
      <c r="B1338" s="13">
        <f>IFERROR(__xludf.DUMMYFUNCTION("""COMPUTED_VALUE"""),3824.68)</f>
        <v>3824.68</v>
      </c>
      <c r="C1338" s="13">
        <f t="shared" si="1"/>
        <v>3755.97</v>
      </c>
      <c r="D1338" s="13">
        <f t="shared" si="2"/>
        <v>3691.11</v>
      </c>
      <c r="E1338" s="13" t="str">
        <f t="shared" si="3"/>
        <v>LONG</v>
      </c>
      <c r="F1338" s="3">
        <f t="shared" si="4"/>
        <v>0.005491890982</v>
      </c>
      <c r="G1338" s="4">
        <f t="shared" si="5"/>
        <v>1.839354417</v>
      </c>
      <c r="H1338" s="3">
        <f t="shared" si="6"/>
        <v>0.005491890982</v>
      </c>
      <c r="I1338" s="5">
        <f t="shared" si="7"/>
        <v>1.457113102</v>
      </c>
    </row>
    <row r="1339">
      <c r="A1339" s="12">
        <f>IFERROR(__xludf.DUMMYFUNCTION("""COMPUTED_VALUE"""),44207.66666666667)</f>
        <v>44207.66667</v>
      </c>
      <c r="B1339" s="13">
        <f>IFERROR(__xludf.DUMMYFUNCTION("""COMPUTED_VALUE"""),3799.61)</f>
        <v>3799.61</v>
      </c>
      <c r="C1339" s="13">
        <f t="shared" si="1"/>
        <v>3744.81</v>
      </c>
      <c r="D1339" s="13">
        <f t="shared" si="2"/>
        <v>3688.6</v>
      </c>
      <c r="E1339" s="13" t="str">
        <f t="shared" si="3"/>
        <v>LONG</v>
      </c>
      <c r="F1339" s="3">
        <f t="shared" si="4"/>
        <v>-0.006554796741</v>
      </c>
      <c r="G1339" s="4">
        <f t="shared" si="5"/>
        <v>1.827297822</v>
      </c>
      <c r="H1339" s="3">
        <f t="shared" si="6"/>
        <v>-0.006554796741</v>
      </c>
      <c r="I1339" s="5">
        <f t="shared" si="7"/>
        <v>1.447562022</v>
      </c>
    </row>
    <row r="1340">
      <c r="A1340" s="12">
        <f>IFERROR(__xludf.DUMMYFUNCTION("""COMPUTED_VALUE"""),44208.66666666667)</f>
        <v>44208.66667</v>
      </c>
      <c r="B1340" s="13">
        <f>IFERROR(__xludf.DUMMYFUNCTION("""COMPUTED_VALUE"""),3801.19)</f>
        <v>3801.19</v>
      </c>
      <c r="C1340" s="13">
        <f t="shared" si="1"/>
        <v>3768.275</v>
      </c>
      <c r="D1340" s="13">
        <f t="shared" si="2"/>
        <v>3718.3</v>
      </c>
      <c r="E1340" s="13" t="str">
        <f t="shared" si="3"/>
        <v>LONG</v>
      </c>
      <c r="F1340" s="3">
        <f t="shared" si="4"/>
        <v>0.0004158321512</v>
      </c>
      <c r="G1340" s="4">
        <f t="shared" si="5"/>
        <v>1.828057672</v>
      </c>
      <c r="H1340" s="3">
        <f t="shared" si="6"/>
        <v>0.0004158321512</v>
      </c>
      <c r="I1340" s="5">
        <f t="shared" si="7"/>
        <v>1.448163965</v>
      </c>
    </row>
    <row r="1341">
      <c r="A1341" s="12">
        <f>IFERROR(__xludf.DUMMYFUNCTION("""COMPUTED_VALUE"""),44209.66666666667)</f>
        <v>44209.66667</v>
      </c>
      <c r="B1341" s="13">
        <f>IFERROR(__xludf.DUMMYFUNCTION("""COMPUTED_VALUE"""),3809.84)</f>
        <v>3809.84</v>
      </c>
      <c r="C1341" s="13">
        <f t="shared" si="1"/>
        <v>3768.44</v>
      </c>
      <c r="D1341" s="13">
        <f t="shared" si="2"/>
        <v>3719.745</v>
      </c>
      <c r="E1341" s="13" t="str">
        <f t="shared" si="3"/>
        <v>LONG</v>
      </c>
      <c r="F1341" s="3">
        <f t="shared" si="4"/>
        <v>0.002275603166</v>
      </c>
      <c r="G1341" s="4">
        <f t="shared" si="5"/>
        <v>1.832217605</v>
      </c>
      <c r="H1341" s="3">
        <f t="shared" si="6"/>
        <v>0.002275603166</v>
      </c>
      <c r="I1341" s="5">
        <f t="shared" si="7"/>
        <v>1.451459411</v>
      </c>
    </row>
    <row r="1342">
      <c r="A1342" s="12">
        <f>IFERROR(__xludf.DUMMYFUNCTION("""COMPUTED_VALUE"""),44210.66666666667)</f>
        <v>44210.66667</v>
      </c>
      <c r="B1342" s="13">
        <f>IFERROR(__xludf.DUMMYFUNCTION("""COMPUTED_VALUE"""),3795.54)</f>
        <v>3795.54</v>
      </c>
      <c r="C1342" s="13">
        <f t="shared" si="1"/>
        <v>3763.79</v>
      </c>
      <c r="D1342" s="13">
        <f t="shared" si="2"/>
        <v>3716.945</v>
      </c>
      <c r="E1342" s="13" t="str">
        <f t="shared" si="3"/>
        <v>LONG</v>
      </c>
      <c r="F1342" s="3">
        <f t="shared" si="4"/>
        <v>-0.003753438465</v>
      </c>
      <c r="G1342" s="4">
        <f t="shared" si="5"/>
        <v>1.825340489</v>
      </c>
      <c r="H1342" s="3">
        <f t="shared" si="6"/>
        <v>-0.003753438465</v>
      </c>
      <c r="I1342" s="5">
        <f t="shared" si="7"/>
        <v>1.446011448</v>
      </c>
    </row>
    <row r="1343">
      <c r="A1343" s="12">
        <f>IFERROR(__xludf.DUMMYFUNCTION("""COMPUTED_VALUE"""),44211.66666666667)</f>
        <v>44211.66667</v>
      </c>
      <c r="B1343" s="13">
        <f>IFERROR(__xludf.DUMMYFUNCTION("""COMPUTED_VALUE"""),3768.25)</f>
        <v>3768.25</v>
      </c>
      <c r="C1343" s="13">
        <f t="shared" si="1"/>
        <v>3762.16</v>
      </c>
      <c r="D1343" s="13">
        <f t="shared" si="2"/>
        <v>3694.94</v>
      </c>
      <c r="E1343" s="13" t="str">
        <f t="shared" si="3"/>
        <v>LONG</v>
      </c>
      <c r="F1343" s="3">
        <f t="shared" si="4"/>
        <v>-0.007190017758</v>
      </c>
      <c r="G1343" s="4">
        <f t="shared" si="5"/>
        <v>1.812216259</v>
      </c>
      <c r="H1343" s="3">
        <f t="shared" si="6"/>
        <v>-0.007190017758</v>
      </c>
      <c r="I1343" s="5">
        <f t="shared" si="7"/>
        <v>1.4356146</v>
      </c>
    </row>
    <row r="1344">
      <c r="A1344" s="12">
        <f>IFERROR(__xludf.DUMMYFUNCTION("""COMPUTED_VALUE"""),44215.66666666667)</f>
        <v>44215.66667</v>
      </c>
      <c r="B1344" s="13">
        <f>IFERROR(__xludf.DUMMYFUNCTION("""COMPUTED_VALUE"""),3798.91)</f>
        <v>3798.91</v>
      </c>
      <c r="C1344" s="13">
        <f t="shared" si="1"/>
        <v>3749.78</v>
      </c>
      <c r="D1344" s="13">
        <f t="shared" si="2"/>
        <v>3730.68</v>
      </c>
      <c r="E1344" s="13" t="str">
        <f t="shared" si="3"/>
        <v>LONG</v>
      </c>
      <c r="F1344" s="3">
        <f t="shared" si="4"/>
        <v>0.00813640284</v>
      </c>
      <c r="G1344" s="4">
        <f t="shared" si="5"/>
        <v>1.82696118</v>
      </c>
      <c r="H1344" s="3">
        <f t="shared" si="6"/>
        <v>0.00813640284</v>
      </c>
      <c r="I1344" s="5">
        <f t="shared" si="7"/>
        <v>1.447295338</v>
      </c>
    </row>
    <row r="1345">
      <c r="A1345" s="12">
        <f>IFERROR(__xludf.DUMMYFUNCTION("""COMPUTED_VALUE"""),44216.66666666667)</f>
        <v>44216.66667</v>
      </c>
      <c r="B1345" s="13">
        <f>IFERROR(__xludf.DUMMYFUNCTION("""COMPUTED_VALUE"""),3851.85)</f>
        <v>3851.85</v>
      </c>
      <c r="C1345" s="13">
        <f t="shared" si="1"/>
        <v>3789.355</v>
      </c>
      <c r="D1345" s="13">
        <f t="shared" si="2"/>
        <v>3760.43</v>
      </c>
      <c r="E1345" s="13" t="str">
        <f t="shared" si="3"/>
        <v>LONG</v>
      </c>
      <c r="F1345" s="3">
        <f t="shared" si="4"/>
        <v>0.01393557626</v>
      </c>
      <c r="G1345" s="4">
        <f t="shared" si="5"/>
        <v>1.852420937</v>
      </c>
      <c r="H1345" s="3">
        <f t="shared" si="6"/>
        <v>0.01393557626</v>
      </c>
      <c r="I1345" s="5">
        <f t="shared" si="7"/>
        <v>1.467464233</v>
      </c>
    </row>
    <row r="1346">
      <c r="A1346" s="12">
        <f>IFERROR(__xludf.DUMMYFUNCTION("""COMPUTED_VALUE"""),44217.66666666667)</f>
        <v>44217.66667</v>
      </c>
      <c r="B1346" s="13">
        <f>IFERROR(__xludf.DUMMYFUNCTION("""COMPUTED_VALUE"""),3853.07)</f>
        <v>3853.07</v>
      </c>
      <c r="C1346" s="13">
        <f t="shared" si="1"/>
        <v>3800.605</v>
      </c>
      <c r="D1346" s="13">
        <f t="shared" si="2"/>
        <v>3759.895</v>
      </c>
      <c r="E1346" s="13" t="str">
        <f t="shared" si="3"/>
        <v>LONG</v>
      </c>
      <c r="F1346" s="3">
        <f t="shared" si="4"/>
        <v>0.0003167309215</v>
      </c>
      <c r="G1346" s="4">
        <f t="shared" si="5"/>
        <v>1.853007656</v>
      </c>
      <c r="H1346" s="3">
        <f t="shared" si="6"/>
        <v>0.0003167309215</v>
      </c>
      <c r="I1346" s="5">
        <f t="shared" si="7"/>
        <v>1.467929024</v>
      </c>
    </row>
    <row r="1347">
      <c r="A1347" s="12">
        <f>IFERROR(__xludf.DUMMYFUNCTION("""COMPUTED_VALUE"""),44218.66666666667)</f>
        <v>44218.66667</v>
      </c>
      <c r="B1347" s="13">
        <f>IFERROR(__xludf.DUMMYFUNCTION("""COMPUTED_VALUE"""),3841.47)</f>
        <v>3841.47</v>
      </c>
      <c r="C1347" s="13">
        <f t="shared" si="1"/>
        <v>3822.63</v>
      </c>
      <c r="D1347" s="13">
        <f t="shared" si="2"/>
        <v>3770.295</v>
      </c>
      <c r="E1347" s="13" t="str">
        <f t="shared" si="3"/>
        <v>LONG</v>
      </c>
      <c r="F1347" s="3">
        <f t="shared" si="4"/>
        <v>-0.003010586364</v>
      </c>
      <c r="G1347" s="4">
        <f t="shared" si="5"/>
        <v>1.847429017</v>
      </c>
      <c r="H1347" s="3">
        <f t="shared" si="6"/>
        <v>-0.003010586364</v>
      </c>
      <c r="I1347" s="5">
        <f t="shared" si="7"/>
        <v>1.463509697</v>
      </c>
    </row>
    <row r="1348">
      <c r="A1348" s="12">
        <f>IFERROR(__xludf.DUMMYFUNCTION("""COMPUTED_VALUE"""),44221.66666666667)</f>
        <v>44221.66667</v>
      </c>
      <c r="B1348" s="13">
        <f>IFERROR(__xludf.DUMMYFUNCTION("""COMPUTED_VALUE"""),3855.36)</f>
        <v>3855.36</v>
      </c>
      <c r="C1348" s="13">
        <f t="shared" si="1"/>
        <v>3840.02</v>
      </c>
      <c r="D1348" s="13">
        <f t="shared" si="2"/>
        <v>3773.66</v>
      </c>
      <c r="E1348" s="13" t="str">
        <f t="shared" si="3"/>
        <v>LONG</v>
      </c>
      <c r="F1348" s="3">
        <f t="shared" si="4"/>
        <v>0.003615803325</v>
      </c>
      <c r="G1348" s="4">
        <f t="shared" si="5"/>
        <v>1.854108957</v>
      </c>
      <c r="H1348" s="3">
        <f t="shared" si="6"/>
        <v>0.003615803325</v>
      </c>
      <c r="I1348" s="5">
        <f t="shared" si="7"/>
        <v>1.46880146</v>
      </c>
    </row>
    <row r="1349">
      <c r="A1349" s="12">
        <f>IFERROR(__xludf.DUMMYFUNCTION("""COMPUTED_VALUE"""),44222.66666666667)</f>
        <v>44222.66667</v>
      </c>
      <c r="B1349" s="13">
        <f>IFERROR(__xludf.DUMMYFUNCTION("""COMPUTED_VALUE"""),3849.62)</f>
        <v>3849.62</v>
      </c>
      <c r="C1349" s="13">
        <f t="shared" si="1"/>
        <v>3824.615</v>
      </c>
      <c r="D1349" s="13">
        <f t="shared" si="2"/>
        <v>3775.935</v>
      </c>
      <c r="E1349" s="13" t="str">
        <f t="shared" si="3"/>
        <v>LONG</v>
      </c>
      <c r="F1349" s="3">
        <f t="shared" si="4"/>
        <v>-0.001488836321</v>
      </c>
      <c r="G1349" s="4">
        <f t="shared" si="5"/>
        <v>1.851348492</v>
      </c>
      <c r="H1349" s="3">
        <f t="shared" si="6"/>
        <v>-0.001488836321</v>
      </c>
      <c r="I1349" s="5">
        <f t="shared" si="7"/>
        <v>1.466614655</v>
      </c>
    </row>
    <row r="1350">
      <c r="A1350" s="12">
        <f>IFERROR(__xludf.DUMMYFUNCTION("""COMPUTED_VALUE"""),44223.66666666667)</f>
        <v>44223.66667</v>
      </c>
      <c r="B1350" s="13">
        <f>IFERROR(__xludf.DUMMYFUNCTION("""COMPUTED_VALUE"""),3750.77)</f>
        <v>3750.77</v>
      </c>
      <c r="C1350" s="13">
        <f t="shared" si="1"/>
        <v>3775.98</v>
      </c>
      <c r="D1350" s="13">
        <f t="shared" si="2"/>
        <v>3711.795</v>
      </c>
      <c r="E1350" s="13" t="str">
        <f t="shared" si="3"/>
        <v>LONG</v>
      </c>
      <c r="F1350" s="3">
        <f t="shared" si="4"/>
        <v>-0.02567785911</v>
      </c>
      <c r="G1350" s="4">
        <f t="shared" si="5"/>
        <v>1.803809826</v>
      </c>
      <c r="H1350" s="3">
        <f t="shared" si="6"/>
        <v>-0.02567785911</v>
      </c>
      <c r="I1350" s="5">
        <f t="shared" si="7"/>
        <v>1.428955131</v>
      </c>
    </row>
    <row r="1351">
      <c r="A1351" s="12">
        <f>IFERROR(__xludf.DUMMYFUNCTION("""COMPUTED_VALUE"""),44224.66666666667)</f>
        <v>44224.66667</v>
      </c>
      <c r="B1351" s="13">
        <f>IFERROR(__xludf.DUMMYFUNCTION("""COMPUTED_VALUE"""),3787.38)</f>
        <v>3787.38</v>
      </c>
      <c r="C1351" s="13">
        <f t="shared" si="1"/>
        <v>3798.61</v>
      </c>
      <c r="D1351" s="13">
        <f t="shared" si="2"/>
        <v>3727.74</v>
      </c>
      <c r="E1351" s="13" t="str">
        <f t="shared" si="3"/>
        <v>LONG</v>
      </c>
      <c r="F1351" s="3">
        <f t="shared" si="4"/>
        <v>0.009760662477</v>
      </c>
      <c r="G1351" s="4">
        <f t="shared" si="5"/>
        <v>1.821416205</v>
      </c>
      <c r="H1351" s="3">
        <f t="shared" si="6"/>
        <v>0.009760662477</v>
      </c>
      <c r="I1351" s="5">
        <f t="shared" si="7"/>
        <v>1.44290268</v>
      </c>
    </row>
    <row r="1352">
      <c r="A1352" s="12">
        <f>IFERROR(__xludf.DUMMYFUNCTION("""COMPUTED_VALUE"""),44225.66666666667)</f>
        <v>44225.66667</v>
      </c>
      <c r="B1352" s="13">
        <f>IFERROR(__xludf.DUMMYFUNCTION("""COMPUTED_VALUE"""),3714.24)</f>
        <v>3714.24</v>
      </c>
      <c r="C1352" s="13">
        <f t="shared" si="1"/>
        <v>3754.89</v>
      </c>
      <c r="D1352" s="13">
        <f t="shared" si="2"/>
        <v>3688.85</v>
      </c>
      <c r="E1352" s="13" t="str">
        <f t="shared" si="3"/>
        <v>LONG</v>
      </c>
      <c r="F1352" s="3">
        <f t="shared" si="4"/>
        <v>-0.01931150294</v>
      </c>
      <c r="G1352" s="4">
        <f t="shared" si="5"/>
        <v>1.786241921</v>
      </c>
      <c r="H1352" s="3">
        <f t="shared" si="6"/>
        <v>-0.01931150294</v>
      </c>
      <c r="I1352" s="5">
        <f t="shared" si="7"/>
        <v>1.41503806</v>
      </c>
    </row>
    <row r="1353">
      <c r="A1353" s="12">
        <f>IFERROR(__xludf.DUMMYFUNCTION("""COMPUTED_VALUE"""),44228.66666666667)</f>
        <v>44228.66667</v>
      </c>
      <c r="B1353" s="13">
        <f>IFERROR(__xludf.DUMMYFUNCTION("""COMPUTED_VALUE"""),3773.86)</f>
        <v>3773.86</v>
      </c>
      <c r="C1353" s="13">
        <f t="shared" si="1"/>
        <v>3771.055</v>
      </c>
      <c r="D1353" s="13">
        <f t="shared" si="2"/>
        <v>3710.675</v>
      </c>
      <c r="E1353" s="13" t="str">
        <f t="shared" si="3"/>
        <v>LONG</v>
      </c>
      <c r="F1353" s="3">
        <f t="shared" si="4"/>
        <v>0.01605173602</v>
      </c>
      <c r="G1353" s="4">
        <f t="shared" si="5"/>
        <v>1.814914204</v>
      </c>
      <c r="H1353" s="3">
        <f t="shared" si="6"/>
        <v>0.01605173602</v>
      </c>
      <c r="I1353" s="5">
        <f t="shared" si="7"/>
        <v>1.437751878</v>
      </c>
    </row>
    <row r="1354">
      <c r="A1354" s="12">
        <f>IFERROR(__xludf.DUMMYFUNCTION("""COMPUTED_VALUE"""),44229.66666666667)</f>
        <v>44229.66667</v>
      </c>
      <c r="B1354" s="13">
        <f>IFERROR(__xludf.DUMMYFUNCTION("""COMPUTED_VALUE"""),3826.31)</f>
        <v>3826.31</v>
      </c>
      <c r="C1354" s="13">
        <f t="shared" si="1"/>
        <v>3812.61</v>
      </c>
      <c r="D1354" s="13">
        <f t="shared" si="2"/>
        <v>3760.465</v>
      </c>
      <c r="E1354" s="13" t="str">
        <f t="shared" si="3"/>
        <v>LONG</v>
      </c>
      <c r="F1354" s="3">
        <f t="shared" si="4"/>
        <v>0.01389823682</v>
      </c>
      <c r="G1354" s="4">
        <f t="shared" si="5"/>
        <v>1.840138312</v>
      </c>
      <c r="H1354" s="3">
        <f t="shared" si="6"/>
        <v>0.01389823682</v>
      </c>
      <c r="I1354" s="5">
        <f t="shared" si="7"/>
        <v>1.457734094</v>
      </c>
    </row>
    <row r="1355">
      <c r="A1355" s="12">
        <f>IFERROR(__xludf.DUMMYFUNCTION("""COMPUTED_VALUE"""),44230.66666666667)</f>
        <v>44230.66667</v>
      </c>
      <c r="B1355" s="13">
        <f>IFERROR(__xludf.DUMMYFUNCTION("""COMPUTED_VALUE"""),3830.17)</f>
        <v>3830.17</v>
      </c>
      <c r="C1355" s="13">
        <f t="shared" si="1"/>
        <v>3841.01</v>
      </c>
      <c r="D1355" s="13">
        <f t="shared" si="2"/>
        <v>3765.67</v>
      </c>
      <c r="E1355" s="13" t="str">
        <f t="shared" si="3"/>
        <v>LONG</v>
      </c>
      <c r="F1355" s="3">
        <f t="shared" si="4"/>
        <v>0.001008804828</v>
      </c>
      <c r="G1355" s="4">
        <f t="shared" si="5"/>
        <v>1.841994652</v>
      </c>
      <c r="H1355" s="3">
        <f t="shared" si="6"/>
        <v>0.001008804828</v>
      </c>
      <c r="I1355" s="5">
        <f t="shared" si="7"/>
        <v>1.459204663</v>
      </c>
    </row>
    <row r="1356">
      <c r="A1356" s="12">
        <f>IFERROR(__xludf.DUMMYFUNCTION("""COMPUTED_VALUE"""),44231.66666666667)</f>
        <v>44231.66667</v>
      </c>
      <c r="B1356" s="13">
        <f>IFERROR(__xludf.DUMMYFUNCTION("""COMPUTED_VALUE"""),3871.74)</f>
        <v>3871.74</v>
      </c>
      <c r="C1356" s="13">
        <f t="shared" si="1"/>
        <v>3862.405</v>
      </c>
      <c r="D1356" s="13">
        <f t="shared" si="2"/>
        <v>3797.11</v>
      </c>
      <c r="E1356" s="13" t="str">
        <f t="shared" si="3"/>
        <v>LONG</v>
      </c>
      <c r="F1356" s="3">
        <f t="shared" si="4"/>
        <v>0.01085330416</v>
      </c>
      <c r="G1356" s="4">
        <f t="shared" si="5"/>
        <v>1.86198638</v>
      </c>
      <c r="H1356" s="3">
        <f t="shared" si="6"/>
        <v>0.01085330416</v>
      </c>
      <c r="I1356" s="5">
        <f t="shared" si="7"/>
        <v>1.475041855</v>
      </c>
    </row>
    <row r="1357">
      <c r="A1357" s="12">
        <f>IFERROR(__xludf.DUMMYFUNCTION("""COMPUTED_VALUE"""),44232.66666666667)</f>
        <v>44232.66667</v>
      </c>
      <c r="B1357" s="13">
        <f>IFERROR(__xludf.DUMMYFUNCTION("""COMPUTED_VALUE"""),3886.83)</f>
        <v>3886.83</v>
      </c>
      <c r="C1357" s="13">
        <f t="shared" si="1"/>
        <v>3864.15</v>
      </c>
      <c r="D1357" s="13">
        <f t="shared" si="2"/>
        <v>3798.12</v>
      </c>
      <c r="E1357" s="13" t="str">
        <f t="shared" si="3"/>
        <v>LONG</v>
      </c>
      <c r="F1357" s="3">
        <f t="shared" si="4"/>
        <v>0.003897472454</v>
      </c>
      <c r="G1357" s="4">
        <f t="shared" si="5"/>
        <v>1.869243421</v>
      </c>
      <c r="H1357" s="3">
        <f t="shared" si="6"/>
        <v>0.003897472454</v>
      </c>
      <c r="I1357" s="5">
        <f t="shared" si="7"/>
        <v>1.48079079</v>
      </c>
    </row>
    <row r="1358">
      <c r="A1358" s="12">
        <f>IFERROR(__xludf.DUMMYFUNCTION("""COMPUTED_VALUE"""),44235.66666666667)</f>
        <v>44235.66667</v>
      </c>
      <c r="B1358" s="13">
        <f>IFERROR(__xludf.DUMMYFUNCTION("""COMPUTED_VALUE"""),3915.59)</f>
        <v>3915.59</v>
      </c>
      <c r="C1358" s="13">
        <f t="shared" si="1"/>
        <v>3885.475</v>
      </c>
      <c r="D1358" s="13">
        <f t="shared" si="2"/>
        <v>3805.255</v>
      </c>
      <c r="E1358" s="13" t="str">
        <f t="shared" si="3"/>
        <v>LONG</v>
      </c>
      <c r="F1358" s="3">
        <f t="shared" si="4"/>
        <v>0.007399345997</v>
      </c>
      <c r="G1358" s="4">
        <f t="shared" si="5"/>
        <v>1.8830746</v>
      </c>
      <c r="H1358" s="3">
        <f t="shared" si="6"/>
        <v>0.007399345997</v>
      </c>
      <c r="I1358" s="5">
        <f t="shared" si="7"/>
        <v>1.491747674</v>
      </c>
    </row>
    <row r="1359">
      <c r="A1359" s="12">
        <f>IFERROR(__xludf.DUMMYFUNCTION("""COMPUTED_VALUE"""),44236.66666666667)</f>
        <v>44236.66667</v>
      </c>
      <c r="B1359" s="13">
        <f>IFERROR(__xludf.DUMMYFUNCTION("""COMPUTED_VALUE"""),3911.23)</f>
        <v>3911.23</v>
      </c>
      <c r="C1359" s="13">
        <f t="shared" si="1"/>
        <v>3880.425</v>
      </c>
      <c r="D1359" s="13">
        <f t="shared" si="2"/>
        <v>3799.245</v>
      </c>
      <c r="E1359" s="13" t="str">
        <f t="shared" si="3"/>
        <v>LONG</v>
      </c>
      <c r="F1359" s="3">
        <f t="shared" si="4"/>
        <v>-0.001113497583</v>
      </c>
      <c r="G1359" s="4">
        <f t="shared" si="5"/>
        <v>1.880977801</v>
      </c>
      <c r="H1359" s="3">
        <f t="shared" si="6"/>
        <v>-0.001113497583</v>
      </c>
      <c r="I1359" s="5">
        <f t="shared" si="7"/>
        <v>1.490086616</v>
      </c>
    </row>
    <row r="1360">
      <c r="A1360" s="12">
        <f>IFERROR(__xludf.DUMMYFUNCTION("""COMPUTED_VALUE"""),44237.66666666667)</f>
        <v>44237.66667</v>
      </c>
      <c r="B1360" s="13">
        <f>IFERROR(__xludf.DUMMYFUNCTION("""COMPUTED_VALUE"""),3909.88)</f>
        <v>3909.88</v>
      </c>
      <c r="C1360" s="13">
        <f t="shared" si="1"/>
        <v>3830.325</v>
      </c>
      <c r="D1360" s="13">
        <f t="shared" si="2"/>
        <v>3799.945</v>
      </c>
      <c r="E1360" s="13" t="str">
        <f t="shared" si="3"/>
        <v>LONG</v>
      </c>
      <c r="F1360" s="3">
        <f t="shared" si="4"/>
        <v>-0.0003451599625</v>
      </c>
      <c r="G1360" s="4">
        <f t="shared" si="5"/>
        <v>1.880328563</v>
      </c>
      <c r="H1360" s="3">
        <f t="shared" si="6"/>
        <v>-0.0003451599625</v>
      </c>
      <c r="I1360" s="5">
        <f t="shared" si="7"/>
        <v>1.489572298</v>
      </c>
    </row>
    <row r="1361">
      <c r="A1361" s="12">
        <f>IFERROR(__xludf.DUMMYFUNCTION("""COMPUTED_VALUE"""),44238.66666666667)</f>
        <v>44238.66667</v>
      </c>
      <c r="B1361" s="13">
        <f>IFERROR(__xludf.DUMMYFUNCTION("""COMPUTED_VALUE"""),3916.38)</f>
        <v>3916.38</v>
      </c>
      <c r="C1361" s="13">
        <f t="shared" si="1"/>
        <v>3851.88</v>
      </c>
      <c r="D1361" s="13">
        <f t="shared" si="2"/>
        <v>3825.87</v>
      </c>
      <c r="E1361" s="13" t="str">
        <f t="shared" si="3"/>
        <v>LONG</v>
      </c>
      <c r="F1361" s="3">
        <f t="shared" si="4"/>
        <v>0.001662455114</v>
      </c>
      <c r="G1361" s="4">
        <f t="shared" si="5"/>
        <v>1.883454524</v>
      </c>
      <c r="H1361" s="3">
        <f t="shared" si="6"/>
        <v>0.001662455114</v>
      </c>
      <c r="I1361" s="5">
        <f t="shared" si="7"/>
        <v>1.492048645</v>
      </c>
    </row>
    <row r="1362">
      <c r="A1362" s="12">
        <f>IFERROR(__xludf.DUMMYFUNCTION("""COMPUTED_VALUE"""),44239.66666666667)</f>
        <v>44239.66667</v>
      </c>
      <c r="B1362" s="13">
        <f>IFERROR(__xludf.DUMMYFUNCTION("""COMPUTED_VALUE"""),3934.83)</f>
        <v>3934.83</v>
      </c>
      <c r="C1362" s="13">
        <f t="shared" si="1"/>
        <v>3824.535</v>
      </c>
      <c r="D1362" s="13">
        <f t="shared" si="2"/>
        <v>3830.935</v>
      </c>
      <c r="E1362" s="13" t="str">
        <f t="shared" si="3"/>
        <v/>
      </c>
      <c r="F1362" s="3">
        <f t="shared" si="4"/>
        <v>0.004710983102</v>
      </c>
      <c r="G1362" s="4">
        <f t="shared" si="5"/>
        <v>1.892327447</v>
      </c>
      <c r="H1362" s="5">
        <f t="shared" si="6"/>
        <v>0</v>
      </c>
      <c r="I1362" s="5">
        <f t="shared" si="7"/>
        <v>1.492048645</v>
      </c>
    </row>
    <row r="1363">
      <c r="A1363" s="12">
        <f>IFERROR(__xludf.DUMMYFUNCTION("""COMPUTED_VALUE"""),44243.66666666667)</f>
        <v>44243.66667</v>
      </c>
      <c r="B1363" s="13">
        <f>IFERROR(__xludf.DUMMYFUNCTION("""COMPUTED_VALUE"""),3932.59)</f>
        <v>3932.59</v>
      </c>
      <c r="C1363" s="13">
        <f t="shared" si="1"/>
        <v>3853.225</v>
      </c>
      <c r="D1363" s="13">
        <f t="shared" si="2"/>
        <v>3832.315</v>
      </c>
      <c r="E1363" s="13" t="str">
        <f t="shared" si="3"/>
        <v>LONG</v>
      </c>
      <c r="F1363" s="3">
        <f t="shared" si="4"/>
        <v>-0.0005692749115</v>
      </c>
      <c r="G1363" s="4">
        <f t="shared" si="5"/>
        <v>1.891250192</v>
      </c>
      <c r="H1363" s="3">
        <f t="shared" si="6"/>
        <v>-0.0005692749115</v>
      </c>
      <c r="I1363" s="5">
        <f t="shared" si="7"/>
        <v>1.491199259</v>
      </c>
    </row>
    <row r="1364">
      <c r="A1364" s="12">
        <f>IFERROR(__xludf.DUMMYFUNCTION("""COMPUTED_VALUE"""),44244.66666666667)</f>
        <v>44244.66667</v>
      </c>
      <c r="B1364" s="13">
        <f>IFERROR(__xludf.DUMMYFUNCTION("""COMPUTED_VALUE"""),3931.33)</f>
        <v>3931.33</v>
      </c>
      <c r="C1364" s="13">
        <f t="shared" si="1"/>
        <v>3878.82</v>
      </c>
      <c r="D1364" s="13">
        <f t="shared" si="2"/>
        <v>3843.7</v>
      </c>
      <c r="E1364" s="13" t="str">
        <f t="shared" si="3"/>
        <v>LONG</v>
      </c>
      <c r="F1364" s="3">
        <f t="shared" si="4"/>
        <v>-0.0003203995331</v>
      </c>
      <c r="G1364" s="4">
        <f t="shared" si="5"/>
        <v>1.890644237</v>
      </c>
      <c r="H1364" s="3">
        <f t="shared" si="6"/>
        <v>-0.0003203995331</v>
      </c>
      <c r="I1364" s="5">
        <f t="shared" si="7"/>
        <v>1.49072148</v>
      </c>
    </row>
    <row r="1365">
      <c r="A1365" s="12">
        <f>IFERROR(__xludf.DUMMYFUNCTION("""COMPUTED_VALUE"""),44245.66666666667)</f>
        <v>44245.66667</v>
      </c>
      <c r="B1365" s="13">
        <f>IFERROR(__xludf.DUMMYFUNCTION("""COMPUTED_VALUE"""),3913.97)</f>
        <v>3913.97</v>
      </c>
      <c r="C1365" s="13">
        <f t="shared" si="1"/>
        <v>3872.07</v>
      </c>
      <c r="D1365" s="13">
        <f t="shared" si="2"/>
        <v>3807.31</v>
      </c>
      <c r="E1365" s="13" t="str">
        <f t="shared" si="3"/>
        <v>LONG</v>
      </c>
      <c r="F1365" s="3">
        <f t="shared" si="4"/>
        <v>-0.004415808391</v>
      </c>
      <c r="G1365" s="4">
        <f t="shared" si="5"/>
        <v>1.882295514</v>
      </c>
      <c r="H1365" s="3">
        <f t="shared" si="6"/>
        <v>-0.004415808391</v>
      </c>
      <c r="I1365" s="5">
        <f t="shared" si="7"/>
        <v>1.484138739</v>
      </c>
    </row>
    <row r="1366">
      <c r="A1366" s="12">
        <f>IFERROR(__xludf.DUMMYFUNCTION("""COMPUTED_VALUE"""),44246.66666666667)</f>
        <v>44246.66667</v>
      </c>
      <c r="B1366" s="13">
        <f>IFERROR(__xludf.DUMMYFUNCTION("""COMPUTED_VALUE"""),3906.71)</f>
        <v>3906.71</v>
      </c>
      <c r="C1366" s="13">
        <f t="shared" si="1"/>
        <v>3889.225</v>
      </c>
      <c r="D1366" s="13">
        <f t="shared" si="2"/>
        <v>3816.785</v>
      </c>
      <c r="E1366" s="13" t="str">
        <f t="shared" si="3"/>
        <v>LONG</v>
      </c>
      <c r="F1366" s="3">
        <f t="shared" si="4"/>
        <v>-0.001854894136</v>
      </c>
      <c r="G1366" s="4">
        <f t="shared" si="5"/>
        <v>1.878804055</v>
      </c>
      <c r="H1366" s="3">
        <f t="shared" si="6"/>
        <v>-0.001854894136</v>
      </c>
      <c r="I1366" s="5">
        <f t="shared" si="7"/>
        <v>1.481385819</v>
      </c>
    </row>
    <row r="1367">
      <c r="A1367" s="12">
        <f>IFERROR(__xludf.DUMMYFUNCTION("""COMPUTED_VALUE"""),44249.66666666667)</f>
        <v>44249.66667</v>
      </c>
      <c r="B1367" s="13">
        <f>IFERROR(__xludf.DUMMYFUNCTION("""COMPUTED_VALUE"""),3876.5)</f>
        <v>3876.5</v>
      </c>
      <c r="C1367" s="13">
        <f t="shared" si="1"/>
        <v>3881.665</v>
      </c>
      <c r="D1367" s="13">
        <f t="shared" si="2"/>
        <v>3812.32</v>
      </c>
      <c r="E1367" s="13" t="str">
        <f t="shared" si="3"/>
        <v>LONG</v>
      </c>
      <c r="F1367" s="3">
        <f t="shared" si="4"/>
        <v>-0.00773284938</v>
      </c>
      <c r="G1367" s="4">
        <f t="shared" si="5"/>
        <v>1.864275546</v>
      </c>
      <c r="H1367" s="3">
        <f t="shared" si="6"/>
        <v>-0.00773284938</v>
      </c>
      <c r="I1367" s="5">
        <f t="shared" si="7"/>
        <v>1.469930485</v>
      </c>
    </row>
    <row r="1368">
      <c r="A1368" s="12">
        <f>IFERROR(__xludf.DUMMYFUNCTION("""COMPUTED_VALUE"""),44250.66666666667)</f>
        <v>44250.66667</v>
      </c>
      <c r="B1368" s="13">
        <f>IFERROR(__xludf.DUMMYFUNCTION("""COMPUTED_VALUE"""),3881.37)</f>
        <v>3881.37</v>
      </c>
      <c r="C1368" s="13">
        <f t="shared" si="1"/>
        <v>3898.48</v>
      </c>
      <c r="D1368" s="13">
        <f t="shared" si="2"/>
        <v>3842.58</v>
      </c>
      <c r="E1368" s="13" t="str">
        <f t="shared" si="3"/>
        <v>LONG</v>
      </c>
      <c r="F1368" s="3">
        <f t="shared" si="4"/>
        <v>0.001256287889</v>
      </c>
      <c r="G1368" s="4">
        <f t="shared" si="5"/>
        <v>1.866617613</v>
      </c>
      <c r="H1368" s="3">
        <f t="shared" si="6"/>
        <v>0.001256287889</v>
      </c>
      <c r="I1368" s="5">
        <f t="shared" si="7"/>
        <v>1.471777141</v>
      </c>
    </row>
    <row r="1369">
      <c r="A1369" s="12">
        <f>IFERROR(__xludf.DUMMYFUNCTION("""COMPUTED_VALUE"""),44251.66666666667)</f>
        <v>44251.66667</v>
      </c>
      <c r="B1369" s="13">
        <f>IFERROR(__xludf.DUMMYFUNCTION("""COMPUTED_VALUE"""),3925.43)</f>
        <v>3925.43</v>
      </c>
      <c r="C1369" s="13">
        <f t="shared" si="1"/>
        <v>3918.33</v>
      </c>
      <c r="D1369" s="13">
        <f t="shared" si="2"/>
        <v>3875.055</v>
      </c>
      <c r="E1369" s="13" t="str">
        <f t="shared" si="3"/>
        <v>LONG</v>
      </c>
      <c r="F1369" s="3">
        <f t="shared" si="4"/>
        <v>0.01135166191</v>
      </c>
      <c r="G1369" s="4">
        <f t="shared" si="5"/>
        <v>1.887806825</v>
      </c>
      <c r="H1369" s="3">
        <f t="shared" si="6"/>
        <v>0.01135166191</v>
      </c>
      <c r="I1369" s="5">
        <f t="shared" si="7"/>
        <v>1.488484258</v>
      </c>
    </row>
    <row r="1370">
      <c r="A1370" s="12">
        <f>IFERROR(__xludf.DUMMYFUNCTION("""COMPUTED_VALUE"""),44252.66666666667)</f>
        <v>44252.66667</v>
      </c>
      <c r="B1370" s="13">
        <f>IFERROR(__xludf.DUMMYFUNCTION("""COMPUTED_VALUE"""),3829.34)</f>
        <v>3829.34</v>
      </c>
      <c r="C1370" s="13">
        <f t="shared" si="1"/>
        <v>3869.61</v>
      </c>
      <c r="D1370" s="13">
        <f t="shared" si="2"/>
        <v>3814.475</v>
      </c>
      <c r="E1370" s="13" t="str">
        <f t="shared" si="3"/>
        <v>LONG</v>
      </c>
      <c r="F1370" s="3">
        <f t="shared" si="4"/>
        <v>-0.0244788469</v>
      </c>
      <c r="G1370" s="4">
        <f t="shared" si="5"/>
        <v>1.841595491</v>
      </c>
      <c r="H1370" s="3">
        <f t="shared" si="6"/>
        <v>-0.0244788469</v>
      </c>
      <c r="I1370" s="5">
        <f t="shared" si="7"/>
        <v>1.45204788</v>
      </c>
    </row>
    <row r="1371">
      <c r="A1371" s="12">
        <f>IFERROR(__xludf.DUMMYFUNCTION("""COMPUTED_VALUE"""),44253.66666666667)</f>
        <v>44253.66667</v>
      </c>
      <c r="B1371" s="13">
        <f>IFERROR(__xludf.DUMMYFUNCTION("""COMPUTED_VALUE"""),3811.15)</f>
        <v>3811.15</v>
      </c>
      <c r="C1371" s="13">
        <f t="shared" si="1"/>
        <v>3863.765</v>
      </c>
      <c r="D1371" s="13">
        <f t="shared" si="2"/>
        <v>3806.17</v>
      </c>
      <c r="E1371" s="13" t="str">
        <f t="shared" si="3"/>
        <v>LONG</v>
      </c>
      <c r="F1371" s="3">
        <f t="shared" si="4"/>
        <v>-0.004750165825</v>
      </c>
      <c r="G1371" s="4">
        <f t="shared" si="5"/>
        <v>1.832847607</v>
      </c>
      <c r="H1371" s="3">
        <f t="shared" si="6"/>
        <v>-0.004750165825</v>
      </c>
      <c r="I1371" s="5">
        <f t="shared" si="7"/>
        <v>1.445150411</v>
      </c>
    </row>
    <row r="1372">
      <c r="A1372" s="12">
        <f>IFERROR(__xludf.DUMMYFUNCTION("""COMPUTED_VALUE"""),44256.66666666667)</f>
        <v>44256.66667</v>
      </c>
      <c r="B1372" s="13">
        <f>IFERROR(__xludf.DUMMYFUNCTION("""COMPUTED_VALUE"""),3901.82)</f>
        <v>3901.82</v>
      </c>
      <c r="C1372" s="13">
        <f t="shared" si="1"/>
        <v>3918.325</v>
      </c>
      <c r="D1372" s="13">
        <f t="shared" si="2"/>
        <v>3855.83</v>
      </c>
      <c r="E1372" s="13" t="str">
        <f t="shared" si="3"/>
        <v>LONG</v>
      </c>
      <c r="F1372" s="3">
        <f t="shared" si="4"/>
        <v>0.02379071934</v>
      </c>
      <c r="G1372" s="4">
        <f t="shared" si="5"/>
        <v>1.87645237</v>
      </c>
      <c r="H1372" s="3">
        <f t="shared" si="6"/>
        <v>0.02379071934</v>
      </c>
      <c r="I1372" s="5">
        <f t="shared" si="7"/>
        <v>1.479531579</v>
      </c>
    </row>
    <row r="1373">
      <c r="A1373" s="12">
        <f>IFERROR(__xludf.DUMMYFUNCTION("""COMPUTED_VALUE"""),44257.66666666667)</f>
        <v>44257.66667</v>
      </c>
      <c r="B1373" s="13">
        <f>IFERROR(__xludf.DUMMYFUNCTION("""COMPUTED_VALUE"""),3870.29)</f>
        <v>3870.29</v>
      </c>
      <c r="C1373" s="13">
        <f t="shared" si="1"/>
        <v>3901.44</v>
      </c>
      <c r="D1373" s="13">
        <f t="shared" si="2"/>
        <v>3832.915</v>
      </c>
      <c r="E1373" s="13" t="str">
        <f t="shared" si="3"/>
        <v>LONG</v>
      </c>
      <c r="F1373" s="3">
        <f t="shared" si="4"/>
        <v>-0.008080844324</v>
      </c>
      <c r="G1373" s="4">
        <f t="shared" si="5"/>
        <v>1.86128905</v>
      </c>
      <c r="H1373" s="3">
        <f t="shared" si="6"/>
        <v>-0.008080844324</v>
      </c>
      <c r="I1373" s="5">
        <f t="shared" si="7"/>
        <v>1.467575715</v>
      </c>
    </row>
    <row r="1374">
      <c r="A1374" s="12">
        <f>IFERROR(__xludf.DUMMYFUNCTION("""COMPUTED_VALUE"""),44258.66666666667)</f>
        <v>44258.66667</v>
      </c>
      <c r="B1374" s="13">
        <f>IFERROR(__xludf.DUMMYFUNCTION("""COMPUTED_VALUE"""),3819.72)</f>
        <v>3819.72</v>
      </c>
      <c r="C1374" s="13">
        <f t="shared" si="1"/>
        <v>3875.525</v>
      </c>
      <c r="D1374" s="13">
        <f t="shared" si="2"/>
        <v>3793.985</v>
      </c>
      <c r="E1374" s="13" t="str">
        <f t="shared" si="3"/>
        <v>LONG</v>
      </c>
      <c r="F1374" s="3">
        <f t="shared" si="4"/>
        <v>-0.01306620434</v>
      </c>
      <c r="G1374" s="4">
        <f t="shared" si="5"/>
        <v>1.836969067</v>
      </c>
      <c r="H1374" s="3">
        <f t="shared" si="6"/>
        <v>-0.01306620434</v>
      </c>
      <c r="I1374" s="5">
        <f t="shared" si="7"/>
        <v>1.448400071</v>
      </c>
    </row>
    <row r="1375">
      <c r="A1375" s="12">
        <f>IFERROR(__xludf.DUMMYFUNCTION("""COMPUTED_VALUE"""),44259.66666666667)</f>
        <v>44259.66667</v>
      </c>
      <c r="B1375" s="13">
        <f>IFERROR(__xludf.DUMMYFUNCTION("""COMPUTED_VALUE"""),3768.47)</f>
        <v>3768.47</v>
      </c>
      <c r="C1375" s="13">
        <f t="shared" si="1"/>
        <v>3841.22</v>
      </c>
      <c r="D1375" s="13">
        <f t="shared" si="2"/>
        <v>3783.69</v>
      </c>
      <c r="E1375" s="13" t="str">
        <f t="shared" si="3"/>
        <v>LONG</v>
      </c>
      <c r="F1375" s="3">
        <f t="shared" si="4"/>
        <v>-0.01341721383</v>
      </c>
      <c r="G1375" s="4">
        <f t="shared" si="5"/>
        <v>1.812322061</v>
      </c>
      <c r="H1375" s="3">
        <f t="shared" si="6"/>
        <v>-0.01341721383</v>
      </c>
      <c r="I1375" s="5">
        <f t="shared" si="7"/>
        <v>1.428966577</v>
      </c>
    </row>
    <row r="1376">
      <c r="A1376" s="12">
        <f>IFERROR(__xludf.DUMMYFUNCTION("""COMPUTED_VALUE"""),44260.66666666667)</f>
        <v>44260.66667</v>
      </c>
      <c r="B1376" s="13">
        <f>IFERROR(__xludf.DUMMYFUNCTION("""COMPUTED_VALUE"""),3841.94)</f>
        <v>3841.94</v>
      </c>
      <c r="C1376" s="13">
        <f t="shared" si="1"/>
        <v>3874.325</v>
      </c>
      <c r="D1376" s="13">
        <f t="shared" si="2"/>
        <v>3846.895</v>
      </c>
      <c r="E1376" s="13" t="str">
        <f t="shared" si="3"/>
        <v>LONG</v>
      </c>
      <c r="F1376" s="3">
        <f t="shared" si="4"/>
        <v>0.01949597582</v>
      </c>
      <c r="G1376" s="4">
        <f t="shared" si="5"/>
        <v>1.847655048</v>
      </c>
      <c r="H1376" s="3">
        <f t="shared" si="6"/>
        <v>0.01949597582</v>
      </c>
      <c r="I1376" s="5">
        <f t="shared" si="7"/>
        <v>1.456825675</v>
      </c>
    </row>
    <row r="1377">
      <c r="A1377" s="12">
        <f>IFERROR(__xludf.DUMMYFUNCTION("""COMPUTED_VALUE"""),44263.66666666667)</f>
        <v>44263.66667</v>
      </c>
      <c r="B1377" s="13">
        <f>IFERROR(__xludf.DUMMYFUNCTION("""COMPUTED_VALUE"""),3821.35)</f>
        <v>3821.35</v>
      </c>
      <c r="C1377" s="13">
        <f t="shared" si="1"/>
        <v>3848.925</v>
      </c>
      <c r="D1377" s="13">
        <f t="shared" si="2"/>
        <v>3837.21</v>
      </c>
      <c r="E1377" s="13" t="str">
        <f t="shared" si="3"/>
        <v>LONG</v>
      </c>
      <c r="F1377" s="3">
        <f t="shared" si="4"/>
        <v>-0.005359271618</v>
      </c>
      <c r="G1377" s="4">
        <f t="shared" si="5"/>
        <v>1.837752962</v>
      </c>
      <c r="H1377" s="3">
        <f t="shared" si="6"/>
        <v>-0.005359271618</v>
      </c>
      <c r="I1377" s="5">
        <f t="shared" si="7"/>
        <v>1.449018151</v>
      </c>
    </row>
    <row r="1378">
      <c r="A1378" s="12">
        <f>IFERROR(__xludf.DUMMYFUNCTION("""COMPUTED_VALUE"""),44264.66666666667)</f>
        <v>44264.66667</v>
      </c>
      <c r="B1378" s="13">
        <f>IFERROR(__xludf.DUMMYFUNCTION("""COMPUTED_VALUE"""),3875.44)</f>
        <v>3875.44</v>
      </c>
      <c r="C1378" s="13">
        <f t="shared" si="1"/>
        <v>3878.405</v>
      </c>
      <c r="D1378" s="13">
        <f t="shared" si="2"/>
        <v>3858.455</v>
      </c>
      <c r="E1378" s="13" t="str">
        <f t="shared" si="3"/>
        <v>LONG</v>
      </c>
      <c r="F1378" s="3">
        <f t="shared" si="4"/>
        <v>0.01415468355</v>
      </c>
      <c r="G1378" s="4">
        <f t="shared" si="5"/>
        <v>1.863765774</v>
      </c>
      <c r="H1378" s="3">
        <f t="shared" si="6"/>
        <v>0.01415468355</v>
      </c>
      <c r="I1378" s="5">
        <f t="shared" si="7"/>
        <v>1.469528544</v>
      </c>
    </row>
    <row r="1379">
      <c r="A1379" s="12">
        <f>IFERROR(__xludf.DUMMYFUNCTION("""COMPUTED_VALUE"""),44265.66666666667)</f>
        <v>44265.66667</v>
      </c>
      <c r="B1379" s="13">
        <f>IFERROR(__xludf.DUMMYFUNCTION("""COMPUTED_VALUE"""),3898.81)</f>
        <v>3898.81</v>
      </c>
      <c r="C1379" s="13">
        <f t="shared" si="1"/>
        <v>3912.12</v>
      </c>
      <c r="D1379" s="13">
        <f t="shared" si="2"/>
        <v>3877.085</v>
      </c>
      <c r="E1379" s="13" t="str">
        <f t="shared" si="3"/>
        <v>LONG</v>
      </c>
      <c r="F1379" s="3">
        <f t="shared" si="4"/>
        <v>0.006030283013</v>
      </c>
      <c r="G1379" s="4">
        <f t="shared" si="5"/>
        <v>1.875004809</v>
      </c>
      <c r="H1379" s="3">
        <f t="shared" si="6"/>
        <v>0.006030283013</v>
      </c>
      <c r="I1379" s="5">
        <f t="shared" si="7"/>
        <v>1.478390217</v>
      </c>
    </row>
    <row r="1380">
      <c r="A1380" s="12">
        <f>IFERROR(__xludf.DUMMYFUNCTION("""COMPUTED_VALUE"""),44266.66666666667)</f>
        <v>44266.66667</v>
      </c>
      <c r="B1380" s="13">
        <f>IFERROR(__xludf.DUMMYFUNCTION("""COMPUTED_VALUE"""),3939.34)</f>
        <v>3939.34</v>
      </c>
      <c r="C1380" s="13">
        <f t="shared" si="1"/>
        <v>3884.34</v>
      </c>
      <c r="D1380" s="13">
        <f t="shared" si="2"/>
        <v>3894.48</v>
      </c>
      <c r="E1380" s="13" t="str">
        <f t="shared" si="3"/>
        <v/>
      </c>
      <c r="F1380" s="3">
        <f t="shared" si="4"/>
        <v>0.01039547965</v>
      </c>
      <c r="G1380" s="4">
        <f t="shared" si="5"/>
        <v>1.894496384</v>
      </c>
      <c r="H1380" s="5">
        <f t="shared" si="6"/>
        <v>0</v>
      </c>
      <c r="I1380" s="5">
        <f t="shared" si="7"/>
        <v>1.478390217</v>
      </c>
    </row>
    <row r="1381">
      <c r="A1381" s="12">
        <f>IFERROR(__xludf.DUMMYFUNCTION("""COMPUTED_VALUE"""),44267.66666666667)</f>
        <v>44267.66667</v>
      </c>
      <c r="B1381" s="13">
        <f>IFERROR(__xludf.DUMMYFUNCTION("""COMPUTED_VALUE"""),3943.34)</f>
        <v>3943.34</v>
      </c>
      <c r="C1381" s="13">
        <f t="shared" si="1"/>
        <v>3877.245</v>
      </c>
      <c r="D1381" s="13">
        <f t="shared" si="2"/>
        <v>3847.055</v>
      </c>
      <c r="E1381" s="13" t="str">
        <f t="shared" si="3"/>
        <v>LONG</v>
      </c>
      <c r="F1381" s="3">
        <f t="shared" si="4"/>
        <v>0.001015398519</v>
      </c>
      <c r="G1381" s="4">
        <f t="shared" si="5"/>
        <v>1.896420052</v>
      </c>
      <c r="H1381" s="3">
        <f t="shared" si="6"/>
        <v>0.001015398519</v>
      </c>
      <c r="I1381" s="5">
        <f t="shared" si="7"/>
        <v>1.479891372</v>
      </c>
    </row>
    <row r="1382">
      <c r="A1382" s="12">
        <f>IFERROR(__xludf.DUMMYFUNCTION("""COMPUTED_VALUE"""),44270.66666666667)</f>
        <v>44270.66667</v>
      </c>
      <c r="B1382" s="13">
        <f>IFERROR(__xludf.DUMMYFUNCTION("""COMPUTED_VALUE"""),3968.94)</f>
        <v>3968.94</v>
      </c>
      <c r="C1382" s="13">
        <f t="shared" si="1"/>
        <v>3935.38</v>
      </c>
      <c r="D1382" s="13">
        <f t="shared" si="2"/>
        <v>3878.16</v>
      </c>
      <c r="E1382" s="13" t="str">
        <f t="shared" si="3"/>
        <v>LONG</v>
      </c>
      <c r="F1382" s="3">
        <f t="shared" si="4"/>
        <v>0.006491958593</v>
      </c>
      <c r="G1382" s="4">
        <f t="shared" si="5"/>
        <v>1.908731533</v>
      </c>
      <c r="H1382" s="3">
        <f t="shared" si="6"/>
        <v>0.006491958593</v>
      </c>
      <c r="I1382" s="5">
        <f t="shared" si="7"/>
        <v>1.489498766</v>
      </c>
    </row>
    <row r="1383">
      <c r="A1383" s="12">
        <f>IFERROR(__xludf.DUMMYFUNCTION("""COMPUTED_VALUE"""),44271.66666666667)</f>
        <v>44271.66667</v>
      </c>
      <c r="B1383" s="13">
        <f>IFERROR(__xludf.DUMMYFUNCTION("""COMPUTED_VALUE"""),3962.71)</f>
        <v>3962.71</v>
      </c>
      <c r="C1383" s="13">
        <f t="shared" si="1"/>
        <v>3916.5</v>
      </c>
      <c r="D1383" s="13">
        <f t="shared" si="2"/>
        <v>3838.475</v>
      </c>
      <c r="E1383" s="13" t="str">
        <f t="shared" si="3"/>
        <v>LONG</v>
      </c>
      <c r="F1383" s="3">
        <f t="shared" si="4"/>
        <v>-0.001569688632</v>
      </c>
      <c r="G1383" s="4">
        <f t="shared" si="5"/>
        <v>1.905735419</v>
      </c>
      <c r="H1383" s="3">
        <f t="shared" si="6"/>
        <v>-0.001569688632</v>
      </c>
      <c r="I1383" s="5">
        <f t="shared" si="7"/>
        <v>1.487160716</v>
      </c>
    </row>
    <row r="1384">
      <c r="A1384" s="12">
        <f>IFERROR(__xludf.DUMMYFUNCTION("""COMPUTED_VALUE"""),44272.66666666667)</f>
        <v>44272.66667</v>
      </c>
      <c r="B1384" s="13">
        <f>IFERROR(__xludf.DUMMYFUNCTION("""COMPUTED_VALUE"""),3974.12)</f>
        <v>3974.12</v>
      </c>
      <c r="C1384" s="13">
        <f t="shared" si="1"/>
        <v>3896.92</v>
      </c>
      <c r="D1384" s="13">
        <f t="shared" si="2"/>
        <v>3873.99</v>
      </c>
      <c r="E1384" s="13" t="str">
        <f t="shared" si="3"/>
        <v>LONG</v>
      </c>
      <c r="F1384" s="3">
        <f t="shared" si="4"/>
        <v>0.002879342672</v>
      </c>
      <c r="G1384" s="4">
        <f t="shared" si="5"/>
        <v>1.911222684</v>
      </c>
      <c r="H1384" s="3">
        <f t="shared" si="6"/>
        <v>0.002879342672</v>
      </c>
      <c r="I1384" s="5">
        <f t="shared" si="7"/>
        <v>1.491442762</v>
      </c>
    </row>
    <row r="1385">
      <c r="A1385" s="12">
        <f>IFERROR(__xludf.DUMMYFUNCTION("""COMPUTED_VALUE"""),44273.66666666667)</f>
        <v>44273.66667</v>
      </c>
      <c r="B1385" s="13">
        <f>IFERROR(__xludf.DUMMYFUNCTION("""COMPUTED_VALUE"""),3915.46)</f>
        <v>3915.46</v>
      </c>
      <c r="C1385" s="13">
        <f t="shared" si="1"/>
        <v>3841.965</v>
      </c>
      <c r="D1385" s="13">
        <f t="shared" si="2"/>
        <v>3870.885</v>
      </c>
      <c r="E1385" s="13" t="str">
        <f t="shared" si="3"/>
        <v/>
      </c>
      <c r="F1385" s="3">
        <f t="shared" si="4"/>
        <v>-0.01476050044</v>
      </c>
      <c r="G1385" s="4">
        <f t="shared" si="5"/>
        <v>1.883012081</v>
      </c>
      <c r="H1385" s="5">
        <f t="shared" si="6"/>
        <v>0</v>
      </c>
      <c r="I1385" s="5">
        <f t="shared" si="7"/>
        <v>1.491442762</v>
      </c>
    </row>
    <row r="1386">
      <c r="A1386" s="12">
        <f>IFERROR(__xludf.DUMMYFUNCTION("""COMPUTED_VALUE"""),44274.66666666667)</f>
        <v>44274.66667</v>
      </c>
      <c r="B1386" s="13">
        <f>IFERROR(__xludf.DUMMYFUNCTION("""COMPUTED_VALUE"""),3913.1)</f>
        <v>3913.1</v>
      </c>
      <c r="C1386" s="13">
        <f t="shared" si="1"/>
        <v>3877.52</v>
      </c>
      <c r="D1386" s="13">
        <f t="shared" si="2"/>
        <v>3871.635</v>
      </c>
      <c r="E1386" s="13" t="str">
        <f t="shared" si="3"/>
        <v>LONG</v>
      </c>
      <c r="F1386" s="3">
        <f t="shared" si="4"/>
        <v>-0.0006027388864</v>
      </c>
      <c r="G1386" s="4">
        <f t="shared" si="5"/>
        <v>1.881877116</v>
      </c>
      <c r="H1386" s="3">
        <f t="shared" si="6"/>
        <v>-0.0006027388864</v>
      </c>
      <c r="I1386" s="5">
        <f t="shared" si="7"/>
        <v>1.490543811</v>
      </c>
    </row>
    <row r="1387">
      <c r="A1387" s="12">
        <f>IFERROR(__xludf.DUMMYFUNCTION("""COMPUTED_VALUE"""),44277.66666666667)</f>
        <v>44277.66667</v>
      </c>
      <c r="B1387" s="13">
        <f>IFERROR(__xludf.DUMMYFUNCTION("""COMPUTED_VALUE"""),3940.59)</f>
        <v>3940.59</v>
      </c>
      <c r="C1387" s="13">
        <f t="shared" si="1"/>
        <v>3880.97</v>
      </c>
      <c r="D1387" s="13">
        <f t="shared" si="2"/>
        <v>3906.165</v>
      </c>
      <c r="E1387" s="13" t="str">
        <f t="shared" si="3"/>
        <v/>
      </c>
      <c r="F1387" s="3">
        <f t="shared" si="4"/>
        <v>0.007025120748</v>
      </c>
      <c r="G1387" s="4">
        <f t="shared" si="5"/>
        <v>1.89509753</v>
      </c>
      <c r="H1387" s="5">
        <f t="shared" si="6"/>
        <v>0</v>
      </c>
      <c r="I1387" s="5">
        <f t="shared" si="7"/>
        <v>1.490543811</v>
      </c>
    </row>
    <row r="1388">
      <c r="A1388" s="12">
        <f>IFERROR(__xludf.DUMMYFUNCTION("""COMPUTED_VALUE"""),44278.66666666667)</f>
        <v>44278.66667</v>
      </c>
      <c r="B1388" s="13">
        <f>IFERROR(__xludf.DUMMYFUNCTION("""COMPUTED_VALUE"""),3910.52)</f>
        <v>3910.52</v>
      </c>
      <c r="C1388" s="13">
        <f t="shared" si="1"/>
        <v>3892.98</v>
      </c>
      <c r="D1388" s="13">
        <f t="shared" si="2"/>
        <v>3898.675</v>
      </c>
      <c r="E1388" s="13" t="str">
        <f t="shared" si="3"/>
        <v/>
      </c>
      <c r="F1388" s="3">
        <f t="shared" si="4"/>
        <v>-0.007630837007</v>
      </c>
      <c r="G1388" s="4">
        <f t="shared" si="5"/>
        <v>1.88063635</v>
      </c>
      <c r="H1388" s="5">
        <f t="shared" si="6"/>
        <v>0</v>
      </c>
      <c r="I1388" s="5">
        <f t="shared" si="7"/>
        <v>1.490543811</v>
      </c>
    </row>
    <row r="1389">
      <c r="A1389" s="12">
        <f>IFERROR(__xludf.DUMMYFUNCTION("""COMPUTED_VALUE"""),44279.66666666667)</f>
        <v>44279.66667</v>
      </c>
      <c r="B1389" s="13">
        <f>IFERROR(__xludf.DUMMYFUNCTION("""COMPUTED_VALUE"""),3889.14)</f>
        <v>3889.14</v>
      </c>
      <c r="C1389" s="13">
        <f t="shared" si="1"/>
        <v>3893.975</v>
      </c>
      <c r="D1389" s="13">
        <f t="shared" si="2"/>
        <v>3902.365</v>
      </c>
      <c r="E1389" s="13" t="str">
        <f t="shared" si="3"/>
        <v/>
      </c>
      <c r="F1389" s="3">
        <f t="shared" si="4"/>
        <v>-0.005467303581</v>
      </c>
      <c r="G1389" s="4">
        <f t="shared" si="5"/>
        <v>1.87035434</v>
      </c>
      <c r="H1389" s="5">
        <f t="shared" si="6"/>
        <v>0</v>
      </c>
      <c r="I1389" s="5">
        <f t="shared" si="7"/>
        <v>1.490543811</v>
      </c>
    </row>
    <row r="1390">
      <c r="A1390" s="12">
        <f>IFERROR(__xludf.DUMMYFUNCTION("""COMPUTED_VALUE"""),44280.66666666667)</f>
        <v>44280.66667</v>
      </c>
      <c r="B1390" s="13">
        <f>IFERROR(__xludf.DUMMYFUNCTION("""COMPUTED_VALUE"""),3909.52)</f>
        <v>3909.52</v>
      </c>
      <c r="C1390" s="13">
        <f t="shared" si="1"/>
        <v>3924.43</v>
      </c>
      <c r="D1390" s="13">
        <f t="shared" si="2"/>
        <v>3910.375</v>
      </c>
      <c r="E1390" s="13" t="str">
        <f t="shared" si="3"/>
        <v>LONG</v>
      </c>
      <c r="F1390" s="3">
        <f t="shared" si="4"/>
        <v>0.005240233059</v>
      </c>
      <c r="G1390" s="4">
        <f t="shared" si="5"/>
        <v>1.880155432</v>
      </c>
      <c r="H1390" s="3">
        <f t="shared" si="6"/>
        <v>0.005240233059</v>
      </c>
      <c r="I1390" s="5">
        <f t="shared" si="7"/>
        <v>1.498354608</v>
      </c>
    </row>
    <row r="1391">
      <c r="A1391" s="12">
        <f>IFERROR(__xludf.DUMMYFUNCTION("""COMPUTED_VALUE"""),44281.66666666667)</f>
        <v>44281.66667</v>
      </c>
      <c r="B1391" s="13">
        <f>IFERROR(__xludf.DUMMYFUNCTION("""COMPUTED_VALUE"""),3974.54)</f>
        <v>3974.54</v>
      </c>
      <c r="C1391" s="13">
        <f t="shared" si="1"/>
        <v>3958.94</v>
      </c>
      <c r="D1391" s="13">
        <f t="shared" si="2"/>
        <v>3942.21</v>
      </c>
      <c r="E1391" s="13" t="str">
        <f t="shared" si="3"/>
        <v>LONG</v>
      </c>
      <c r="F1391" s="3">
        <f t="shared" si="4"/>
        <v>0.01663119769</v>
      </c>
      <c r="G1391" s="4">
        <f t="shared" si="5"/>
        <v>1.911424669</v>
      </c>
      <c r="H1391" s="3">
        <f t="shared" si="6"/>
        <v>0.01663119769</v>
      </c>
      <c r="I1391" s="5">
        <f t="shared" si="7"/>
        <v>1.52327404</v>
      </c>
    </row>
    <row r="1392">
      <c r="A1392" s="12">
        <f>IFERROR(__xludf.DUMMYFUNCTION("""COMPUTED_VALUE"""),44284.66666666667)</f>
        <v>44284.66667</v>
      </c>
      <c r="B1392" s="13">
        <f>IFERROR(__xludf.DUMMYFUNCTION("""COMPUTED_VALUE"""),3971.09)</f>
        <v>3971.09</v>
      </c>
      <c r="C1392" s="13">
        <f t="shared" si="1"/>
        <v>3970.015</v>
      </c>
      <c r="D1392" s="13">
        <f t="shared" si="2"/>
        <v>3943.735</v>
      </c>
      <c r="E1392" s="13" t="str">
        <f t="shared" si="3"/>
        <v>LONG</v>
      </c>
      <c r="F1392" s="3">
        <f t="shared" si="4"/>
        <v>-0.000868024979</v>
      </c>
      <c r="G1392" s="4">
        <f t="shared" si="5"/>
        <v>1.909765505</v>
      </c>
      <c r="H1392" s="3">
        <f t="shared" si="6"/>
        <v>-0.000868024979</v>
      </c>
      <c r="I1392" s="5">
        <f t="shared" si="7"/>
        <v>1.5219518</v>
      </c>
    </row>
    <row r="1393">
      <c r="A1393" s="12">
        <f>IFERROR(__xludf.DUMMYFUNCTION("""COMPUTED_VALUE"""),44285.66666666667)</f>
        <v>44285.66667</v>
      </c>
      <c r="B1393" s="13">
        <f>IFERROR(__xludf.DUMMYFUNCTION("""COMPUTED_VALUE"""),3958.55)</f>
        <v>3958.55</v>
      </c>
      <c r="C1393" s="13">
        <f t="shared" si="1"/>
        <v>3960.63</v>
      </c>
      <c r="D1393" s="13">
        <f t="shared" si="2"/>
        <v>3946.69</v>
      </c>
      <c r="E1393" s="13" t="str">
        <f t="shared" si="3"/>
        <v>LONG</v>
      </c>
      <c r="F1393" s="3">
        <f t="shared" si="4"/>
        <v>-0.003157823167</v>
      </c>
      <c r="G1393" s="4">
        <f t="shared" si="5"/>
        <v>1.903734803</v>
      </c>
      <c r="H1393" s="3">
        <f t="shared" si="6"/>
        <v>-0.003157823167</v>
      </c>
      <c r="I1393" s="5">
        <f t="shared" si="7"/>
        <v>1.517145745</v>
      </c>
    </row>
    <row r="1394">
      <c r="A1394" s="12">
        <f>IFERROR(__xludf.DUMMYFUNCTION("""COMPUTED_VALUE"""),44286.66666666667)</f>
        <v>44286.66667</v>
      </c>
      <c r="B1394" s="13">
        <f>IFERROR(__xludf.DUMMYFUNCTION("""COMPUTED_VALUE"""),3972.89)</f>
        <v>3972.89</v>
      </c>
      <c r="C1394" s="13">
        <f t="shared" si="1"/>
        <v>3973.505</v>
      </c>
      <c r="D1394" s="13">
        <f t="shared" si="2"/>
        <v>3952.74</v>
      </c>
      <c r="E1394" s="13" t="str">
        <f t="shared" si="3"/>
        <v>LONG</v>
      </c>
      <c r="F1394" s="3">
        <f t="shared" si="4"/>
        <v>0.003622538556</v>
      </c>
      <c r="G1394" s="4">
        <f t="shared" si="5"/>
        <v>1.910631156</v>
      </c>
      <c r="H1394" s="3">
        <f t="shared" si="6"/>
        <v>0.003622538556</v>
      </c>
      <c r="I1394" s="5">
        <f t="shared" si="7"/>
        <v>1.522641664</v>
      </c>
    </row>
    <row r="1395">
      <c r="A1395" s="12">
        <f>IFERROR(__xludf.DUMMYFUNCTION("""COMPUTED_VALUE"""),44287.66666666667)</f>
        <v>44287.66667</v>
      </c>
      <c r="B1395" s="13">
        <f>IFERROR(__xludf.DUMMYFUNCTION("""COMPUTED_VALUE"""),4019.87)</f>
        <v>4019.87</v>
      </c>
      <c r="C1395" s="13">
        <f t="shared" si="1"/>
        <v>3967.665</v>
      </c>
      <c r="D1395" s="13">
        <f t="shared" si="2"/>
        <v>3975.6</v>
      </c>
      <c r="E1395" s="13" t="str">
        <f t="shared" si="3"/>
        <v/>
      </c>
      <c r="F1395" s="3">
        <f t="shared" si="4"/>
        <v>0.01182514492</v>
      </c>
      <c r="G1395" s="4">
        <f t="shared" si="5"/>
        <v>1.933224646</v>
      </c>
      <c r="H1395" s="5">
        <f t="shared" si="6"/>
        <v>0</v>
      </c>
      <c r="I1395" s="5">
        <f t="shared" si="7"/>
        <v>1.522641664</v>
      </c>
    </row>
    <row r="1396">
      <c r="A1396" s="12">
        <f>IFERROR(__xludf.DUMMYFUNCTION("""COMPUTED_VALUE"""),44291.66666666667)</f>
        <v>44291.66667</v>
      </c>
      <c r="B1396" s="13">
        <f>IFERROR(__xludf.DUMMYFUNCTION("""COMPUTED_VALUE"""),4077.91)</f>
        <v>4077.91</v>
      </c>
      <c r="C1396" s="13">
        <f t="shared" si="1"/>
        <v>3995.505</v>
      </c>
      <c r="D1396" s="13">
        <f t="shared" si="2"/>
        <v>3995.94</v>
      </c>
      <c r="E1396" s="13" t="str">
        <f t="shared" si="3"/>
        <v/>
      </c>
      <c r="F1396" s="3">
        <f t="shared" si="4"/>
        <v>0.01443827785</v>
      </c>
      <c r="G1396" s="4">
        <f t="shared" si="5"/>
        <v>1.961137081</v>
      </c>
      <c r="H1396" s="5">
        <f t="shared" si="6"/>
        <v>0</v>
      </c>
      <c r="I1396" s="5">
        <f t="shared" si="7"/>
        <v>1.522641664</v>
      </c>
    </row>
    <row r="1397">
      <c r="A1397" s="12">
        <f>IFERROR(__xludf.DUMMYFUNCTION("""COMPUTED_VALUE"""),44292.66666666667)</f>
        <v>44292.66667</v>
      </c>
      <c r="B1397" s="13">
        <f>IFERROR(__xludf.DUMMYFUNCTION("""COMPUTED_VALUE"""),4073.94)</f>
        <v>4073.94</v>
      </c>
      <c r="C1397" s="13">
        <f t="shared" si="1"/>
        <v>4007.265</v>
      </c>
      <c r="D1397" s="13">
        <f t="shared" si="2"/>
        <v>3990.325</v>
      </c>
      <c r="E1397" s="13" t="str">
        <f t="shared" si="3"/>
        <v>LONG</v>
      </c>
      <c r="F1397" s="3">
        <f t="shared" si="4"/>
        <v>-0.0009735379153</v>
      </c>
      <c r="G1397" s="4">
        <f t="shared" si="5"/>
        <v>1.959227839</v>
      </c>
      <c r="H1397" s="3">
        <f t="shared" si="6"/>
        <v>-0.0009735379153</v>
      </c>
      <c r="I1397" s="5">
        <f t="shared" si="7"/>
        <v>1.521159315</v>
      </c>
    </row>
    <row r="1398">
      <c r="A1398" s="12">
        <f>IFERROR(__xludf.DUMMYFUNCTION("""COMPUTED_VALUE"""),44293.66666666667)</f>
        <v>44293.66667</v>
      </c>
      <c r="B1398" s="13">
        <f>IFERROR(__xludf.DUMMYFUNCTION("""COMPUTED_VALUE"""),4079.95)</f>
        <v>4079.95</v>
      </c>
      <c r="C1398" s="13">
        <f t="shared" si="1"/>
        <v>3995.235</v>
      </c>
      <c r="D1398" s="13">
        <f t="shared" si="2"/>
        <v>3978.225</v>
      </c>
      <c r="E1398" s="13" t="str">
        <f t="shared" si="3"/>
        <v>LONG</v>
      </c>
      <c r="F1398" s="3">
        <f t="shared" si="4"/>
        <v>0.001475230367</v>
      </c>
      <c r="G1398" s="4">
        <f t="shared" si="5"/>
        <v>1.962118152</v>
      </c>
      <c r="H1398" s="3">
        <f t="shared" si="6"/>
        <v>0.001475230367</v>
      </c>
      <c r="I1398" s="5">
        <f t="shared" si="7"/>
        <v>1.523403375</v>
      </c>
    </row>
    <row r="1399">
      <c r="A1399" s="12">
        <f>IFERROR(__xludf.DUMMYFUNCTION("""COMPUTED_VALUE"""),44294.66666666667)</f>
        <v>44294.66667</v>
      </c>
      <c r="B1399" s="13">
        <f>IFERROR(__xludf.DUMMYFUNCTION("""COMPUTED_VALUE"""),4097.17)</f>
        <v>4097.17</v>
      </c>
      <c r="C1399" s="13">
        <f t="shared" si="1"/>
        <v>3993.155</v>
      </c>
      <c r="D1399" s="13">
        <f t="shared" si="2"/>
        <v>3989.27</v>
      </c>
      <c r="E1399" s="13" t="str">
        <f t="shared" si="3"/>
        <v>LONG</v>
      </c>
      <c r="F1399" s="3">
        <f t="shared" si="4"/>
        <v>0.004220639959</v>
      </c>
      <c r="G1399" s="4">
        <f t="shared" si="5"/>
        <v>1.970399546</v>
      </c>
      <c r="H1399" s="3">
        <f t="shared" si="6"/>
        <v>0.004220639959</v>
      </c>
      <c r="I1399" s="5">
        <f t="shared" si="7"/>
        <v>1.529833112</v>
      </c>
    </row>
    <row r="1400">
      <c r="A1400" s="12">
        <f>IFERROR(__xludf.DUMMYFUNCTION("""COMPUTED_VALUE"""),44295.66666666667)</f>
        <v>44295.66667</v>
      </c>
      <c r="B1400" s="13">
        <f>IFERROR(__xludf.DUMMYFUNCTION("""COMPUTED_VALUE"""),4128.8)</f>
        <v>4128.8</v>
      </c>
      <c r="C1400" s="13">
        <f t="shared" si="1"/>
        <v>4019.16</v>
      </c>
      <c r="D1400" s="13">
        <f t="shared" si="2"/>
        <v>4027.115</v>
      </c>
      <c r="E1400" s="13" t="str">
        <f t="shared" si="3"/>
        <v/>
      </c>
      <c r="F1400" s="3">
        <f t="shared" si="4"/>
        <v>0.007719962804</v>
      </c>
      <c r="G1400" s="4">
        <f t="shared" si="5"/>
        <v>1.985610957</v>
      </c>
      <c r="H1400" s="5">
        <f t="shared" si="6"/>
        <v>0</v>
      </c>
      <c r="I1400" s="5">
        <f t="shared" si="7"/>
        <v>1.529833112</v>
      </c>
    </row>
    <row r="1401">
      <c r="A1401" s="12">
        <f>IFERROR(__xludf.DUMMYFUNCTION("""COMPUTED_VALUE"""),44298.66666666667)</f>
        <v>44298.66667</v>
      </c>
      <c r="B1401" s="13">
        <f>IFERROR(__xludf.DUMMYFUNCTION("""COMPUTED_VALUE"""),4127.99)</f>
        <v>4127.99</v>
      </c>
      <c r="C1401" s="13">
        <f t="shared" si="1"/>
        <v>4051.265</v>
      </c>
      <c r="D1401" s="13">
        <f t="shared" si="2"/>
        <v>3978.665</v>
      </c>
      <c r="E1401" s="13" t="str">
        <f t="shared" si="3"/>
        <v>LONG</v>
      </c>
      <c r="F1401" s="3">
        <f t="shared" si="4"/>
        <v>-0.0001961829103</v>
      </c>
      <c r="G1401" s="4">
        <f t="shared" si="5"/>
        <v>1.985221414</v>
      </c>
      <c r="H1401" s="3">
        <f t="shared" si="6"/>
        <v>-0.0001961829103</v>
      </c>
      <c r="I1401" s="5">
        <f t="shared" si="7"/>
        <v>1.529532985</v>
      </c>
    </row>
    <row r="1402">
      <c r="A1402" s="12">
        <f>IFERROR(__xludf.DUMMYFUNCTION("""COMPUTED_VALUE"""),44299.66666666667)</f>
        <v>44299.66667</v>
      </c>
      <c r="B1402" s="13">
        <f>IFERROR(__xludf.DUMMYFUNCTION("""COMPUTED_VALUE"""),4141.59)</f>
        <v>4141.59</v>
      </c>
      <c r="C1402" s="13">
        <f t="shared" si="1"/>
        <v>4056.34</v>
      </c>
      <c r="D1402" s="13">
        <f t="shared" si="2"/>
        <v>3976.37</v>
      </c>
      <c r="E1402" s="13" t="str">
        <f t="shared" si="3"/>
        <v>LONG</v>
      </c>
      <c r="F1402" s="3">
        <f t="shared" si="4"/>
        <v>0.003294581624</v>
      </c>
      <c r="G1402" s="4">
        <f t="shared" si="5"/>
        <v>1.991761888</v>
      </c>
      <c r="H1402" s="3">
        <f t="shared" si="6"/>
        <v>0.003294581624</v>
      </c>
      <c r="I1402" s="5">
        <f t="shared" si="7"/>
        <v>1.534572157</v>
      </c>
    </row>
    <row r="1403">
      <c r="A1403" s="12">
        <f>IFERROR(__xludf.DUMMYFUNCTION("""COMPUTED_VALUE"""),44300.66666666667)</f>
        <v>44300.66667</v>
      </c>
      <c r="B1403" s="13">
        <f>IFERROR(__xludf.DUMMYFUNCTION("""COMPUTED_VALUE"""),4124.66)</f>
        <v>4124.66</v>
      </c>
      <c r="C1403" s="13">
        <f t="shared" si="1"/>
        <v>4041.605</v>
      </c>
      <c r="D1403" s="13">
        <f t="shared" si="2"/>
        <v>4013.24</v>
      </c>
      <c r="E1403" s="13" t="str">
        <f t="shared" si="3"/>
        <v>LONG</v>
      </c>
      <c r="F1403" s="3">
        <f t="shared" si="4"/>
        <v>-0.004087802028</v>
      </c>
      <c r="G1403" s="4">
        <f t="shared" si="5"/>
        <v>1.98361996</v>
      </c>
      <c r="H1403" s="3">
        <f t="shared" si="6"/>
        <v>-0.004087802028</v>
      </c>
      <c r="I1403" s="5">
        <f t="shared" si="7"/>
        <v>1.528299129</v>
      </c>
    </row>
    <row r="1404">
      <c r="A1404" s="12">
        <f>IFERROR(__xludf.DUMMYFUNCTION("""COMPUTED_VALUE"""),44301.66666666667)</f>
        <v>44301.66667</v>
      </c>
      <c r="B1404" s="13">
        <f>IFERROR(__xludf.DUMMYFUNCTION("""COMPUTED_VALUE"""),4170.42)</f>
        <v>4170.42</v>
      </c>
      <c r="C1404" s="13">
        <f t="shared" si="1"/>
        <v>4071.655</v>
      </c>
      <c r="D1404" s="13">
        <f t="shared" si="2"/>
        <v>4020.355</v>
      </c>
      <c r="E1404" s="13" t="str">
        <f t="shared" si="3"/>
        <v>LONG</v>
      </c>
      <c r="F1404" s="3">
        <f t="shared" si="4"/>
        <v>0.01109424777</v>
      </c>
      <c r="G1404" s="4">
        <f t="shared" si="5"/>
        <v>2.005626731</v>
      </c>
      <c r="H1404" s="3">
        <f t="shared" si="6"/>
        <v>0.01109424777</v>
      </c>
      <c r="I1404" s="5">
        <f t="shared" si="7"/>
        <v>1.545254459</v>
      </c>
    </row>
    <row r="1405">
      <c r="A1405" s="12">
        <f>IFERROR(__xludf.DUMMYFUNCTION("""COMPUTED_VALUE"""),44302.66666666667)</f>
        <v>44302.66667</v>
      </c>
      <c r="B1405" s="13">
        <f>IFERROR(__xludf.DUMMYFUNCTION("""COMPUTED_VALUE"""),4185.47)</f>
        <v>4185.47</v>
      </c>
      <c r="C1405" s="13">
        <f t="shared" si="1"/>
        <v>4102.67</v>
      </c>
      <c r="D1405" s="13">
        <f t="shared" si="2"/>
        <v>4002.595</v>
      </c>
      <c r="E1405" s="13" t="str">
        <f t="shared" si="3"/>
        <v>LONG</v>
      </c>
      <c r="F1405" s="3">
        <f t="shared" si="4"/>
        <v>0.003608749239</v>
      </c>
      <c r="G1405" s="4">
        <f t="shared" si="5"/>
        <v>2.012864535</v>
      </c>
      <c r="H1405" s="3">
        <f t="shared" si="6"/>
        <v>0.003608749239</v>
      </c>
      <c r="I1405" s="5">
        <f t="shared" si="7"/>
        <v>1.550830894</v>
      </c>
    </row>
    <row r="1406">
      <c r="A1406" s="12">
        <f>IFERROR(__xludf.DUMMYFUNCTION("""COMPUTED_VALUE"""),44305.66666666667)</f>
        <v>44305.66667</v>
      </c>
      <c r="B1406" s="13">
        <f>IFERROR(__xludf.DUMMYFUNCTION("""COMPUTED_VALUE"""),4163.26)</f>
        <v>4163.26</v>
      </c>
      <c r="C1406" s="13">
        <f t="shared" si="1"/>
        <v>4120.585</v>
      </c>
      <c r="D1406" s="13">
        <f t="shared" si="2"/>
        <v>3965.865</v>
      </c>
      <c r="E1406" s="13" t="str">
        <f t="shared" si="3"/>
        <v>LONG</v>
      </c>
      <c r="F1406" s="3">
        <f t="shared" si="4"/>
        <v>-0.005306453039</v>
      </c>
      <c r="G1406" s="4">
        <f t="shared" si="5"/>
        <v>2.002183364</v>
      </c>
      <c r="H1406" s="3">
        <f t="shared" si="6"/>
        <v>-0.005306453039</v>
      </c>
      <c r="I1406" s="5">
        <f t="shared" si="7"/>
        <v>1.542601483</v>
      </c>
    </row>
    <row r="1407">
      <c r="A1407" s="12">
        <f>IFERROR(__xludf.DUMMYFUNCTION("""COMPUTED_VALUE"""),44306.66666666667)</f>
        <v>44306.66667</v>
      </c>
      <c r="B1407" s="13">
        <f>IFERROR(__xludf.DUMMYFUNCTION("""COMPUTED_VALUE"""),4134.94)</f>
        <v>4134.94</v>
      </c>
      <c r="C1407" s="13">
        <f t="shared" si="1"/>
        <v>4104.44</v>
      </c>
      <c r="D1407" s="13">
        <f t="shared" si="2"/>
        <v>3988.44</v>
      </c>
      <c r="E1407" s="13" t="str">
        <f t="shared" si="3"/>
        <v>LONG</v>
      </c>
      <c r="F1407" s="3">
        <f t="shared" si="4"/>
        <v>-0.006802361611</v>
      </c>
      <c r="G1407" s="4">
        <f t="shared" si="5"/>
        <v>1.988563789</v>
      </c>
      <c r="H1407" s="3">
        <f t="shared" si="6"/>
        <v>-0.006802361611</v>
      </c>
      <c r="I1407" s="5">
        <f t="shared" si="7"/>
        <v>1.53210815</v>
      </c>
    </row>
    <row r="1408">
      <c r="A1408" s="12">
        <f>IFERROR(__xludf.DUMMYFUNCTION("""COMPUTED_VALUE"""),44307.66666666667)</f>
        <v>44307.66667</v>
      </c>
      <c r="B1408" s="13">
        <f>IFERROR(__xludf.DUMMYFUNCTION("""COMPUTED_VALUE"""),4173.42)</f>
        <v>4173.42</v>
      </c>
      <c r="C1408" s="13">
        <f t="shared" si="1"/>
        <v>4126.685</v>
      </c>
      <c r="D1408" s="13">
        <f t="shared" si="2"/>
        <v>3997.385</v>
      </c>
      <c r="E1408" s="13" t="str">
        <f t="shared" si="3"/>
        <v>LONG</v>
      </c>
      <c r="F1408" s="3">
        <f t="shared" si="4"/>
        <v>0.009306060064</v>
      </c>
      <c r="G1408" s="4">
        <f t="shared" si="5"/>
        <v>2.007069483</v>
      </c>
      <c r="H1408" s="3">
        <f t="shared" si="6"/>
        <v>0.009306060064</v>
      </c>
      <c r="I1408" s="5">
        <f t="shared" si="7"/>
        <v>1.54636604</v>
      </c>
    </row>
    <row r="1409">
      <c r="A1409" s="12">
        <f>IFERROR(__xludf.DUMMYFUNCTION("""COMPUTED_VALUE"""),44308.66666666667)</f>
        <v>44308.66667</v>
      </c>
      <c r="B1409" s="13">
        <f>IFERROR(__xludf.DUMMYFUNCTION("""COMPUTED_VALUE"""),4134.98)</f>
        <v>4134.98</v>
      </c>
      <c r="C1409" s="13">
        <f t="shared" si="1"/>
        <v>4116.075</v>
      </c>
      <c r="D1409" s="13">
        <f t="shared" si="2"/>
        <v>4005.21</v>
      </c>
      <c r="E1409" s="13" t="str">
        <f t="shared" si="3"/>
        <v>LONG</v>
      </c>
      <c r="F1409" s="3">
        <f t="shared" si="4"/>
        <v>-0.009210671344</v>
      </c>
      <c r="G1409" s="4">
        <f t="shared" si="5"/>
        <v>1.988583026</v>
      </c>
      <c r="H1409" s="3">
        <f t="shared" si="6"/>
        <v>-0.009210671344</v>
      </c>
      <c r="I1409" s="5">
        <f t="shared" si="7"/>
        <v>1.532122971</v>
      </c>
    </row>
    <row r="1410">
      <c r="A1410" s="12">
        <f>IFERROR(__xludf.DUMMYFUNCTION("""COMPUTED_VALUE"""),44309.66666666667)</f>
        <v>44309.66667</v>
      </c>
      <c r="B1410" s="13">
        <f>IFERROR(__xludf.DUMMYFUNCTION("""COMPUTED_VALUE"""),4180.17)</f>
        <v>4180.17</v>
      </c>
      <c r="C1410" s="13">
        <f t="shared" si="1"/>
        <v>4154.485</v>
      </c>
      <c r="D1410" s="13">
        <f t="shared" si="2"/>
        <v>4039.49</v>
      </c>
      <c r="E1410" s="13" t="str">
        <f t="shared" si="3"/>
        <v>LONG</v>
      </c>
      <c r="F1410" s="3">
        <f t="shared" si="4"/>
        <v>0.01092871066</v>
      </c>
      <c r="G1410" s="4">
        <f t="shared" si="5"/>
        <v>2.010315674</v>
      </c>
      <c r="H1410" s="3">
        <f t="shared" si="6"/>
        <v>0.01092871066</v>
      </c>
      <c r="I1410" s="5">
        <f t="shared" si="7"/>
        <v>1.5488671</v>
      </c>
    </row>
    <row r="1411">
      <c r="A1411" s="12">
        <f>IFERROR(__xludf.DUMMYFUNCTION("""COMPUTED_VALUE"""),44312.66666666667)</f>
        <v>44312.66667</v>
      </c>
      <c r="B1411" s="13">
        <f>IFERROR(__xludf.DUMMYFUNCTION("""COMPUTED_VALUE"""),4187.62)</f>
        <v>4187.62</v>
      </c>
      <c r="C1411" s="13">
        <f t="shared" si="1"/>
        <v>4157.805</v>
      </c>
      <c r="D1411" s="13">
        <f t="shared" si="2"/>
        <v>4063.48</v>
      </c>
      <c r="E1411" s="13" t="str">
        <f t="shared" si="3"/>
        <v>LONG</v>
      </c>
      <c r="F1411" s="3">
        <f t="shared" si="4"/>
        <v>0.001782224168</v>
      </c>
      <c r="G1411" s="4">
        <f t="shared" si="5"/>
        <v>2.013898507</v>
      </c>
      <c r="H1411" s="3">
        <f t="shared" si="6"/>
        <v>0.001782224168</v>
      </c>
      <c r="I1411" s="5">
        <f t="shared" si="7"/>
        <v>1.551627528</v>
      </c>
    </row>
    <row r="1412">
      <c r="A1412" s="12">
        <f>IFERROR(__xludf.DUMMYFUNCTION("""COMPUTED_VALUE"""),44313.66666666667)</f>
        <v>44313.66667</v>
      </c>
      <c r="B1412" s="13">
        <f>IFERROR(__xludf.DUMMYFUNCTION("""COMPUTED_VALUE"""),4186.72)</f>
        <v>4186.72</v>
      </c>
      <c r="C1412" s="13">
        <f t="shared" si="1"/>
        <v>4164.155</v>
      </c>
      <c r="D1412" s="13">
        <f t="shared" si="2"/>
        <v>4065.03</v>
      </c>
      <c r="E1412" s="13" t="str">
        <f t="shared" si="3"/>
        <v>LONG</v>
      </c>
      <c r="F1412" s="3">
        <f t="shared" si="4"/>
        <v>-0.0002149192143</v>
      </c>
      <c r="G1412" s="4">
        <f t="shared" si="5"/>
        <v>2.013465682</v>
      </c>
      <c r="H1412" s="3">
        <f t="shared" si="6"/>
        <v>-0.0002149192143</v>
      </c>
      <c r="I1412" s="5">
        <f t="shared" si="7"/>
        <v>1.551294054</v>
      </c>
    </row>
    <row r="1413">
      <c r="A1413" s="12">
        <f>IFERROR(__xludf.DUMMYFUNCTION("""COMPUTED_VALUE"""),44314.66666666667)</f>
        <v>44314.66667</v>
      </c>
      <c r="B1413" s="13">
        <f>IFERROR(__xludf.DUMMYFUNCTION("""COMPUTED_VALUE"""),4183.18)</f>
        <v>4183.18</v>
      </c>
      <c r="C1413" s="13">
        <f t="shared" si="1"/>
        <v>4153.92</v>
      </c>
      <c r="D1413" s="13">
        <f t="shared" si="2"/>
        <v>4076.06</v>
      </c>
      <c r="E1413" s="13" t="str">
        <f t="shared" si="3"/>
        <v>LONG</v>
      </c>
      <c r="F1413" s="3">
        <f t="shared" si="4"/>
        <v>-0.0008455306302</v>
      </c>
      <c r="G1413" s="4">
        <f t="shared" si="5"/>
        <v>2.011763235</v>
      </c>
      <c r="H1413" s="3">
        <f t="shared" si="6"/>
        <v>-0.0008455306302</v>
      </c>
      <c r="I1413" s="5">
        <f t="shared" si="7"/>
        <v>1.549982387</v>
      </c>
    </row>
    <row r="1414">
      <c r="A1414" s="12">
        <f>IFERROR(__xludf.DUMMYFUNCTION("""COMPUTED_VALUE"""),44315.66666666667)</f>
        <v>44315.66667</v>
      </c>
      <c r="B1414" s="13">
        <f>IFERROR(__xludf.DUMMYFUNCTION("""COMPUTED_VALUE"""),4211.47)</f>
        <v>4211.47</v>
      </c>
      <c r="C1414" s="13">
        <f t="shared" si="1"/>
        <v>4190.945</v>
      </c>
      <c r="D1414" s="13">
        <f t="shared" si="2"/>
        <v>4087.09</v>
      </c>
      <c r="E1414" s="13" t="str">
        <f t="shared" si="3"/>
        <v>LONG</v>
      </c>
      <c r="F1414" s="3">
        <f t="shared" si="4"/>
        <v>0.00676279768</v>
      </c>
      <c r="G1414" s="4">
        <f t="shared" si="5"/>
        <v>2.025368383</v>
      </c>
      <c r="H1414" s="3">
        <f t="shared" si="6"/>
        <v>0.00676279768</v>
      </c>
      <c r="I1414" s="5">
        <f t="shared" si="7"/>
        <v>1.560464604</v>
      </c>
    </row>
    <row r="1415">
      <c r="A1415" s="12">
        <f>IFERROR(__xludf.DUMMYFUNCTION("""COMPUTED_VALUE"""),44316.66666666667)</f>
        <v>44316.66667</v>
      </c>
      <c r="B1415" s="13">
        <f>IFERROR(__xludf.DUMMYFUNCTION("""COMPUTED_VALUE"""),4181.17)</f>
        <v>4181.17</v>
      </c>
      <c r="C1415" s="13">
        <f t="shared" si="1"/>
        <v>4183.32</v>
      </c>
      <c r="D1415" s="13">
        <f t="shared" si="2"/>
        <v>4077.645</v>
      </c>
      <c r="E1415" s="13" t="str">
        <f t="shared" si="3"/>
        <v>LONG</v>
      </c>
      <c r="F1415" s="3">
        <f t="shared" si="4"/>
        <v>-0.007194637502</v>
      </c>
      <c r="G1415" s="4">
        <f t="shared" si="5"/>
        <v>2.010796591</v>
      </c>
      <c r="H1415" s="3">
        <f t="shared" si="6"/>
        <v>-0.007194637502</v>
      </c>
      <c r="I1415" s="5">
        <f t="shared" si="7"/>
        <v>1.549237627</v>
      </c>
    </row>
    <row r="1416">
      <c r="A1416" s="12">
        <f>IFERROR(__xludf.DUMMYFUNCTION("""COMPUTED_VALUE"""),44319.66666666667)</f>
        <v>44319.66667</v>
      </c>
      <c r="B1416" s="13">
        <f>IFERROR(__xludf.DUMMYFUNCTION("""COMPUTED_VALUE"""),4192.66)</f>
        <v>4192.66</v>
      </c>
      <c r="C1416" s="13">
        <f t="shared" si="1"/>
        <v>4177.96</v>
      </c>
      <c r="D1416" s="13">
        <f t="shared" si="2"/>
        <v>4054.06</v>
      </c>
      <c r="E1416" s="13" t="str">
        <f t="shared" si="3"/>
        <v>LONG</v>
      </c>
      <c r="F1416" s="3">
        <f t="shared" si="4"/>
        <v>0.002748034641</v>
      </c>
      <c r="G1416" s="4">
        <f t="shared" si="5"/>
        <v>2.01632233</v>
      </c>
      <c r="H1416" s="3">
        <f t="shared" si="6"/>
        <v>0.002748034641</v>
      </c>
      <c r="I1416" s="5">
        <f t="shared" si="7"/>
        <v>1.553494986</v>
      </c>
    </row>
    <row r="1417">
      <c r="A1417" s="12">
        <f>IFERROR(__xludf.DUMMYFUNCTION("""COMPUTED_VALUE"""),44320.66666666667)</f>
        <v>44320.66667</v>
      </c>
      <c r="B1417" s="13">
        <f>IFERROR(__xludf.DUMMYFUNCTION("""COMPUTED_VALUE"""),4164.66)</f>
        <v>4164.66</v>
      </c>
      <c r="C1417" s="13">
        <f t="shared" si="1"/>
        <v>4149.8</v>
      </c>
      <c r="D1417" s="13">
        <f t="shared" si="2"/>
        <v>4038.88</v>
      </c>
      <c r="E1417" s="13" t="str">
        <f t="shared" si="3"/>
        <v>LONG</v>
      </c>
      <c r="F1417" s="3">
        <f t="shared" si="4"/>
        <v>-0.006678337857</v>
      </c>
      <c r="G1417" s="4">
        <f t="shared" si="5"/>
        <v>2.002856648</v>
      </c>
      <c r="H1417" s="3">
        <f t="shared" si="6"/>
        <v>-0.006678337857</v>
      </c>
      <c r="I1417" s="5">
        <f t="shared" si="7"/>
        <v>1.543120221</v>
      </c>
    </row>
    <row r="1418">
      <c r="A1418" s="12">
        <f>IFERROR(__xludf.DUMMYFUNCTION("""COMPUTED_VALUE"""),44321.66666666667)</f>
        <v>44321.66667</v>
      </c>
      <c r="B1418" s="13">
        <f>IFERROR(__xludf.DUMMYFUNCTION("""COMPUTED_VALUE"""),4167.59)</f>
        <v>4167.59</v>
      </c>
      <c r="C1418" s="13">
        <f t="shared" si="1"/>
        <v>4170.505</v>
      </c>
      <c r="D1418" s="13">
        <f t="shared" si="2"/>
        <v>4054.09</v>
      </c>
      <c r="E1418" s="13" t="str">
        <f t="shared" si="3"/>
        <v>LONG</v>
      </c>
      <c r="F1418" s="3">
        <f t="shared" si="4"/>
        <v>0.0007035388243</v>
      </c>
      <c r="G1418" s="4">
        <f t="shared" si="5"/>
        <v>2.004265736</v>
      </c>
      <c r="H1418" s="3">
        <f t="shared" si="6"/>
        <v>0.0007035388243</v>
      </c>
      <c r="I1418" s="5">
        <f t="shared" si="7"/>
        <v>1.544205866</v>
      </c>
    </row>
    <row r="1419">
      <c r="A1419" s="12">
        <f>IFERROR(__xludf.DUMMYFUNCTION("""COMPUTED_VALUE"""),44322.66666666667)</f>
        <v>44322.66667</v>
      </c>
      <c r="B1419" s="13">
        <f>IFERROR(__xludf.DUMMYFUNCTION("""COMPUTED_VALUE"""),4201.62)</f>
        <v>4201.62</v>
      </c>
      <c r="C1419" s="13">
        <f t="shared" si="1"/>
        <v>4168.3</v>
      </c>
      <c r="D1419" s="13">
        <f t="shared" si="2"/>
        <v>4056.07</v>
      </c>
      <c r="E1419" s="13" t="str">
        <f t="shared" si="3"/>
        <v>LONG</v>
      </c>
      <c r="F1419" s="3">
        <f t="shared" si="4"/>
        <v>0.008165390549</v>
      </c>
      <c r="G1419" s="4">
        <f t="shared" si="5"/>
        <v>2.020631348</v>
      </c>
      <c r="H1419" s="3">
        <f t="shared" si="6"/>
        <v>0.008165390549</v>
      </c>
      <c r="I1419" s="5">
        <f t="shared" si="7"/>
        <v>1.55681491</v>
      </c>
    </row>
    <row r="1420">
      <c r="A1420" s="12">
        <f>IFERROR(__xludf.DUMMYFUNCTION("""COMPUTED_VALUE"""),44323.66666666667)</f>
        <v>44323.66667</v>
      </c>
      <c r="B1420" s="13">
        <f>IFERROR(__xludf.DUMMYFUNCTION("""COMPUTED_VALUE"""),4232.6)</f>
        <v>4232.6</v>
      </c>
      <c r="C1420" s="13">
        <f t="shared" si="1"/>
        <v>4206.385</v>
      </c>
      <c r="D1420" s="13">
        <f t="shared" si="2"/>
        <v>4060.87</v>
      </c>
      <c r="E1420" s="13" t="str">
        <f t="shared" si="3"/>
        <v>LONG</v>
      </c>
      <c r="F1420" s="3">
        <f t="shared" si="4"/>
        <v>0.007373346471</v>
      </c>
      <c r="G1420" s="4">
        <f t="shared" si="5"/>
        <v>2.035530163</v>
      </c>
      <c r="H1420" s="3">
        <f t="shared" si="6"/>
        <v>0.007373346471</v>
      </c>
      <c r="I1420" s="5">
        <f t="shared" si="7"/>
        <v>1.568293846</v>
      </c>
    </row>
    <row r="1421">
      <c r="A1421" s="12">
        <f>IFERROR(__xludf.DUMMYFUNCTION("""COMPUTED_VALUE"""),44326.66666666667)</f>
        <v>44326.66667</v>
      </c>
      <c r="B1421" s="13">
        <f>IFERROR(__xludf.DUMMYFUNCTION("""COMPUTED_VALUE"""),4188.43)</f>
        <v>4188.43</v>
      </c>
      <c r="C1421" s="13">
        <f t="shared" si="1"/>
        <v>4188.025</v>
      </c>
      <c r="D1421" s="13">
        <f t="shared" si="2"/>
        <v>4048.975</v>
      </c>
      <c r="E1421" s="13" t="str">
        <f t="shared" si="3"/>
        <v>LONG</v>
      </c>
      <c r="F1421" s="3">
        <f t="shared" si="4"/>
        <v>-0.01043566602</v>
      </c>
      <c r="G1421" s="4">
        <f t="shared" si="5"/>
        <v>2.01428805</v>
      </c>
      <c r="H1421" s="3">
        <f t="shared" si="6"/>
        <v>-0.01043566602</v>
      </c>
      <c r="I1421" s="5">
        <f t="shared" si="7"/>
        <v>1.551927655</v>
      </c>
    </row>
    <row r="1422">
      <c r="A1422" s="12">
        <f>IFERROR(__xludf.DUMMYFUNCTION("""COMPUTED_VALUE"""),44327.66666666667)</f>
        <v>44327.66667</v>
      </c>
      <c r="B1422" s="13">
        <f>IFERROR(__xludf.DUMMYFUNCTION("""COMPUTED_VALUE"""),4152.1)</f>
        <v>4152.1</v>
      </c>
      <c r="C1422" s="13">
        <f t="shared" si="1"/>
        <v>4169.41</v>
      </c>
      <c r="D1422" s="13">
        <f t="shared" si="2"/>
        <v>4063.32</v>
      </c>
      <c r="E1422" s="13" t="str">
        <f t="shared" si="3"/>
        <v>LONG</v>
      </c>
      <c r="F1422" s="3">
        <f t="shared" si="4"/>
        <v>-0.008673894514</v>
      </c>
      <c r="G1422" s="4">
        <f t="shared" si="5"/>
        <v>1.996816328</v>
      </c>
      <c r="H1422" s="3">
        <f t="shared" si="6"/>
        <v>-0.008673894514</v>
      </c>
      <c r="I1422" s="5">
        <f t="shared" si="7"/>
        <v>1.538466398</v>
      </c>
    </row>
    <row r="1423">
      <c r="A1423" s="12">
        <f>IFERROR(__xludf.DUMMYFUNCTION("""COMPUTED_VALUE"""),44328.66666666667)</f>
        <v>44328.66667</v>
      </c>
      <c r="B1423" s="13">
        <f>IFERROR(__xludf.DUMMYFUNCTION("""COMPUTED_VALUE"""),4063.04)</f>
        <v>4063.04</v>
      </c>
      <c r="C1423" s="13">
        <f t="shared" si="1"/>
        <v>4123.11</v>
      </c>
      <c r="D1423" s="13">
        <f t="shared" si="2"/>
        <v>4017.065</v>
      </c>
      <c r="E1423" s="13" t="str">
        <f t="shared" si="3"/>
        <v>LONG</v>
      </c>
      <c r="F1423" s="3">
        <f t="shared" si="4"/>
        <v>-0.02144938706</v>
      </c>
      <c r="G1423" s="4">
        <f t="shared" si="5"/>
        <v>1.953985842</v>
      </c>
      <c r="H1423" s="3">
        <f t="shared" si="6"/>
        <v>-0.02144938706</v>
      </c>
      <c r="I1423" s="5">
        <f t="shared" si="7"/>
        <v>1.505467237</v>
      </c>
    </row>
    <row r="1424">
      <c r="A1424" s="12">
        <f>IFERROR(__xludf.DUMMYFUNCTION("""COMPUTED_VALUE"""),44329.66666666667)</f>
        <v>44329.66667</v>
      </c>
      <c r="B1424" s="13">
        <f>IFERROR(__xludf.DUMMYFUNCTION("""COMPUTED_VALUE"""),4112.5)</f>
        <v>4112.5</v>
      </c>
      <c r="C1424" s="13">
        <f t="shared" si="1"/>
        <v>4161.985</v>
      </c>
      <c r="D1424" s="13">
        <f t="shared" si="2"/>
        <v>4035.525</v>
      </c>
      <c r="E1424" s="13" t="str">
        <f t="shared" si="3"/>
        <v>LONG</v>
      </c>
      <c r="F1424" s="3">
        <f t="shared" si="4"/>
        <v>0.01217315114</v>
      </c>
      <c r="G1424" s="4">
        <f t="shared" si="5"/>
        <v>1.977772007</v>
      </c>
      <c r="H1424" s="3">
        <f t="shared" si="6"/>
        <v>0.01217315114</v>
      </c>
      <c r="I1424" s="5">
        <f t="shared" si="7"/>
        <v>1.523793517</v>
      </c>
    </row>
    <row r="1425">
      <c r="A1425" s="12">
        <f>IFERROR(__xludf.DUMMYFUNCTION("""COMPUTED_VALUE"""),44330.66666666667)</f>
        <v>44330.66667</v>
      </c>
      <c r="B1425" s="13">
        <f>IFERROR(__xludf.DUMMYFUNCTION("""COMPUTED_VALUE"""),4173.85)</f>
        <v>4173.85</v>
      </c>
      <c r="C1425" s="13">
        <f t="shared" si="1"/>
        <v>4177.51</v>
      </c>
      <c r="D1425" s="13">
        <f t="shared" si="2"/>
        <v>4073.37</v>
      </c>
      <c r="E1425" s="13" t="str">
        <f t="shared" si="3"/>
        <v>LONG</v>
      </c>
      <c r="F1425" s="3">
        <f t="shared" si="4"/>
        <v>0.01491793313</v>
      </c>
      <c r="G1425" s="4">
        <f t="shared" si="5"/>
        <v>2.007276277</v>
      </c>
      <c r="H1425" s="3">
        <f t="shared" si="6"/>
        <v>0.01491793313</v>
      </c>
      <c r="I1425" s="5">
        <f t="shared" si="7"/>
        <v>1.546525367</v>
      </c>
    </row>
    <row r="1426">
      <c r="A1426" s="12">
        <f>IFERROR(__xludf.DUMMYFUNCTION("""COMPUTED_VALUE"""),44333.66666666667)</f>
        <v>44333.66667</v>
      </c>
      <c r="B1426" s="13">
        <f>IFERROR(__xludf.DUMMYFUNCTION("""COMPUTED_VALUE"""),4163.29)</f>
        <v>4163.29</v>
      </c>
      <c r="C1426" s="13">
        <f t="shared" si="1"/>
        <v>4177.975</v>
      </c>
      <c r="D1426" s="13">
        <f t="shared" si="2"/>
        <v>4091.58</v>
      </c>
      <c r="E1426" s="13" t="str">
        <f t="shared" si="3"/>
        <v>LONG</v>
      </c>
      <c r="F1426" s="3">
        <f t="shared" si="4"/>
        <v>-0.002530038214</v>
      </c>
      <c r="G1426" s="4">
        <f t="shared" si="5"/>
        <v>2.002197792</v>
      </c>
      <c r="H1426" s="3">
        <f t="shared" si="6"/>
        <v>-0.002530038214</v>
      </c>
      <c r="I1426" s="5">
        <f t="shared" si="7"/>
        <v>1.542612599</v>
      </c>
    </row>
    <row r="1427">
      <c r="A1427" s="12">
        <f>IFERROR(__xludf.DUMMYFUNCTION("""COMPUTED_VALUE"""),44334.66666666667)</f>
        <v>44334.66667</v>
      </c>
      <c r="B1427" s="13">
        <f>IFERROR(__xludf.DUMMYFUNCTION("""COMPUTED_VALUE"""),4127.83)</f>
        <v>4127.83</v>
      </c>
      <c r="C1427" s="13">
        <f t="shared" si="1"/>
        <v>4146.245</v>
      </c>
      <c r="D1427" s="13">
        <f t="shared" si="2"/>
        <v>4102.87</v>
      </c>
      <c r="E1427" s="13" t="str">
        <f t="shared" si="3"/>
        <v>LONG</v>
      </c>
      <c r="F1427" s="3">
        <f t="shared" si="4"/>
        <v>-0.008517302422</v>
      </c>
      <c r="G1427" s="4">
        <f t="shared" si="5"/>
        <v>1.985144468</v>
      </c>
      <c r="H1427" s="3">
        <f t="shared" si="6"/>
        <v>-0.008517302422</v>
      </c>
      <c r="I1427" s="5">
        <f t="shared" si="7"/>
        <v>1.529473701</v>
      </c>
    </row>
    <row r="1428">
      <c r="A1428" s="12">
        <f>IFERROR(__xludf.DUMMYFUNCTION("""COMPUTED_VALUE"""),44335.66666666667)</f>
        <v>44335.66667</v>
      </c>
      <c r="B1428" s="13">
        <f>IFERROR(__xludf.DUMMYFUNCTION("""COMPUTED_VALUE"""),4115.68)</f>
        <v>4115.68</v>
      </c>
      <c r="C1428" s="13">
        <f t="shared" si="1"/>
        <v>4141.635</v>
      </c>
      <c r="D1428" s="13">
        <f t="shared" si="2"/>
        <v>4094.81</v>
      </c>
      <c r="E1428" s="13" t="str">
        <f t="shared" si="3"/>
        <v>LONG</v>
      </c>
      <c r="F1428" s="3">
        <f t="shared" si="4"/>
        <v>-0.002943435171</v>
      </c>
      <c r="G1428" s="4">
        <f t="shared" si="5"/>
        <v>1.979301323</v>
      </c>
      <c r="H1428" s="3">
        <f t="shared" si="6"/>
        <v>-0.002943435171</v>
      </c>
      <c r="I1428" s="5">
        <f t="shared" si="7"/>
        <v>1.524971794</v>
      </c>
    </row>
    <row r="1429">
      <c r="A1429" s="12">
        <f>IFERROR(__xludf.DUMMYFUNCTION("""COMPUTED_VALUE"""),44336.66666666667)</f>
        <v>44336.66667</v>
      </c>
      <c r="B1429" s="13">
        <f>IFERROR(__xludf.DUMMYFUNCTION("""COMPUTED_VALUE"""),4159.12)</f>
        <v>4159.12</v>
      </c>
      <c r="C1429" s="13">
        <f t="shared" si="1"/>
        <v>4180.37</v>
      </c>
      <c r="D1429" s="13">
        <f t="shared" si="2"/>
        <v>4119.535</v>
      </c>
      <c r="E1429" s="13" t="str">
        <f t="shared" si="3"/>
        <v>LONG</v>
      </c>
      <c r="F1429" s="3">
        <f t="shared" si="4"/>
        <v>0.01055475644</v>
      </c>
      <c r="G1429" s="4">
        <f t="shared" si="5"/>
        <v>2.000192367</v>
      </c>
      <c r="H1429" s="3">
        <f t="shared" si="6"/>
        <v>0.01055475644</v>
      </c>
      <c r="I1429" s="5">
        <f t="shared" si="7"/>
        <v>1.5410675</v>
      </c>
    </row>
    <row r="1430">
      <c r="A1430" s="12">
        <f>IFERROR(__xludf.DUMMYFUNCTION("""COMPUTED_VALUE"""),44337.66666666667)</f>
        <v>44337.66667</v>
      </c>
      <c r="B1430" s="13">
        <f>IFERROR(__xludf.DUMMYFUNCTION("""COMPUTED_VALUE"""),4155.86)</f>
        <v>4155.86</v>
      </c>
      <c r="C1430" s="13">
        <f t="shared" si="1"/>
        <v>4194.23</v>
      </c>
      <c r="D1430" s="13">
        <f t="shared" si="2"/>
        <v>4126.515</v>
      </c>
      <c r="E1430" s="13" t="str">
        <f t="shared" si="3"/>
        <v>LONG</v>
      </c>
      <c r="F1430" s="3">
        <f t="shared" si="4"/>
        <v>-0.0007838196542</v>
      </c>
      <c r="G1430" s="4">
        <f t="shared" si="5"/>
        <v>1.998624577</v>
      </c>
      <c r="H1430" s="3">
        <f t="shared" si="6"/>
        <v>-0.0007838196542</v>
      </c>
      <c r="I1430" s="5">
        <f t="shared" si="7"/>
        <v>1.539859581</v>
      </c>
    </row>
    <row r="1431">
      <c r="A1431" s="12">
        <f>IFERROR(__xludf.DUMMYFUNCTION("""COMPUTED_VALUE"""),44340.66666666667)</f>
        <v>44340.66667</v>
      </c>
      <c r="B1431" s="13">
        <f>IFERROR(__xludf.DUMMYFUNCTION("""COMPUTED_VALUE"""),4197.05)</f>
        <v>4197.05</v>
      </c>
      <c r="C1431" s="13">
        <f t="shared" si="1"/>
        <v>4192.74</v>
      </c>
      <c r="D1431" s="13">
        <f t="shared" si="2"/>
        <v>4162.925</v>
      </c>
      <c r="E1431" s="13" t="str">
        <f t="shared" si="3"/>
        <v>LONG</v>
      </c>
      <c r="F1431" s="3">
        <f t="shared" si="4"/>
        <v>0.009911305963</v>
      </c>
      <c r="G1431" s="4">
        <f t="shared" si="5"/>
        <v>2.018433556</v>
      </c>
      <c r="H1431" s="3">
        <f t="shared" si="6"/>
        <v>0.009911305963</v>
      </c>
      <c r="I1431" s="5">
        <f t="shared" si="7"/>
        <v>1.555121601</v>
      </c>
    </row>
    <row r="1432">
      <c r="A1432" s="12">
        <f>IFERROR(__xludf.DUMMYFUNCTION("""COMPUTED_VALUE"""),44341.66666666667)</f>
        <v>44341.66667</v>
      </c>
      <c r="B1432" s="13">
        <f>IFERROR(__xludf.DUMMYFUNCTION("""COMPUTED_VALUE"""),4188.13)</f>
        <v>4188.13</v>
      </c>
      <c r="C1432" s="13">
        <f t="shared" si="1"/>
        <v>4170.115</v>
      </c>
      <c r="D1432" s="13">
        <f t="shared" si="2"/>
        <v>4158.06</v>
      </c>
      <c r="E1432" s="13" t="str">
        <f t="shared" si="3"/>
        <v>LONG</v>
      </c>
      <c r="F1432" s="3">
        <f t="shared" si="4"/>
        <v>-0.002125302296</v>
      </c>
      <c r="G1432" s="4">
        <f t="shared" si="5"/>
        <v>2.014143775</v>
      </c>
      <c r="H1432" s="3">
        <f t="shared" si="6"/>
        <v>-0.002125302296</v>
      </c>
      <c r="I1432" s="5">
        <f t="shared" si="7"/>
        <v>1.551816497</v>
      </c>
    </row>
    <row r="1433">
      <c r="A1433" s="12">
        <f>IFERROR(__xludf.DUMMYFUNCTION("""COMPUTED_VALUE"""),44342.66666666667)</f>
        <v>44342.66667</v>
      </c>
      <c r="B1433" s="13">
        <f>IFERROR(__xludf.DUMMYFUNCTION("""COMPUTED_VALUE"""),4195.99)</f>
        <v>4195.99</v>
      </c>
      <c r="C1433" s="13">
        <f t="shared" si="1"/>
        <v>4129.515</v>
      </c>
      <c r="D1433" s="13">
        <f t="shared" si="2"/>
        <v>4168.79</v>
      </c>
      <c r="E1433" s="13" t="str">
        <f t="shared" si="3"/>
        <v/>
      </c>
      <c r="F1433" s="3">
        <f t="shared" si="4"/>
        <v>0.001876732575</v>
      </c>
      <c r="G1433" s="4">
        <f t="shared" si="5"/>
        <v>2.017923784</v>
      </c>
      <c r="H1433" s="5">
        <f t="shared" si="6"/>
        <v>0</v>
      </c>
      <c r="I1433" s="5">
        <f t="shared" si="7"/>
        <v>1.551816497</v>
      </c>
    </row>
    <row r="1434">
      <c r="A1434" s="12">
        <f>IFERROR(__xludf.DUMMYFUNCTION("""COMPUTED_VALUE"""),44343.66666666667)</f>
        <v>44343.66667</v>
      </c>
      <c r="B1434" s="13">
        <f>IFERROR(__xludf.DUMMYFUNCTION("""COMPUTED_VALUE"""),4200.88)</f>
        <v>4200.88</v>
      </c>
      <c r="C1434" s="13">
        <f t="shared" si="1"/>
        <v>4156.69</v>
      </c>
      <c r="D1434" s="13">
        <f t="shared" si="2"/>
        <v>4162.77</v>
      </c>
      <c r="E1434" s="13" t="str">
        <f t="shared" si="3"/>
        <v/>
      </c>
      <c r="F1434" s="3">
        <f t="shared" si="4"/>
        <v>0.001165398392</v>
      </c>
      <c r="G1434" s="4">
        <f t="shared" si="5"/>
        <v>2.020275469</v>
      </c>
      <c r="H1434" s="5">
        <f t="shared" si="6"/>
        <v>0</v>
      </c>
      <c r="I1434" s="5">
        <f t="shared" si="7"/>
        <v>1.551816497</v>
      </c>
    </row>
    <row r="1435">
      <c r="A1435" s="12">
        <f>IFERROR(__xludf.DUMMYFUNCTION("""COMPUTED_VALUE"""),44344.66666666667)</f>
        <v>44344.66667</v>
      </c>
      <c r="B1435" s="13">
        <f>IFERROR(__xludf.DUMMYFUNCTION("""COMPUTED_VALUE"""),4204.11)</f>
        <v>4204.11</v>
      </c>
      <c r="C1435" s="13">
        <f t="shared" si="1"/>
        <v>4188.98</v>
      </c>
      <c r="D1435" s="13">
        <f t="shared" si="2"/>
        <v>4187.265</v>
      </c>
      <c r="E1435" s="13" t="str">
        <f t="shared" si="3"/>
        <v>LONG</v>
      </c>
      <c r="F1435" s="3">
        <f t="shared" si="4"/>
        <v>0.000768886519</v>
      </c>
      <c r="G1435" s="4">
        <f t="shared" si="5"/>
        <v>2.021828832</v>
      </c>
      <c r="H1435" s="3">
        <f t="shared" si="6"/>
        <v>0.000768886519</v>
      </c>
      <c r="I1435" s="5">
        <f t="shared" si="7"/>
        <v>1.553009668</v>
      </c>
    </row>
    <row r="1436">
      <c r="A1436" s="12">
        <f>IFERROR(__xludf.DUMMYFUNCTION("""COMPUTED_VALUE"""),44348.66666666667)</f>
        <v>44348.66667</v>
      </c>
      <c r="B1436" s="13">
        <f>IFERROR(__xludf.DUMMYFUNCTION("""COMPUTED_VALUE"""),4202.04)</f>
        <v>4202.04</v>
      </c>
      <c r="C1436" s="13">
        <f t="shared" si="1"/>
        <v>4182.665</v>
      </c>
      <c r="D1436" s="13">
        <f t="shared" si="2"/>
        <v>4193.755</v>
      </c>
      <c r="E1436" s="13" t="str">
        <f t="shared" si="3"/>
        <v/>
      </c>
      <c r="F1436" s="3">
        <f t="shared" si="4"/>
        <v>-0.0004923753184</v>
      </c>
      <c r="G1436" s="4">
        <f t="shared" si="5"/>
        <v>2.020833333</v>
      </c>
      <c r="H1436" s="5">
        <f t="shared" si="6"/>
        <v>0</v>
      </c>
      <c r="I1436" s="5">
        <f t="shared" si="7"/>
        <v>1.553009668</v>
      </c>
    </row>
    <row r="1437">
      <c r="A1437" s="12">
        <f>IFERROR(__xludf.DUMMYFUNCTION("""COMPUTED_VALUE"""),44349.66666666667)</f>
        <v>44349.66667</v>
      </c>
      <c r="B1437" s="13">
        <f>IFERROR(__xludf.DUMMYFUNCTION("""COMPUTED_VALUE"""),4208.12)</f>
        <v>4208.12</v>
      </c>
      <c r="C1437" s="13">
        <f t="shared" si="1"/>
        <v>4167.975</v>
      </c>
      <c r="D1437" s="13">
        <f t="shared" si="2"/>
        <v>4185.69</v>
      </c>
      <c r="E1437" s="13" t="str">
        <f t="shared" si="3"/>
        <v/>
      </c>
      <c r="F1437" s="3">
        <f t="shared" si="4"/>
        <v>0.00144691626</v>
      </c>
      <c r="G1437" s="4">
        <f t="shared" si="5"/>
        <v>2.02375731</v>
      </c>
      <c r="H1437" s="5">
        <f t="shared" si="6"/>
        <v>0</v>
      </c>
      <c r="I1437" s="5">
        <f t="shared" si="7"/>
        <v>1.553009668</v>
      </c>
    </row>
    <row r="1438">
      <c r="A1438" s="12">
        <f>IFERROR(__xludf.DUMMYFUNCTION("""COMPUTED_VALUE"""),44350.66666666667)</f>
        <v>44350.66667</v>
      </c>
      <c r="B1438" s="13">
        <f>IFERROR(__xludf.DUMMYFUNCTION("""COMPUTED_VALUE"""),4192.85)</f>
        <v>4192.85</v>
      </c>
      <c r="C1438" s="13">
        <f t="shared" si="1"/>
        <v>4154.265</v>
      </c>
      <c r="D1438" s="13">
        <f t="shared" si="2"/>
        <v>4163.895</v>
      </c>
      <c r="E1438" s="13" t="str">
        <f t="shared" si="3"/>
        <v/>
      </c>
      <c r="F1438" s="3">
        <f t="shared" si="4"/>
        <v>-0.003628698801</v>
      </c>
      <c r="G1438" s="4">
        <f t="shared" si="5"/>
        <v>2.016413704</v>
      </c>
      <c r="H1438" s="5">
        <f t="shared" si="6"/>
        <v>0</v>
      </c>
      <c r="I1438" s="5">
        <f t="shared" si="7"/>
        <v>1.553009668</v>
      </c>
    </row>
    <row r="1439">
      <c r="A1439" s="12">
        <f>IFERROR(__xludf.DUMMYFUNCTION("""COMPUTED_VALUE"""),44351.66666666667)</f>
        <v>44351.66667</v>
      </c>
      <c r="B1439" s="13">
        <f>IFERROR(__xludf.DUMMYFUNCTION("""COMPUTED_VALUE"""),4229.89)</f>
        <v>4229.89</v>
      </c>
      <c r="C1439" s="13">
        <f t="shared" si="1"/>
        <v>4194.505</v>
      </c>
      <c r="D1439" s="13">
        <f t="shared" si="2"/>
        <v>4201.655</v>
      </c>
      <c r="E1439" s="13" t="str">
        <f t="shared" si="3"/>
        <v/>
      </c>
      <c r="F1439" s="3">
        <f t="shared" si="4"/>
        <v>0.0088340866</v>
      </c>
      <c r="G1439" s="4">
        <f t="shared" si="5"/>
        <v>2.034226878</v>
      </c>
      <c r="H1439" s="5">
        <f t="shared" si="6"/>
        <v>0</v>
      </c>
      <c r="I1439" s="5">
        <f t="shared" si="7"/>
        <v>1.553009668</v>
      </c>
    </row>
    <row r="1440">
      <c r="A1440" s="12">
        <f>IFERROR(__xludf.DUMMYFUNCTION("""COMPUTED_VALUE"""),44354.66666666667)</f>
        <v>44354.66667</v>
      </c>
      <c r="B1440" s="13">
        <f>IFERROR(__xludf.DUMMYFUNCTION("""COMPUTED_VALUE"""),4226.52)</f>
        <v>4226.52</v>
      </c>
      <c r="C1440" s="13">
        <f t="shared" si="1"/>
        <v>4191.19</v>
      </c>
      <c r="D1440" s="13">
        <f t="shared" si="2"/>
        <v>4180.75</v>
      </c>
      <c r="E1440" s="13" t="str">
        <f t="shared" si="3"/>
        <v>LONG</v>
      </c>
      <c r="F1440" s="3">
        <f t="shared" si="4"/>
        <v>-0.0007967110256</v>
      </c>
      <c r="G1440" s="4">
        <f t="shared" si="5"/>
        <v>2.032606187</v>
      </c>
      <c r="H1440" s="3">
        <f t="shared" si="6"/>
        <v>-0.0007967110256</v>
      </c>
      <c r="I1440" s="5">
        <f t="shared" si="7"/>
        <v>1.551772368</v>
      </c>
    </row>
    <row r="1441">
      <c r="A1441" s="12">
        <f>IFERROR(__xludf.DUMMYFUNCTION("""COMPUTED_VALUE"""),44355.66666666667)</f>
        <v>44355.66667</v>
      </c>
      <c r="B1441" s="13">
        <f>IFERROR(__xludf.DUMMYFUNCTION("""COMPUTED_VALUE"""),4227.26)</f>
        <v>4227.26</v>
      </c>
      <c r="C1441" s="13">
        <f t="shared" si="1"/>
        <v>4212.155</v>
      </c>
      <c r="D1441" s="13">
        <f t="shared" si="2"/>
        <v>4203.715</v>
      </c>
      <c r="E1441" s="13" t="str">
        <f t="shared" si="3"/>
        <v>LONG</v>
      </c>
      <c r="F1441" s="3">
        <f t="shared" si="4"/>
        <v>0.0001750849399</v>
      </c>
      <c r="G1441" s="4">
        <f t="shared" si="5"/>
        <v>2.032962065</v>
      </c>
      <c r="H1441" s="3">
        <f t="shared" si="6"/>
        <v>0.0001750849399</v>
      </c>
      <c r="I1441" s="5">
        <f t="shared" si="7"/>
        <v>1.55204406</v>
      </c>
    </row>
    <row r="1442">
      <c r="A1442" s="12">
        <f>IFERROR(__xludf.DUMMYFUNCTION("""COMPUTED_VALUE"""),44356.66666666667)</f>
        <v>44356.66667</v>
      </c>
      <c r="B1442" s="13">
        <f>IFERROR(__xludf.DUMMYFUNCTION("""COMPUTED_VALUE"""),4219.55)</f>
        <v>4219.55</v>
      </c>
      <c r="C1442" s="13">
        <f t="shared" si="1"/>
        <v>4203.84</v>
      </c>
      <c r="D1442" s="13">
        <f t="shared" si="2"/>
        <v>4203.585</v>
      </c>
      <c r="E1442" s="13" t="str">
        <f t="shared" si="3"/>
        <v>LONG</v>
      </c>
      <c r="F1442" s="3">
        <f t="shared" si="4"/>
        <v>-0.001823876459</v>
      </c>
      <c r="G1442" s="4">
        <f t="shared" si="5"/>
        <v>2.029254194</v>
      </c>
      <c r="H1442" s="3">
        <f t="shared" si="6"/>
        <v>-0.001823876459</v>
      </c>
      <c r="I1442" s="5">
        <f t="shared" si="7"/>
        <v>1.549213323</v>
      </c>
    </row>
    <row r="1443">
      <c r="A1443" s="12">
        <f>IFERROR(__xludf.DUMMYFUNCTION("""COMPUTED_VALUE"""),44357.66666666667)</f>
        <v>44357.66667</v>
      </c>
      <c r="B1443" s="13">
        <f>IFERROR(__xludf.DUMMYFUNCTION("""COMPUTED_VALUE"""),4239.18)</f>
        <v>4239.18</v>
      </c>
      <c r="C1443" s="13">
        <f t="shared" si="1"/>
        <v>4217.585</v>
      </c>
      <c r="D1443" s="13">
        <f t="shared" si="2"/>
        <v>4212.95</v>
      </c>
      <c r="E1443" s="13" t="str">
        <f t="shared" si="3"/>
        <v>LONG</v>
      </c>
      <c r="F1443" s="3">
        <f t="shared" si="4"/>
        <v>0.004652154851</v>
      </c>
      <c r="G1443" s="4">
        <f t="shared" si="5"/>
        <v>2.038694598</v>
      </c>
      <c r="H1443" s="3">
        <f t="shared" si="6"/>
        <v>0.004652154851</v>
      </c>
      <c r="I1443" s="5">
        <f t="shared" si="7"/>
        <v>1.556420504</v>
      </c>
    </row>
    <row r="1444">
      <c r="A1444" s="12">
        <f>IFERROR(__xludf.DUMMYFUNCTION("""COMPUTED_VALUE"""),44358.66666666667)</f>
        <v>44358.66667</v>
      </c>
      <c r="B1444" s="13">
        <f>IFERROR(__xludf.DUMMYFUNCTION("""COMPUTED_VALUE"""),4247.44)</f>
        <v>4247.44</v>
      </c>
      <c r="C1444" s="13">
        <f t="shared" si="1"/>
        <v>4224.16</v>
      </c>
      <c r="D1444" s="13">
        <f t="shared" si="2"/>
        <v>4215.31</v>
      </c>
      <c r="E1444" s="13" t="str">
        <f t="shared" si="3"/>
        <v>LONG</v>
      </c>
      <c r="F1444" s="3">
        <f t="shared" si="4"/>
        <v>0.001948490038</v>
      </c>
      <c r="G1444" s="4">
        <f t="shared" si="5"/>
        <v>2.042666974</v>
      </c>
      <c r="H1444" s="3">
        <f t="shared" si="6"/>
        <v>0.001948490038</v>
      </c>
      <c r="I1444" s="5">
        <f t="shared" si="7"/>
        <v>1.559453173</v>
      </c>
    </row>
    <row r="1445">
      <c r="A1445" s="12">
        <f>IFERROR(__xludf.DUMMYFUNCTION("""COMPUTED_VALUE"""),44361.66666666667)</f>
        <v>44361.66667</v>
      </c>
      <c r="B1445" s="13">
        <f>IFERROR(__xludf.DUMMYFUNCTION("""COMPUTED_VALUE"""),4255.15)</f>
        <v>4255.15</v>
      </c>
      <c r="C1445" s="13">
        <f t="shared" si="1"/>
        <v>4229.63</v>
      </c>
      <c r="D1445" s="13">
        <f t="shared" si="2"/>
        <v>4233.31</v>
      </c>
      <c r="E1445" s="13" t="str">
        <f t="shared" si="3"/>
        <v/>
      </c>
      <c r="F1445" s="3">
        <f t="shared" si="4"/>
        <v>0.001815211045</v>
      </c>
      <c r="G1445" s="4">
        <f t="shared" si="5"/>
        <v>2.046374846</v>
      </c>
      <c r="H1445" s="5">
        <f t="shared" si="6"/>
        <v>0</v>
      </c>
      <c r="I1445" s="5">
        <f t="shared" si="7"/>
        <v>1.559453173</v>
      </c>
    </row>
    <row r="1446">
      <c r="A1446" s="12">
        <f>IFERROR(__xludf.DUMMYFUNCTION("""COMPUTED_VALUE"""),44362.66666666667)</f>
        <v>44362.66667</v>
      </c>
      <c r="B1446" s="13">
        <f>IFERROR(__xludf.DUMMYFUNCTION("""COMPUTED_VALUE"""),4246.59)</f>
        <v>4246.59</v>
      </c>
      <c r="C1446" s="13">
        <f t="shared" si="1"/>
        <v>4224.315</v>
      </c>
      <c r="D1446" s="13">
        <f t="shared" si="2"/>
        <v>4213.88</v>
      </c>
      <c r="E1446" s="13" t="str">
        <f t="shared" si="3"/>
        <v>LONG</v>
      </c>
      <c r="F1446" s="3">
        <f t="shared" si="4"/>
        <v>-0.002011679964</v>
      </c>
      <c r="G1446" s="4">
        <f t="shared" si="5"/>
        <v>2.042258195</v>
      </c>
      <c r="H1446" s="3">
        <f t="shared" si="6"/>
        <v>-0.002011679964</v>
      </c>
      <c r="I1446" s="5">
        <f t="shared" si="7"/>
        <v>1.556316053</v>
      </c>
    </row>
    <row r="1447">
      <c r="A1447" s="12">
        <f>IFERROR(__xludf.DUMMYFUNCTION("""COMPUTED_VALUE"""),44363.66666666667)</f>
        <v>44363.66667</v>
      </c>
      <c r="B1447" s="13">
        <f>IFERROR(__xludf.DUMMYFUNCTION("""COMPUTED_VALUE"""),4223.7)</f>
        <v>4223.7</v>
      </c>
      <c r="C1447" s="13">
        <f t="shared" si="1"/>
        <v>4215.91</v>
      </c>
      <c r="D1447" s="13">
        <f t="shared" si="2"/>
        <v>4208.18</v>
      </c>
      <c r="E1447" s="13" t="str">
        <f t="shared" si="3"/>
        <v>LONG</v>
      </c>
      <c r="F1447" s="3">
        <f t="shared" si="4"/>
        <v>-0.005390207202</v>
      </c>
      <c r="G1447" s="4">
        <f t="shared" si="5"/>
        <v>2.03125</v>
      </c>
      <c r="H1447" s="3">
        <f t="shared" si="6"/>
        <v>-0.005390207202</v>
      </c>
      <c r="I1447" s="5">
        <f t="shared" si="7"/>
        <v>1.547927187</v>
      </c>
    </row>
    <row r="1448">
      <c r="A1448" s="12">
        <f>IFERROR(__xludf.DUMMYFUNCTION("""COMPUTED_VALUE"""),44364.66666666667)</f>
        <v>44364.66667</v>
      </c>
      <c r="B1448" s="13">
        <f>IFERROR(__xludf.DUMMYFUNCTION("""COMPUTED_VALUE"""),4221.86)</f>
        <v>4221.86</v>
      </c>
      <c r="C1448" s="13">
        <f t="shared" si="1"/>
        <v>4207.355</v>
      </c>
      <c r="D1448" s="13">
        <f t="shared" si="2"/>
        <v>4193.26</v>
      </c>
      <c r="E1448" s="13" t="str">
        <f t="shared" si="3"/>
        <v>LONG</v>
      </c>
      <c r="F1448" s="3">
        <f t="shared" si="4"/>
        <v>-0.0004356370007</v>
      </c>
      <c r="G1448" s="4">
        <f t="shared" si="5"/>
        <v>2.030365112</v>
      </c>
      <c r="H1448" s="3">
        <f t="shared" si="6"/>
        <v>-0.0004356370007</v>
      </c>
      <c r="I1448" s="5">
        <f t="shared" si="7"/>
        <v>1.547252852</v>
      </c>
    </row>
    <row r="1449">
      <c r="A1449" s="12">
        <f>IFERROR(__xludf.DUMMYFUNCTION("""COMPUTED_VALUE"""),44365.66666666667)</f>
        <v>44365.66667</v>
      </c>
      <c r="B1449" s="13">
        <f>IFERROR(__xludf.DUMMYFUNCTION("""COMPUTED_VALUE"""),4166.45)</f>
        <v>4166.45</v>
      </c>
      <c r="C1449" s="13">
        <f t="shared" si="1"/>
        <v>4198.17</v>
      </c>
      <c r="D1449" s="13">
        <f t="shared" si="2"/>
        <v>4167.02</v>
      </c>
      <c r="E1449" s="13" t="str">
        <f t="shared" si="3"/>
        <v>LONG</v>
      </c>
      <c r="F1449" s="3">
        <f t="shared" si="4"/>
        <v>-0.013124547</v>
      </c>
      <c r="G1449" s="4">
        <f t="shared" si="5"/>
        <v>2.00371749</v>
      </c>
      <c r="H1449" s="3">
        <f t="shared" si="6"/>
        <v>-0.013124547</v>
      </c>
      <c r="I1449" s="5">
        <f t="shared" si="7"/>
        <v>1.52694586</v>
      </c>
    </row>
    <row r="1450">
      <c r="A1450" s="12">
        <f>IFERROR(__xludf.DUMMYFUNCTION("""COMPUTED_VALUE"""),44368.66666666667)</f>
        <v>44368.66667</v>
      </c>
      <c r="B1450" s="13">
        <f>IFERROR(__xludf.DUMMYFUNCTION("""COMPUTED_VALUE"""),4224.79)</f>
        <v>4224.79</v>
      </c>
      <c r="C1450" s="13">
        <f t="shared" si="1"/>
        <v>4225.655</v>
      </c>
      <c r="D1450" s="13">
        <f t="shared" si="2"/>
        <v>4213.205</v>
      </c>
      <c r="E1450" s="13" t="str">
        <f t="shared" si="3"/>
        <v>LONG</v>
      </c>
      <c r="F1450" s="3">
        <f t="shared" si="4"/>
        <v>0.01400232812</v>
      </c>
      <c r="G1450" s="4">
        <f t="shared" si="5"/>
        <v>2.0317742</v>
      </c>
      <c r="H1450" s="3">
        <f t="shared" si="6"/>
        <v>0.01400232812</v>
      </c>
      <c r="I1450" s="5">
        <f t="shared" si="7"/>
        <v>1.548326656</v>
      </c>
    </row>
    <row r="1451">
      <c r="A1451" s="12">
        <f>IFERROR(__xludf.DUMMYFUNCTION("""COMPUTED_VALUE"""),44369.66666666667)</f>
        <v>44369.66667</v>
      </c>
      <c r="B1451" s="13">
        <f>IFERROR(__xludf.DUMMYFUNCTION("""COMPUTED_VALUE"""),4246.44)</f>
        <v>4246.44</v>
      </c>
      <c r="C1451" s="13">
        <f t="shared" si="1"/>
        <v>4236.85</v>
      </c>
      <c r="D1451" s="13">
        <f t="shared" si="2"/>
        <v>4239.52</v>
      </c>
      <c r="E1451" s="13" t="str">
        <f t="shared" si="3"/>
        <v/>
      </c>
      <c r="F1451" s="3">
        <f t="shared" si="4"/>
        <v>0.005124515065</v>
      </c>
      <c r="G1451" s="4">
        <f t="shared" si="5"/>
        <v>2.042186057</v>
      </c>
      <c r="H1451" s="5">
        <f t="shared" si="6"/>
        <v>0</v>
      </c>
      <c r="I1451" s="5">
        <f t="shared" si="7"/>
        <v>1.548326656</v>
      </c>
    </row>
    <row r="1452">
      <c r="A1452" s="12">
        <f>IFERROR(__xludf.DUMMYFUNCTION("""COMPUTED_VALUE"""),44370.66666666667)</f>
        <v>44370.66667</v>
      </c>
      <c r="B1452" s="13">
        <f>IFERROR(__xludf.DUMMYFUNCTION("""COMPUTED_VALUE"""),4241.84)</f>
        <v>4241.84</v>
      </c>
      <c r="C1452" s="13">
        <f t="shared" si="1"/>
        <v>4230.695</v>
      </c>
      <c r="D1452" s="13">
        <f t="shared" si="2"/>
        <v>4215.135</v>
      </c>
      <c r="E1452" s="13" t="str">
        <f t="shared" si="3"/>
        <v>LONG</v>
      </c>
      <c r="F1452" s="3">
        <f t="shared" si="4"/>
        <v>-0.001083260331</v>
      </c>
      <c r="G1452" s="4">
        <f t="shared" si="5"/>
        <v>2.039973838</v>
      </c>
      <c r="H1452" s="3">
        <f t="shared" si="6"/>
        <v>-0.001083260331</v>
      </c>
      <c r="I1452" s="5">
        <f t="shared" si="7"/>
        <v>1.546649416</v>
      </c>
    </row>
    <row r="1453">
      <c r="A1453" s="12">
        <f>IFERROR(__xludf.DUMMYFUNCTION("""COMPUTED_VALUE"""),44371.66666666667)</f>
        <v>44371.66667</v>
      </c>
      <c r="B1453" s="13">
        <f>IFERROR(__xludf.DUMMYFUNCTION("""COMPUTED_VALUE"""),4266.49)</f>
        <v>4266.49</v>
      </c>
      <c r="C1453" s="13">
        <f t="shared" si="1"/>
        <v>4252.835</v>
      </c>
      <c r="D1453" s="13">
        <f t="shared" si="2"/>
        <v>4209.295</v>
      </c>
      <c r="E1453" s="13" t="str">
        <f t="shared" si="3"/>
        <v>LONG</v>
      </c>
      <c r="F1453" s="3">
        <f t="shared" si="4"/>
        <v>0.005811157422</v>
      </c>
      <c r="G1453" s="4">
        <f t="shared" si="5"/>
        <v>2.051828447</v>
      </c>
      <c r="H1453" s="3">
        <f t="shared" si="6"/>
        <v>0.005811157422</v>
      </c>
      <c r="I1453" s="5">
        <f t="shared" si="7"/>
        <v>1.555637239</v>
      </c>
    </row>
    <row r="1454">
      <c r="A1454" s="12">
        <f>IFERROR(__xludf.DUMMYFUNCTION("""COMPUTED_VALUE"""),44372.66666666667)</f>
        <v>44372.66667</v>
      </c>
      <c r="B1454" s="13">
        <f>IFERROR(__xludf.DUMMYFUNCTION("""COMPUTED_VALUE"""),4280.7)</f>
        <v>4280.7</v>
      </c>
      <c r="C1454" s="13">
        <f t="shared" si="1"/>
        <v>4264.07</v>
      </c>
      <c r="D1454" s="13">
        <f t="shared" si="2"/>
        <v>4171.87</v>
      </c>
      <c r="E1454" s="13" t="str">
        <f t="shared" si="3"/>
        <v>LONG</v>
      </c>
      <c r="F1454" s="3">
        <f t="shared" si="4"/>
        <v>0.003330606658</v>
      </c>
      <c r="G1454" s="4">
        <f t="shared" si="5"/>
        <v>2.058662281</v>
      </c>
      <c r="H1454" s="3">
        <f t="shared" si="6"/>
        <v>0.003330606658</v>
      </c>
      <c r="I1454" s="5">
        <f t="shared" si="7"/>
        <v>1.560818455</v>
      </c>
    </row>
    <row r="1455">
      <c r="A1455" s="12">
        <f>IFERROR(__xludf.DUMMYFUNCTION("""COMPUTED_VALUE"""),44375.66666666667)</f>
        <v>44375.66667</v>
      </c>
      <c r="B1455" s="13">
        <f>IFERROR(__xludf.DUMMYFUNCTION("""COMPUTED_VALUE"""),4290.61)</f>
        <v>4290.61</v>
      </c>
      <c r="C1455" s="13">
        <f t="shared" si="1"/>
        <v>4272.88</v>
      </c>
      <c r="D1455" s="13">
        <f t="shared" si="2"/>
        <v>4201.555</v>
      </c>
      <c r="E1455" s="13" t="str">
        <f t="shared" si="3"/>
        <v>LONG</v>
      </c>
      <c r="F1455" s="3">
        <f t="shared" si="4"/>
        <v>0.002315041932</v>
      </c>
      <c r="G1455" s="4">
        <f t="shared" si="5"/>
        <v>2.06342817</v>
      </c>
      <c r="H1455" s="3">
        <f t="shared" si="6"/>
        <v>0.002315041932</v>
      </c>
      <c r="I1455" s="5">
        <f t="shared" si="7"/>
        <v>1.564431815</v>
      </c>
    </row>
    <row r="1456">
      <c r="A1456" s="12">
        <f>IFERROR(__xludf.DUMMYFUNCTION("""COMPUTED_VALUE"""),44376.66666666667)</f>
        <v>44376.66667</v>
      </c>
      <c r="B1456" s="13">
        <f>IFERROR(__xludf.DUMMYFUNCTION("""COMPUTED_VALUE"""),4291.8)</f>
        <v>4291.8</v>
      </c>
      <c r="C1456" s="13">
        <f t="shared" si="1"/>
        <v>4269.195</v>
      </c>
      <c r="D1456" s="13">
        <f t="shared" si="2"/>
        <v>4232.825</v>
      </c>
      <c r="E1456" s="13" t="str">
        <f t="shared" si="3"/>
        <v>LONG</v>
      </c>
      <c r="F1456" s="3">
        <f t="shared" si="4"/>
        <v>0.0002773498407</v>
      </c>
      <c r="G1456" s="4">
        <f t="shared" si="5"/>
        <v>2.064000462</v>
      </c>
      <c r="H1456" s="3">
        <f t="shared" si="6"/>
        <v>0.0002773498407</v>
      </c>
      <c r="I1456" s="5">
        <f t="shared" si="7"/>
        <v>1.56486571</v>
      </c>
    </row>
    <row r="1457">
      <c r="A1457" s="12">
        <f>IFERROR(__xludf.DUMMYFUNCTION("""COMPUTED_VALUE"""),44377.66666666667)</f>
        <v>44377.66667</v>
      </c>
      <c r="B1457" s="13">
        <f>IFERROR(__xludf.DUMMYFUNCTION("""COMPUTED_VALUE"""),4297.5)</f>
        <v>4297.5</v>
      </c>
      <c r="C1457" s="13">
        <f t="shared" si="1"/>
        <v>4260.6</v>
      </c>
      <c r="D1457" s="13">
        <f t="shared" si="2"/>
        <v>4230.395</v>
      </c>
      <c r="E1457" s="13" t="str">
        <f t="shared" si="3"/>
        <v>LONG</v>
      </c>
      <c r="F1457" s="3">
        <f t="shared" si="4"/>
        <v>0.001328114078</v>
      </c>
      <c r="G1457" s="4">
        <f t="shared" si="5"/>
        <v>2.06674169</v>
      </c>
      <c r="H1457" s="3">
        <f t="shared" si="6"/>
        <v>0.001328114078</v>
      </c>
      <c r="I1457" s="5">
        <f t="shared" si="7"/>
        <v>1.56694403</v>
      </c>
    </row>
    <row r="1458">
      <c r="A1458" s="12">
        <f>IFERROR(__xludf.DUMMYFUNCTION("""COMPUTED_VALUE"""),44378.66666666667)</f>
        <v>44378.66667</v>
      </c>
      <c r="B1458" s="13">
        <f>IFERROR(__xludf.DUMMYFUNCTION("""COMPUTED_VALUE"""),4319.94)</f>
        <v>4319.94</v>
      </c>
      <c r="C1458" s="13">
        <f t="shared" si="1"/>
        <v>4270.9</v>
      </c>
      <c r="D1458" s="13">
        <f t="shared" si="2"/>
        <v>4223.885</v>
      </c>
      <c r="E1458" s="13" t="str">
        <f t="shared" si="3"/>
        <v>LONG</v>
      </c>
      <c r="F1458" s="3">
        <f t="shared" si="4"/>
        <v>0.005221640489</v>
      </c>
      <c r="G1458" s="4">
        <f t="shared" si="5"/>
        <v>2.077533472</v>
      </c>
      <c r="H1458" s="3">
        <f t="shared" si="6"/>
        <v>0.005221640489</v>
      </c>
      <c r="I1458" s="5">
        <f t="shared" si="7"/>
        <v>1.575126048</v>
      </c>
    </row>
    <row r="1459">
      <c r="A1459" s="12">
        <f>IFERROR(__xludf.DUMMYFUNCTION("""COMPUTED_VALUE"""),44379.66666666667)</f>
        <v>44379.66667</v>
      </c>
      <c r="B1459" s="13">
        <f>IFERROR(__xludf.DUMMYFUNCTION("""COMPUTED_VALUE"""),4352.34)</f>
        <v>4352.34</v>
      </c>
      <c r="C1459" s="13">
        <f t="shared" si="1"/>
        <v>4259.395</v>
      </c>
      <c r="D1459" s="13">
        <f t="shared" si="2"/>
        <v>4234.01</v>
      </c>
      <c r="E1459" s="13" t="str">
        <f t="shared" si="3"/>
        <v>LONG</v>
      </c>
      <c r="F1459" s="3">
        <f t="shared" si="4"/>
        <v>0.007500104168</v>
      </c>
      <c r="G1459" s="4">
        <f t="shared" si="5"/>
        <v>2.093115189</v>
      </c>
      <c r="H1459" s="3">
        <f t="shared" si="6"/>
        <v>0.007500104168</v>
      </c>
      <c r="I1459" s="5">
        <f t="shared" si="7"/>
        <v>1.586939658</v>
      </c>
    </row>
    <row r="1460">
      <c r="A1460" s="12">
        <f>IFERROR(__xludf.DUMMYFUNCTION("""COMPUTED_VALUE"""),44383.66666666667)</f>
        <v>44383.66667</v>
      </c>
      <c r="B1460" s="13">
        <f>IFERROR(__xludf.DUMMYFUNCTION("""COMPUTED_VALUE"""),4343.54)</f>
        <v>4343.54</v>
      </c>
      <c r="C1460" s="13">
        <f t="shared" si="1"/>
        <v>4284.165</v>
      </c>
      <c r="D1460" s="13">
        <f t="shared" si="2"/>
        <v>4251.33</v>
      </c>
      <c r="E1460" s="13" t="str">
        <f t="shared" si="3"/>
        <v>LONG</v>
      </c>
      <c r="F1460" s="3">
        <f t="shared" si="4"/>
        <v>-0.002021900863</v>
      </c>
      <c r="G1460" s="4">
        <f t="shared" si="5"/>
        <v>2.088883118</v>
      </c>
      <c r="H1460" s="3">
        <f t="shared" si="6"/>
        <v>-0.002021900863</v>
      </c>
      <c r="I1460" s="5">
        <f t="shared" si="7"/>
        <v>1.583731023</v>
      </c>
    </row>
    <row r="1461">
      <c r="A1461" s="12">
        <f>IFERROR(__xludf.DUMMYFUNCTION("""COMPUTED_VALUE"""),44384.66666666667)</f>
        <v>44384.66667</v>
      </c>
      <c r="B1461" s="13">
        <f>IFERROR(__xludf.DUMMYFUNCTION("""COMPUTED_VALUE"""),4358.13)</f>
        <v>4358.13</v>
      </c>
      <c r="C1461" s="13">
        <f t="shared" si="1"/>
        <v>4302.285</v>
      </c>
      <c r="D1461" s="13">
        <f t="shared" si="2"/>
        <v>4256.995</v>
      </c>
      <c r="E1461" s="13" t="str">
        <f t="shared" si="3"/>
        <v>LONG</v>
      </c>
      <c r="F1461" s="3">
        <f t="shared" si="4"/>
        <v>0.003359011313</v>
      </c>
      <c r="G1461" s="4">
        <f t="shared" si="5"/>
        <v>2.0958997</v>
      </c>
      <c r="H1461" s="3">
        <f t="shared" si="6"/>
        <v>0.003359011313</v>
      </c>
      <c r="I1461" s="5">
        <f t="shared" si="7"/>
        <v>1.589050793</v>
      </c>
    </row>
    <row r="1462">
      <c r="A1462" s="12">
        <f>IFERROR(__xludf.DUMMYFUNCTION("""COMPUTED_VALUE"""),44385.66666666667)</f>
        <v>44385.66667</v>
      </c>
      <c r="B1462" s="13">
        <f>IFERROR(__xludf.DUMMYFUNCTION("""COMPUTED_VALUE"""),4320.82)</f>
        <v>4320.82</v>
      </c>
      <c r="C1462" s="13">
        <f t="shared" si="1"/>
        <v>4281.33</v>
      </c>
      <c r="D1462" s="13">
        <f t="shared" si="2"/>
        <v>4258.935</v>
      </c>
      <c r="E1462" s="13" t="str">
        <f t="shared" si="3"/>
        <v>LONG</v>
      </c>
      <c r="F1462" s="3">
        <f t="shared" si="4"/>
        <v>-0.008561011259</v>
      </c>
      <c r="G1462" s="4">
        <f t="shared" si="5"/>
        <v>2.077956679</v>
      </c>
      <c r="H1462" s="3">
        <f t="shared" si="6"/>
        <v>-0.008561011259</v>
      </c>
      <c r="I1462" s="5">
        <f t="shared" si="7"/>
        <v>1.575446912</v>
      </c>
    </row>
    <row r="1463">
      <c r="A1463" s="12">
        <f>IFERROR(__xludf.DUMMYFUNCTION("""COMPUTED_VALUE"""),44386.66666666667)</f>
        <v>44386.66667</v>
      </c>
      <c r="B1463" s="13">
        <f>IFERROR(__xludf.DUMMYFUNCTION("""COMPUTED_VALUE"""),4369.55)</f>
        <v>4369.55</v>
      </c>
      <c r="C1463" s="13">
        <f t="shared" si="1"/>
        <v>4318.02</v>
      </c>
      <c r="D1463" s="13">
        <f t="shared" si="2"/>
        <v>4278.84</v>
      </c>
      <c r="E1463" s="13" t="str">
        <f t="shared" si="3"/>
        <v>LONG</v>
      </c>
      <c r="F1463" s="3">
        <f t="shared" si="4"/>
        <v>0.01127795187</v>
      </c>
      <c r="G1463" s="4">
        <f t="shared" si="5"/>
        <v>2.101391774</v>
      </c>
      <c r="H1463" s="3">
        <f t="shared" si="6"/>
        <v>0.01127795187</v>
      </c>
      <c r="I1463" s="5">
        <f t="shared" si="7"/>
        <v>1.593214726</v>
      </c>
    </row>
    <row r="1464">
      <c r="A1464" s="12">
        <f>IFERROR(__xludf.DUMMYFUNCTION("""COMPUTED_VALUE"""),44389.66666666667)</f>
        <v>44389.66667</v>
      </c>
      <c r="B1464" s="13">
        <f>IFERROR(__xludf.DUMMYFUNCTION("""COMPUTED_VALUE"""),4384.63)</f>
        <v>4384.63</v>
      </c>
      <c r="C1464" s="13">
        <f t="shared" si="1"/>
        <v>4332.665</v>
      </c>
      <c r="D1464" s="13">
        <f t="shared" si="2"/>
        <v>4290.31</v>
      </c>
      <c r="E1464" s="13" t="str">
        <f t="shared" si="3"/>
        <v>LONG</v>
      </c>
      <c r="F1464" s="3">
        <f t="shared" si="4"/>
        <v>0.003451156298</v>
      </c>
      <c r="G1464" s="4">
        <f t="shared" si="5"/>
        <v>2.108644006</v>
      </c>
      <c r="H1464" s="3">
        <f t="shared" si="6"/>
        <v>0.003451156298</v>
      </c>
      <c r="I1464" s="5">
        <f t="shared" si="7"/>
        <v>1.598713159</v>
      </c>
    </row>
    <row r="1465">
      <c r="A1465" s="12">
        <f>IFERROR(__xludf.DUMMYFUNCTION("""COMPUTED_VALUE"""),44390.66666666667)</f>
        <v>44390.66667</v>
      </c>
      <c r="B1465" s="13">
        <f>IFERROR(__xludf.DUMMYFUNCTION("""COMPUTED_VALUE"""),4369.21)</f>
        <v>4369.21</v>
      </c>
      <c r="C1465" s="13">
        <f t="shared" si="1"/>
        <v>4329.91</v>
      </c>
      <c r="D1465" s="13">
        <f t="shared" si="2"/>
        <v>4285.045</v>
      </c>
      <c r="E1465" s="13" t="str">
        <f t="shared" si="3"/>
        <v>LONG</v>
      </c>
      <c r="F1465" s="3">
        <f t="shared" si="4"/>
        <v>-0.003516830382</v>
      </c>
      <c r="G1465" s="4">
        <f t="shared" si="5"/>
        <v>2.101228263</v>
      </c>
      <c r="H1465" s="3">
        <f t="shared" si="6"/>
        <v>-0.003516830382</v>
      </c>
      <c r="I1465" s="5">
        <f t="shared" si="7"/>
        <v>1.593090756</v>
      </c>
    </row>
    <row r="1466">
      <c r="A1466" s="12">
        <f>IFERROR(__xludf.DUMMYFUNCTION("""COMPUTED_VALUE"""),44391.66666666667)</f>
        <v>44391.66667</v>
      </c>
      <c r="B1466" s="13">
        <f>IFERROR(__xludf.DUMMYFUNCTION("""COMPUTED_VALUE"""),4374.3)</f>
        <v>4374.3</v>
      </c>
      <c r="C1466" s="13">
        <f t="shared" si="1"/>
        <v>4333.05</v>
      </c>
      <c r="D1466" s="13">
        <f t="shared" si="2"/>
        <v>4289.205</v>
      </c>
      <c r="E1466" s="13" t="str">
        <f t="shared" si="3"/>
        <v>LONG</v>
      </c>
      <c r="F1466" s="3">
        <f t="shared" si="4"/>
        <v>0.001164970326</v>
      </c>
      <c r="G1466" s="4">
        <f t="shared" si="5"/>
        <v>2.103676131</v>
      </c>
      <c r="H1466" s="3">
        <f t="shared" si="6"/>
        <v>0.001164970326</v>
      </c>
      <c r="I1466" s="5">
        <f t="shared" si="7"/>
        <v>1.59494666</v>
      </c>
    </row>
    <row r="1467">
      <c r="A1467" s="12">
        <f>IFERROR(__xludf.DUMMYFUNCTION("""COMPUTED_VALUE"""),44392.66666666667)</f>
        <v>44392.66667</v>
      </c>
      <c r="B1467" s="13">
        <f>IFERROR(__xludf.DUMMYFUNCTION("""COMPUTED_VALUE"""),4360.03)</f>
        <v>4360.03</v>
      </c>
      <c r="C1467" s="13">
        <f t="shared" si="1"/>
        <v>4328.765</v>
      </c>
      <c r="D1467" s="13">
        <f t="shared" si="2"/>
        <v>4281.035</v>
      </c>
      <c r="E1467" s="13" t="str">
        <f t="shared" si="3"/>
        <v>LONG</v>
      </c>
      <c r="F1467" s="3">
        <f t="shared" si="4"/>
        <v>-0.003262236244</v>
      </c>
      <c r="G1467" s="4">
        <f t="shared" si="5"/>
        <v>2.096813443</v>
      </c>
      <c r="H1467" s="3">
        <f t="shared" si="6"/>
        <v>-0.003262236244</v>
      </c>
      <c r="I1467" s="5">
        <f t="shared" si="7"/>
        <v>1.589743567</v>
      </c>
    </row>
    <row r="1468">
      <c r="A1468" s="12">
        <f>IFERROR(__xludf.DUMMYFUNCTION("""COMPUTED_VALUE"""),44393.66666666667)</f>
        <v>44393.66667</v>
      </c>
      <c r="B1468" s="13">
        <f>IFERROR(__xludf.DUMMYFUNCTION("""COMPUTED_VALUE"""),4327.16)</f>
        <v>4327.16</v>
      </c>
      <c r="C1468" s="13">
        <f t="shared" si="1"/>
        <v>4323.55</v>
      </c>
      <c r="D1468" s="13">
        <f t="shared" si="2"/>
        <v>4267.64</v>
      </c>
      <c r="E1468" s="13" t="str">
        <f t="shared" si="3"/>
        <v>LONG</v>
      </c>
      <c r="F1468" s="3">
        <f t="shared" si="4"/>
        <v>-0.007538938952</v>
      </c>
      <c r="G1468" s="4">
        <f t="shared" si="5"/>
        <v>2.081005694</v>
      </c>
      <c r="H1468" s="3">
        <f t="shared" si="6"/>
        <v>-0.007538938952</v>
      </c>
      <c r="I1468" s="5">
        <f t="shared" si="7"/>
        <v>1.577758587</v>
      </c>
    </row>
    <row r="1469">
      <c r="A1469" s="12">
        <f>IFERROR(__xludf.DUMMYFUNCTION("""COMPUTED_VALUE"""),44396.66666666667)</f>
        <v>44396.66667</v>
      </c>
      <c r="B1469" s="13">
        <f>IFERROR(__xludf.DUMMYFUNCTION("""COMPUTED_VALUE"""),4258.49)</f>
        <v>4258.49</v>
      </c>
      <c r="C1469" s="13">
        <f t="shared" si="1"/>
        <v>4305.415</v>
      </c>
      <c r="D1469" s="13">
        <f t="shared" si="2"/>
        <v>4225.67</v>
      </c>
      <c r="E1469" s="13" t="str">
        <f t="shared" si="3"/>
        <v>LONG</v>
      </c>
      <c r="F1469" s="3">
        <f t="shared" si="4"/>
        <v>-0.01586953106</v>
      </c>
      <c r="G1469" s="4">
        <f t="shared" si="5"/>
        <v>2.04798111</v>
      </c>
      <c r="H1469" s="3">
        <f t="shared" si="6"/>
        <v>-0.01586953106</v>
      </c>
      <c r="I1469" s="5">
        <f t="shared" si="7"/>
        <v>1.552720298</v>
      </c>
    </row>
    <row r="1470">
      <c r="A1470" s="12">
        <f>IFERROR(__xludf.DUMMYFUNCTION("""COMPUTED_VALUE"""),44397.66666666667)</f>
        <v>44397.66667</v>
      </c>
      <c r="B1470" s="13">
        <f>IFERROR(__xludf.DUMMYFUNCTION("""COMPUTED_VALUE"""),4323.06)</f>
        <v>4323.06</v>
      </c>
      <c r="C1470" s="13">
        <f t="shared" si="1"/>
        <v>4333.3</v>
      </c>
      <c r="D1470" s="13">
        <f t="shared" si="2"/>
        <v>4276.475</v>
      </c>
      <c r="E1470" s="13" t="str">
        <f t="shared" si="3"/>
        <v>LONG</v>
      </c>
      <c r="F1470" s="3">
        <f t="shared" si="4"/>
        <v>0.01516265155</v>
      </c>
      <c r="G1470" s="4">
        <f t="shared" si="5"/>
        <v>2.079033934</v>
      </c>
      <c r="H1470" s="3">
        <f t="shared" si="6"/>
        <v>0.01516265155</v>
      </c>
      <c r="I1470" s="5">
        <f t="shared" si="7"/>
        <v>1.576263655</v>
      </c>
    </row>
    <row r="1471">
      <c r="A1471" s="12">
        <f>IFERROR(__xludf.DUMMYFUNCTION("""COMPUTED_VALUE"""),44398.66666666667)</f>
        <v>44398.66667</v>
      </c>
      <c r="B1471" s="13">
        <f>IFERROR(__xludf.DUMMYFUNCTION("""COMPUTED_VALUE"""),4358.69)</f>
        <v>4358.69</v>
      </c>
      <c r="C1471" s="13">
        <f t="shared" si="1"/>
        <v>4358.41</v>
      </c>
      <c r="D1471" s="13">
        <f t="shared" si="2"/>
        <v>4292.605</v>
      </c>
      <c r="E1471" s="13" t="str">
        <f t="shared" si="3"/>
        <v>LONG</v>
      </c>
      <c r="F1471" s="3">
        <f t="shared" si="4"/>
        <v>0.00824184721</v>
      </c>
      <c r="G1471" s="4">
        <f t="shared" si="5"/>
        <v>2.096169014</v>
      </c>
      <c r="H1471" s="3">
        <f t="shared" si="6"/>
        <v>0.00824184721</v>
      </c>
      <c r="I1471" s="5">
        <f t="shared" si="7"/>
        <v>1.589254979</v>
      </c>
    </row>
    <row r="1472">
      <c r="A1472" s="12">
        <f>IFERROR(__xludf.DUMMYFUNCTION("""COMPUTED_VALUE"""),44399.66666666667)</f>
        <v>44399.66667</v>
      </c>
      <c r="B1472" s="13">
        <f>IFERROR(__xludf.DUMMYFUNCTION("""COMPUTED_VALUE"""),4367.48)</f>
        <v>4367.48</v>
      </c>
      <c r="C1472" s="13">
        <f t="shared" si="1"/>
        <v>4344.15</v>
      </c>
      <c r="D1472" s="13">
        <f t="shared" si="2"/>
        <v>4297.37</v>
      </c>
      <c r="E1472" s="13" t="str">
        <f t="shared" si="3"/>
        <v>LONG</v>
      </c>
      <c r="F1472" s="3">
        <f t="shared" si="4"/>
        <v>0.002016660969</v>
      </c>
      <c r="G1472" s="4">
        <f t="shared" si="5"/>
        <v>2.100396276</v>
      </c>
      <c r="H1472" s="3">
        <f t="shared" si="6"/>
        <v>0.002016660969</v>
      </c>
      <c r="I1472" s="5">
        <f t="shared" si="7"/>
        <v>1.592459968</v>
      </c>
    </row>
    <row r="1473">
      <c r="A1473" s="12">
        <f>IFERROR(__xludf.DUMMYFUNCTION("""COMPUTED_VALUE"""),44400.66666666667)</f>
        <v>44400.66667</v>
      </c>
      <c r="B1473" s="13">
        <f>IFERROR(__xludf.DUMMYFUNCTION("""COMPUTED_VALUE"""),4411.79)</f>
        <v>4411.79</v>
      </c>
      <c r="C1473" s="13">
        <f t="shared" si="1"/>
        <v>4390.67</v>
      </c>
      <c r="D1473" s="13">
        <f t="shared" si="2"/>
        <v>4315.67</v>
      </c>
      <c r="E1473" s="13" t="str">
        <f t="shared" si="3"/>
        <v>LONG</v>
      </c>
      <c r="F1473" s="3">
        <f t="shared" si="4"/>
        <v>0.01014543856</v>
      </c>
      <c r="G1473" s="4">
        <f t="shared" si="5"/>
        <v>2.121705717</v>
      </c>
      <c r="H1473" s="3">
        <f t="shared" si="6"/>
        <v>0.01014543856</v>
      </c>
      <c r="I1473" s="5">
        <f t="shared" si="7"/>
        <v>1.608616173</v>
      </c>
    </row>
    <row r="1474">
      <c r="A1474" s="12">
        <f>IFERROR(__xludf.DUMMYFUNCTION("""COMPUTED_VALUE"""),44403.66666666667)</f>
        <v>44403.66667</v>
      </c>
      <c r="B1474" s="13">
        <f>IFERROR(__xludf.DUMMYFUNCTION("""COMPUTED_VALUE"""),4422.3)</f>
        <v>4422.3</v>
      </c>
      <c r="C1474" s="13">
        <f t="shared" si="1"/>
        <v>4403.465</v>
      </c>
      <c r="D1474" s="13">
        <f t="shared" si="2"/>
        <v>4330.74</v>
      </c>
      <c r="E1474" s="13" t="str">
        <f t="shared" si="3"/>
        <v>LONG</v>
      </c>
      <c r="F1474" s="3">
        <f t="shared" si="4"/>
        <v>0.002382253008</v>
      </c>
      <c r="G1474" s="4">
        <f t="shared" si="5"/>
        <v>2.126760157</v>
      </c>
      <c r="H1474" s="3">
        <f t="shared" si="6"/>
        <v>0.002382253008</v>
      </c>
      <c r="I1474" s="5">
        <f t="shared" si="7"/>
        <v>1.612448303</v>
      </c>
    </row>
    <row r="1475">
      <c r="A1475" s="12">
        <f>IFERROR(__xludf.DUMMYFUNCTION("""COMPUTED_VALUE"""),44404.66666666667)</f>
        <v>44404.66667</v>
      </c>
      <c r="B1475" s="13">
        <f>IFERROR(__xludf.DUMMYFUNCTION("""COMPUTED_VALUE"""),4401.46)</f>
        <v>4401.46</v>
      </c>
      <c r="C1475" s="13">
        <f t="shared" si="1"/>
        <v>4385.335</v>
      </c>
      <c r="D1475" s="13">
        <f t="shared" si="2"/>
        <v>4324.45</v>
      </c>
      <c r="E1475" s="13" t="str">
        <f t="shared" si="3"/>
        <v>LONG</v>
      </c>
      <c r="F1475" s="3">
        <f t="shared" si="4"/>
        <v>-0.004712479931</v>
      </c>
      <c r="G1475" s="4">
        <f t="shared" si="5"/>
        <v>2.116737842</v>
      </c>
      <c r="H1475" s="3">
        <f t="shared" si="6"/>
        <v>-0.004712479931</v>
      </c>
      <c r="I1475" s="5">
        <f t="shared" si="7"/>
        <v>1.604849673</v>
      </c>
    </row>
    <row r="1476">
      <c r="A1476" s="12">
        <f>IFERROR(__xludf.DUMMYFUNCTION("""COMPUTED_VALUE"""),44405.66666666667)</f>
        <v>44405.66667</v>
      </c>
      <c r="B1476" s="13">
        <f>IFERROR(__xludf.DUMMYFUNCTION("""COMPUTED_VALUE"""),4400.64)</f>
        <v>4400.64</v>
      </c>
      <c r="C1476" s="13">
        <f t="shared" si="1"/>
        <v>4387.47</v>
      </c>
      <c r="D1476" s="13">
        <f t="shared" si="2"/>
        <v>4327.895</v>
      </c>
      <c r="E1476" s="13" t="str">
        <f t="shared" si="3"/>
        <v>LONG</v>
      </c>
      <c r="F1476" s="3">
        <f t="shared" si="4"/>
        <v>-0.000186301818</v>
      </c>
      <c r="G1476" s="4">
        <f t="shared" si="5"/>
        <v>2.11634349</v>
      </c>
      <c r="H1476" s="3">
        <f t="shared" si="6"/>
        <v>-0.000186301818</v>
      </c>
      <c r="I1476" s="5">
        <f t="shared" si="7"/>
        <v>1.604550687</v>
      </c>
    </row>
    <row r="1477">
      <c r="A1477" s="12">
        <f>IFERROR(__xludf.DUMMYFUNCTION("""COMPUTED_VALUE"""),44406.66666666667)</f>
        <v>44406.66667</v>
      </c>
      <c r="B1477" s="13">
        <f>IFERROR(__xludf.DUMMYFUNCTION("""COMPUTED_VALUE"""),4419.15)</f>
        <v>4419.15</v>
      </c>
      <c r="C1477" s="13">
        <f t="shared" si="1"/>
        <v>4389.59</v>
      </c>
      <c r="D1477" s="13">
        <f t="shared" si="2"/>
        <v>4332.87</v>
      </c>
      <c r="E1477" s="13" t="str">
        <f t="shared" si="3"/>
        <v>LONG</v>
      </c>
      <c r="F1477" s="3">
        <f t="shared" si="4"/>
        <v>0.00420620637</v>
      </c>
      <c r="G1477" s="4">
        <f t="shared" si="5"/>
        <v>2.125245268</v>
      </c>
      <c r="H1477" s="3">
        <f t="shared" si="6"/>
        <v>0.00420620637</v>
      </c>
      <c r="I1477" s="5">
        <f t="shared" si="7"/>
        <v>1.611299758</v>
      </c>
    </row>
    <row r="1478">
      <c r="A1478" s="12">
        <f>IFERROR(__xludf.DUMMYFUNCTION("""COMPUTED_VALUE"""),44407.66666666667)</f>
        <v>44407.66667</v>
      </c>
      <c r="B1478" s="13">
        <f>IFERROR(__xludf.DUMMYFUNCTION("""COMPUTED_VALUE"""),4395.26)</f>
        <v>4395.26</v>
      </c>
      <c r="C1478" s="13">
        <f t="shared" si="1"/>
        <v>4361.21</v>
      </c>
      <c r="D1478" s="13">
        <f t="shared" si="2"/>
        <v>4309.48</v>
      </c>
      <c r="E1478" s="13" t="str">
        <f t="shared" si="3"/>
        <v>LONG</v>
      </c>
      <c r="F1478" s="3">
        <f t="shared" si="4"/>
        <v>-0.005406016994</v>
      </c>
      <c r="G1478" s="4">
        <f t="shared" si="5"/>
        <v>2.113756156</v>
      </c>
      <c r="H1478" s="3">
        <f t="shared" si="6"/>
        <v>-0.005406016994</v>
      </c>
      <c r="I1478" s="5">
        <f t="shared" si="7"/>
        <v>1.602589044</v>
      </c>
    </row>
    <row r="1479">
      <c r="A1479" s="12">
        <f>IFERROR(__xludf.DUMMYFUNCTION("""COMPUTED_VALUE"""),44410.66666666667)</f>
        <v>44410.66667</v>
      </c>
      <c r="B1479" s="13">
        <f>IFERROR(__xludf.DUMMYFUNCTION("""COMPUTED_VALUE"""),4387.16)</f>
        <v>4387.16</v>
      </c>
      <c r="C1479" s="13">
        <f t="shared" si="1"/>
        <v>4322.825</v>
      </c>
      <c r="D1479" s="13">
        <f t="shared" si="2"/>
        <v>4304.51</v>
      </c>
      <c r="E1479" s="13" t="str">
        <f t="shared" si="3"/>
        <v>LONG</v>
      </c>
      <c r="F1479" s="3">
        <f t="shared" si="4"/>
        <v>-0.001842894391</v>
      </c>
      <c r="G1479" s="4">
        <f t="shared" si="5"/>
        <v>2.109860726</v>
      </c>
      <c r="H1479" s="3">
        <f t="shared" si="6"/>
        <v>-0.001842894391</v>
      </c>
      <c r="I1479" s="5">
        <f t="shared" si="7"/>
        <v>1.599635642</v>
      </c>
    </row>
    <row r="1480">
      <c r="A1480" s="12">
        <f>IFERROR(__xludf.DUMMYFUNCTION("""COMPUTED_VALUE"""),44411.66666666667)</f>
        <v>44411.66667</v>
      </c>
      <c r="B1480" s="13">
        <f>IFERROR(__xludf.DUMMYFUNCTION("""COMPUTED_VALUE"""),4423.15)</f>
        <v>4423.15</v>
      </c>
      <c r="C1480" s="13">
        <f t="shared" si="1"/>
        <v>4373.105</v>
      </c>
      <c r="D1480" s="13">
        <f t="shared" si="2"/>
        <v>4294.8</v>
      </c>
      <c r="E1480" s="13" t="str">
        <f t="shared" si="3"/>
        <v>LONG</v>
      </c>
      <c r="F1480" s="3">
        <f t="shared" si="4"/>
        <v>0.008203484714</v>
      </c>
      <c r="G1480" s="4">
        <f t="shared" si="5"/>
        <v>2.127168937</v>
      </c>
      <c r="H1480" s="3">
        <f t="shared" si="6"/>
        <v>0.008203484714</v>
      </c>
      <c r="I1480" s="5">
        <f t="shared" si="7"/>
        <v>1.612758228</v>
      </c>
    </row>
    <row r="1481">
      <c r="A1481" s="12">
        <f>IFERROR(__xludf.DUMMYFUNCTION("""COMPUTED_VALUE"""),44412.66666666667)</f>
        <v>44412.66667</v>
      </c>
      <c r="B1481" s="13">
        <f>IFERROR(__xludf.DUMMYFUNCTION("""COMPUTED_VALUE"""),4402.66)</f>
        <v>4402.66</v>
      </c>
      <c r="C1481" s="13">
        <f t="shared" si="1"/>
        <v>4380.675</v>
      </c>
      <c r="D1481" s="13">
        <f t="shared" si="2"/>
        <v>4313.725</v>
      </c>
      <c r="E1481" s="13" t="str">
        <f t="shared" si="3"/>
        <v>LONG</v>
      </c>
      <c r="F1481" s="3">
        <f t="shared" si="4"/>
        <v>-0.004632445203</v>
      </c>
      <c r="G1481" s="4">
        <f t="shared" si="5"/>
        <v>2.117314943</v>
      </c>
      <c r="H1481" s="3">
        <f t="shared" si="6"/>
        <v>-0.004632445203</v>
      </c>
      <c r="I1481" s="5">
        <f t="shared" si="7"/>
        <v>1.605287214</v>
      </c>
    </row>
    <row r="1482">
      <c r="A1482" s="12">
        <f>IFERROR(__xludf.DUMMYFUNCTION("""COMPUTED_VALUE"""),44413.66666666667)</f>
        <v>44413.66667</v>
      </c>
      <c r="B1482" s="13">
        <f>IFERROR(__xludf.DUMMYFUNCTION("""COMPUTED_VALUE"""),4429.1)</f>
        <v>4429.1</v>
      </c>
      <c r="C1482" s="13">
        <f t="shared" si="1"/>
        <v>4398.29</v>
      </c>
      <c r="D1482" s="13">
        <f t="shared" si="2"/>
        <v>4337.77</v>
      </c>
      <c r="E1482" s="13" t="str">
        <f t="shared" si="3"/>
        <v>LONG</v>
      </c>
      <c r="F1482" s="3">
        <f t="shared" si="4"/>
        <v>0.006005460335</v>
      </c>
      <c r="G1482" s="4">
        <f t="shared" si="5"/>
        <v>2.130030394</v>
      </c>
      <c r="H1482" s="3">
        <f t="shared" si="6"/>
        <v>0.006005460335</v>
      </c>
      <c r="I1482" s="5">
        <f t="shared" si="7"/>
        <v>1.614927703</v>
      </c>
    </row>
    <row r="1483">
      <c r="A1483" s="12">
        <f>IFERROR(__xludf.DUMMYFUNCTION("""COMPUTED_VALUE"""),44414.66666666667)</f>
        <v>44414.66667</v>
      </c>
      <c r="B1483" s="13">
        <f>IFERROR(__xludf.DUMMYFUNCTION("""COMPUTED_VALUE"""),4436.52)</f>
        <v>4436.52</v>
      </c>
      <c r="C1483" s="13">
        <f t="shared" si="1"/>
        <v>4424.155</v>
      </c>
      <c r="D1483" s="13">
        <f t="shared" si="2"/>
        <v>4339.18</v>
      </c>
      <c r="E1483" s="13" t="str">
        <f t="shared" si="3"/>
        <v>LONG</v>
      </c>
      <c r="F1483" s="3">
        <f t="shared" si="4"/>
        <v>0.001675283918</v>
      </c>
      <c r="G1483" s="4">
        <f t="shared" si="5"/>
        <v>2.1335988</v>
      </c>
      <c r="H1483" s="3">
        <f t="shared" si="6"/>
        <v>0.001675283918</v>
      </c>
      <c r="I1483" s="5">
        <f t="shared" si="7"/>
        <v>1.617633165</v>
      </c>
    </row>
    <row r="1484">
      <c r="A1484" s="12">
        <f>IFERROR(__xludf.DUMMYFUNCTION("""COMPUTED_VALUE"""),44417.66666666667)</f>
        <v>44417.66667</v>
      </c>
      <c r="B1484" s="13">
        <f>IFERROR(__xludf.DUMMYFUNCTION("""COMPUTED_VALUE"""),4432.35)</f>
        <v>4432.35</v>
      </c>
      <c r="C1484" s="13">
        <f t="shared" si="1"/>
        <v>4427.325</v>
      </c>
      <c r="D1484" s="13">
        <f t="shared" si="2"/>
        <v>4349.42</v>
      </c>
      <c r="E1484" s="13" t="str">
        <f t="shared" si="3"/>
        <v>LONG</v>
      </c>
      <c r="F1484" s="3">
        <f t="shared" si="4"/>
        <v>-0.0009399258879</v>
      </c>
      <c r="G1484" s="4">
        <f t="shared" si="5"/>
        <v>2.131593375</v>
      </c>
      <c r="H1484" s="3">
        <f t="shared" si="6"/>
        <v>-0.0009399258879</v>
      </c>
      <c r="I1484" s="5">
        <f t="shared" si="7"/>
        <v>1.61611271</v>
      </c>
    </row>
    <row r="1485">
      <c r="A1485" s="12">
        <f>IFERROR(__xludf.DUMMYFUNCTION("""COMPUTED_VALUE"""),44418.66666666667)</f>
        <v>44418.66667</v>
      </c>
      <c r="B1485" s="13">
        <f>IFERROR(__xludf.DUMMYFUNCTION("""COMPUTED_VALUE"""),4436.75)</f>
        <v>4436.75</v>
      </c>
      <c r="C1485" s="13">
        <f t="shared" si="1"/>
        <v>4419.105</v>
      </c>
      <c r="D1485" s="13">
        <f t="shared" si="2"/>
        <v>4358.725</v>
      </c>
      <c r="E1485" s="13" t="str">
        <f t="shared" si="3"/>
        <v>LONG</v>
      </c>
      <c r="F1485" s="3">
        <f t="shared" si="4"/>
        <v>0.0009927013887</v>
      </c>
      <c r="G1485" s="4">
        <f t="shared" si="5"/>
        <v>2.133709411</v>
      </c>
      <c r="H1485" s="3">
        <f t="shared" si="6"/>
        <v>0.0009927013887</v>
      </c>
      <c r="I1485" s="5">
        <f t="shared" si="7"/>
        <v>1.617717027</v>
      </c>
    </row>
    <row r="1486">
      <c r="A1486" s="12">
        <f>IFERROR(__xludf.DUMMYFUNCTION("""COMPUTED_VALUE"""),44419.66666666667)</f>
        <v>44419.66667</v>
      </c>
      <c r="B1486" s="13">
        <f>IFERROR(__xludf.DUMMYFUNCTION("""COMPUTED_VALUE"""),4447.7)</f>
        <v>4447.7</v>
      </c>
      <c r="C1486" s="13">
        <f t="shared" si="1"/>
        <v>4424.17</v>
      </c>
      <c r="D1486" s="13">
        <f t="shared" si="2"/>
        <v>4369.155</v>
      </c>
      <c r="E1486" s="13" t="str">
        <f t="shared" si="3"/>
        <v>LONG</v>
      </c>
      <c r="F1486" s="3">
        <f t="shared" si="4"/>
        <v>0.002468022764</v>
      </c>
      <c r="G1486" s="4">
        <f t="shared" si="5"/>
        <v>2.138975454</v>
      </c>
      <c r="H1486" s="3">
        <f t="shared" si="6"/>
        <v>0.002468022764</v>
      </c>
      <c r="I1486" s="5">
        <f t="shared" si="7"/>
        <v>1.62170959</v>
      </c>
    </row>
    <row r="1487">
      <c r="A1487" s="12">
        <f>IFERROR(__xludf.DUMMYFUNCTION("""COMPUTED_VALUE"""),44420.66666666667)</f>
        <v>44420.66667</v>
      </c>
      <c r="B1487" s="13">
        <f>IFERROR(__xludf.DUMMYFUNCTION("""COMPUTED_VALUE"""),4460.83)</f>
        <v>4460.83</v>
      </c>
      <c r="C1487" s="13">
        <f t="shared" si="1"/>
        <v>4439.99</v>
      </c>
      <c r="D1487" s="13">
        <f t="shared" si="2"/>
        <v>4376.315</v>
      </c>
      <c r="E1487" s="13" t="str">
        <f t="shared" si="3"/>
        <v>LONG</v>
      </c>
      <c r="F1487" s="3">
        <f t="shared" si="4"/>
        <v>0.002952087596</v>
      </c>
      <c r="G1487" s="4">
        <f t="shared" si="5"/>
        <v>2.145289897</v>
      </c>
      <c r="H1487" s="3">
        <f t="shared" si="6"/>
        <v>0.002952087596</v>
      </c>
      <c r="I1487" s="5">
        <f t="shared" si="7"/>
        <v>1.626497018</v>
      </c>
    </row>
    <row r="1488">
      <c r="A1488" s="12">
        <f>IFERROR(__xludf.DUMMYFUNCTION("""COMPUTED_VALUE"""),44421.66666666667)</f>
        <v>44421.66667</v>
      </c>
      <c r="B1488" s="13">
        <f>IFERROR(__xludf.DUMMYFUNCTION("""COMPUTED_VALUE"""),4468.0)</f>
        <v>4468</v>
      </c>
      <c r="C1488" s="13">
        <f t="shared" si="1"/>
        <v>4431.63</v>
      </c>
      <c r="D1488" s="13">
        <f t="shared" si="2"/>
        <v>4382.75</v>
      </c>
      <c r="E1488" s="13" t="str">
        <f t="shared" si="3"/>
        <v>LONG</v>
      </c>
      <c r="F1488" s="3">
        <f t="shared" si="4"/>
        <v>0.001607324198</v>
      </c>
      <c r="G1488" s="4">
        <f t="shared" si="5"/>
        <v>2.148738073</v>
      </c>
      <c r="H1488" s="3">
        <f t="shared" si="6"/>
        <v>0.001607324198</v>
      </c>
      <c r="I1488" s="5">
        <f t="shared" si="7"/>
        <v>1.629111326</v>
      </c>
    </row>
    <row r="1489">
      <c r="A1489" s="12">
        <f>IFERROR(__xludf.DUMMYFUNCTION("""COMPUTED_VALUE"""),44424.66666666667)</f>
        <v>44424.66667</v>
      </c>
      <c r="B1489" s="13">
        <f>IFERROR(__xludf.DUMMYFUNCTION("""COMPUTED_VALUE"""),4479.71)</f>
        <v>4479.71</v>
      </c>
      <c r="C1489" s="13">
        <f t="shared" si="1"/>
        <v>4433.435</v>
      </c>
      <c r="D1489" s="13">
        <f t="shared" si="2"/>
        <v>4399.825</v>
      </c>
      <c r="E1489" s="13" t="str">
        <f t="shared" si="3"/>
        <v>LONG</v>
      </c>
      <c r="F1489" s="3">
        <f t="shared" si="4"/>
        <v>0.002620859445</v>
      </c>
      <c r="G1489" s="4">
        <f t="shared" si="5"/>
        <v>2.154369614</v>
      </c>
      <c r="H1489" s="3">
        <f t="shared" si="6"/>
        <v>0.002620859445</v>
      </c>
      <c r="I1489" s="5">
        <f t="shared" si="7"/>
        <v>1.633380998</v>
      </c>
    </row>
    <row r="1490">
      <c r="A1490" s="12">
        <f>IFERROR(__xludf.DUMMYFUNCTION("""COMPUTED_VALUE"""),44425.66666666667)</f>
        <v>44425.66667</v>
      </c>
      <c r="B1490" s="13">
        <f>IFERROR(__xludf.DUMMYFUNCTION("""COMPUTED_VALUE"""),4448.08)</f>
        <v>4448.08</v>
      </c>
      <c r="C1490" s="13">
        <f t="shared" si="1"/>
        <v>4435.615</v>
      </c>
      <c r="D1490" s="13">
        <f t="shared" si="2"/>
        <v>4400.21</v>
      </c>
      <c r="E1490" s="13" t="str">
        <f t="shared" si="3"/>
        <v>LONG</v>
      </c>
      <c r="F1490" s="3">
        <f t="shared" si="4"/>
        <v>-0.007060724913</v>
      </c>
      <c r="G1490" s="4">
        <f t="shared" si="5"/>
        <v>2.139158203</v>
      </c>
      <c r="H1490" s="3">
        <f t="shared" si="6"/>
        <v>-0.007060724913</v>
      </c>
      <c r="I1490" s="5">
        <f t="shared" si="7"/>
        <v>1.621848144</v>
      </c>
    </row>
    <row r="1491">
      <c r="A1491" s="12">
        <f>IFERROR(__xludf.DUMMYFUNCTION("""COMPUTED_VALUE"""),44426.66666666667)</f>
        <v>44426.66667</v>
      </c>
      <c r="B1491" s="13">
        <f>IFERROR(__xludf.DUMMYFUNCTION("""COMPUTED_VALUE"""),4400.27)</f>
        <v>4400.27</v>
      </c>
      <c r="C1491" s="13">
        <f t="shared" si="1"/>
        <v>4401.465</v>
      </c>
      <c r="D1491" s="13">
        <f t="shared" si="2"/>
        <v>4371.905</v>
      </c>
      <c r="E1491" s="13" t="str">
        <f t="shared" si="3"/>
        <v>LONG</v>
      </c>
      <c r="F1491" s="3">
        <f t="shared" si="4"/>
        <v>-0.01074845776</v>
      </c>
      <c r="G1491" s="4">
        <f t="shared" si="5"/>
        <v>2.116165551</v>
      </c>
      <c r="H1491" s="3">
        <f t="shared" si="6"/>
        <v>-0.01074845776</v>
      </c>
      <c r="I1491" s="5">
        <f t="shared" si="7"/>
        <v>1.604415778</v>
      </c>
    </row>
    <row r="1492">
      <c r="A1492" s="12">
        <f>IFERROR(__xludf.DUMMYFUNCTION("""COMPUTED_VALUE"""),44427.66666666667)</f>
        <v>44427.66667</v>
      </c>
      <c r="B1492" s="13">
        <f>IFERROR(__xludf.DUMMYFUNCTION("""COMPUTED_VALUE"""),4405.8)</f>
        <v>4405.8</v>
      </c>
      <c r="C1492" s="13">
        <f t="shared" si="1"/>
        <v>4417.45</v>
      </c>
      <c r="D1492" s="13">
        <f t="shared" si="2"/>
        <v>4381.965</v>
      </c>
      <c r="E1492" s="13" t="str">
        <f t="shared" si="3"/>
        <v>LONG</v>
      </c>
      <c r="F1492" s="3">
        <f t="shared" si="4"/>
        <v>0.001256741064</v>
      </c>
      <c r="G1492" s="4">
        <f t="shared" si="5"/>
        <v>2.118825023</v>
      </c>
      <c r="H1492" s="3">
        <f t="shared" si="6"/>
        <v>0.001256741064</v>
      </c>
      <c r="I1492" s="5">
        <f t="shared" si="7"/>
        <v>1.606432113</v>
      </c>
    </row>
    <row r="1493">
      <c r="A1493" s="12">
        <f>IFERROR(__xludf.DUMMYFUNCTION("""COMPUTED_VALUE"""),44428.66666666667)</f>
        <v>44428.66667</v>
      </c>
      <c r="B1493" s="13">
        <f>IFERROR(__xludf.DUMMYFUNCTION("""COMPUTED_VALUE"""),4441.67)</f>
        <v>4441.67</v>
      </c>
      <c r="C1493" s="13">
        <f t="shared" si="1"/>
        <v>4439.095</v>
      </c>
      <c r="D1493" s="13">
        <f t="shared" si="2"/>
        <v>4381.245</v>
      </c>
      <c r="E1493" s="13" t="str">
        <f t="shared" si="3"/>
        <v>LONG</v>
      </c>
      <c r="F1493" s="3">
        <f t="shared" si="4"/>
        <v>0.008141540696</v>
      </c>
      <c r="G1493" s="4">
        <f t="shared" si="5"/>
        <v>2.136075523</v>
      </c>
      <c r="H1493" s="3">
        <f t="shared" si="6"/>
        <v>0.008141540696</v>
      </c>
      <c r="I1493" s="5">
        <f t="shared" si="7"/>
        <v>1.619510946</v>
      </c>
    </row>
    <row r="1494">
      <c r="A1494" s="12">
        <f>IFERROR(__xludf.DUMMYFUNCTION("""COMPUTED_VALUE"""),44431.66666666667)</f>
        <v>44431.66667</v>
      </c>
      <c r="B1494" s="13">
        <f>IFERROR(__xludf.DUMMYFUNCTION("""COMPUTED_VALUE"""),4479.53)</f>
        <v>4479.53</v>
      </c>
      <c r="C1494" s="13">
        <f t="shared" si="1"/>
        <v>4455.94</v>
      </c>
      <c r="D1494" s="13">
        <f t="shared" si="2"/>
        <v>4424.54</v>
      </c>
      <c r="E1494" s="13" t="str">
        <f t="shared" si="3"/>
        <v>LONG</v>
      </c>
      <c r="F1494" s="3">
        <f t="shared" si="4"/>
        <v>0.008523820995</v>
      </c>
      <c r="G1494" s="4">
        <f t="shared" si="5"/>
        <v>2.154283049</v>
      </c>
      <c r="H1494" s="3">
        <f t="shared" si="6"/>
        <v>0.008523820995</v>
      </c>
      <c r="I1494" s="5">
        <f t="shared" si="7"/>
        <v>1.633315367</v>
      </c>
    </row>
    <row r="1495">
      <c r="A1495" s="12">
        <f>IFERROR(__xludf.DUMMYFUNCTION("""COMPUTED_VALUE"""),44432.66666666667)</f>
        <v>44432.66667</v>
      </c>
      <c r="B1495" s="13">
        <f>IFERROR(__xludf.DUMMYFUNCTION("""COMPUTED_VALUE"""),4486.23)</f>
        <v>4486.23</v>
      </c>
      <c r="C1495" s="13">
        <f t="shared" si="1"/>
        <v>4461.49</v>
      </c>
      <c r="D1495" s="13">
        <f t="shared" si="2"/>
        <v>4435.43</v>
      </c>
      <c r="E1495" s="13" t="str">
        <f t="shared" si="3"/>
        <v>LONG</v>
      </c>
      <c r="F1495" s="3">
        <f t="shared" si="4"/>
        <v>0.001495692628</v>
      </c>
      <c r="G1495" s="4">
        <f t="shared" si="5"/>
        <v>2.157505194</v>
      </c>
      <c r="H1495" s="3">
        <f t="shared" si="6"/>
        <v>0.001495692628</v>
      </c>
      <c r="I1495" s="5">
        <f t="shared" si="7"/>
        <v>1.635758305</v>
      </c>
    </row>
    <row r="1496">
      <c r="A1496" s="12">
        <f>IFERROR(__xludf.DUMMYFUNCTION("""COMPUTED_VALUE"""),44433.66666666667)</f>
        <v>44433.66667</v>
      </c>
      <c r="B1496" s="13">
        <f>IFERROR(__xludf.DUMMYFUNCTION("""COMPUTED_VALUE"""),4496.19)</f>
        <v>4496.19</v>
      </c>
      <c r="C1496" s="13">
        <f t="shared" si="1"/>
        <v>4471.945</v>
      </c>
      <c r="D1496" s="13">
        <f t="shared" si="2"/>
        <v>4432.7</v>
      </c>
      <c r="E1496" s="13" t="str">
        <f t="shared" si="3"/>
        <v>LONG</v>
      </c>
      <c r="F1496" s="3">
        <f t="shared" si="4"/>
        <v>0.002220126922</v>
      </c>
      <c r="G1496" s="4">
        <f t="shared" si="5"/>
        <v>2.162295129</v>
      </c>
      <c r="H1496" s="3">
        <f t="shared" si="6"/>
        <v>0.002220126922</v>
      </c>
      <c r="I1496" s="5">
        <f t="shared" si="7"/>
        <v>1.639389896</v>
      </c>
    </row>
    <row r="1497">
      <c r="A1497" s="12">
        <f>IFERROR(__xludf.DUMMYFUNCTION("""COMPUTED_VALUE"""),44434.66666666667)</f>
        <v>44434.66667</v>
      </c>
      <c r="B1497" s="13">
        <f>IFERROR(__xludf.DUMMYFUNCTION("""COMPUTED_VALUE"""),4470.0)</f>
        <v>4470</v>
      </c>
      <c r="C1497" s="13">
        <f t="shared" si="1"/>
        <v>4465.415</v>
      </c>
      <c r="D1497" s="13">
        <f t="shared" si="2"/>
        <v>4422.15</v>
      </c>
      <c r="E1497" s="13" t="str">
        <f t="shared" si="3"/>
        <v>LONG</v>
      </c>
      <c r="F1497" s="3">
        <f t="shared" si="4"/>
        <v>-0.005824931776</v>
      </c>
      <c r="G1497" s="4">
        <f t="shared" si="5"/>
        <v>2.149699908</v>
      </c>
      <c r="H1497" s="3">
        <f t="shared" si="6"/>
        <v>-0.005824931776</v>
      </c>
      <c r="I1497" s="5">
        <f t="shared" si="7"/>
        <v>1.629840562</v>
      </c>
    </row>
    <row r="1498">
      <c r="A1498" s="12">
        <f>IFERROR(__xludf.DUMMYFUNCTION("""COMPUTED_VALUE"""),44435.66666666667)</f>
        <v>44435.66667</v>
      </c>
      <c r="B1498" s="13">
        <f>IFERROR(__xludf.DUMMYFUNCTION("""COMPUTED_VALUE"""),4509.37)</f>
        <v>4509.37</v>
      </c>
      <c r="C1498" s="13">
        <f t="shared" si="1"/>
        <v>4488.685</v>
      </c>
      <c r="D1498" s="13">
        <f t="shared" si="2"/>
        <v>4434.7</v>
      </c>
      <c r="E1498" s="13" t="str">
        <f t="shared" si="3"/>
        <v>LONG</v>
      </c>
      <c r="F1498" s="3">
        <f t="shared" si="4"/>
        <v>0.008807606264</v>
      </c>
      <c r="G1498" s="4">
        <f t="shared" si="5"/>
        <v>2.168633618</v>
      </c>
      <c r="H1498" s="3">
        <f t="shared" si="6"/>
        <v>0.008807606264</v>
      </c>
      <c r="I1498" s="5">
        <f t="shared" si="7"/>
        <v>1.644195556</v>
      </c>
    </row>
    <row r="1499">
      <c r="A1499" s="12">
        <f>IFERROR(__xludf.DUMMYFUNCTION("""COMPUTED_VALUE"""),44438.66666666667)</f>
        <v>44438.66667</v>
      </c>
      <c r="B1499" s="13">
        <f>IFERROR(__xludf.DUMMYFUNCTION("""COMPUTED_VALUE"""),4528.79)</f>
        <v>4528.79</v>
      </c>
      <c r="C1499" s="13">
        <f t="shared" si="1"/>
        <v>4504.25</v>
      </c>
      <c r="D1499" s="13">
        <f t="shared" si="2"/>
        <v>4427.975</v>
      </c>
      <c r="E1499" s="13" t="str">
        <f t="shared" si="3"/>
        <v>LONG</v>
      </c>
      <c r="F1499" s="3">
        <f t="shared" si="4"/>
        <v>0.004306588282</v>
      </c>
      <c r="G1499" s="4">
        <f t="shared" si="5"/>
        <v>2.17797303</v>
      </c>
      <c r="H1499" s="3">
        <f t="shared" si="6"/>
        <v>0.004306588282</v>
      </c>
      <c r="I1499" s="5">
        <f t="shared" si="7"/>
        <v>1.651276429</v>
      </c>
    </row>
    <row r="1500">
      <c r="A1500" s="12">
        <f>IFERROR(__xludf.DUMMYFUNCTION("""COMPUTED_VALUE"""),44439.66666666667)</f>
        <v>44439.66667</v>
      </c>
      <c r="B1500" s="13">
        <f>IFERROR(__xludf.DUMMYFUNCTION("""COMPUTED_VALUE"""),4522.68)</f>
        <v>4522.68</v>
      </c>
      <c r="C1500" s="13">
        <f t="shared" si="1"/>
        <v>4485.38</v>
      </c>
      <c r="D1500" s="13">
        <f t="shared" si="2"/>
        <v>4390.585</v>
      </c>
      <c r="E1500" s="13" t="str">
        <f t="shared" si="3"/>
        <v>LONG</v>
      </c>
      <c r="F1500" s="3">
        <f t="shared" si="4"/>
        <v>-0.00134914624</v>
      </c>
      <c r="G1500" s="4">
        <f t="shared" si="5"/>
        <v>2.175034626</v>
      </c>
      <c r="H1500" s="3">
        <f t="shared" si="6"/>
        <v>-0.00134914624</v>
      </c>
      <c r="I1500" s="5">
        <f t="shared" si="7"/>
        <v>1.649048615</v>
      </c>
    </row>
    <row r="1501">
      <c r="A1501" s="12">
        <f>IFERROR(__xludf.DUMMYFUNCTION("""COMPUTED_VALUE"""),44440.66666666667)</f>
        <v>44440.66667</v>
      </c>
      <c r="B1501" s="13">
        <f>IFERROR(__xludf.DUMMYFUNCTION("""COMPUTED_VALUE"""),4524.09)</f>
        <v>4524.09</v>
      </c>
      <c r="C1501" s="13">
        <f t="shared" si="1"/>
        <v>4462.18</v>
      </c>
      <c r="D1501" s="13">
        <f t="shared" si="2"/>
        <v>4423.575</v>
      </c>
      <c r="E1501" s="13" t="str">
        <f t="shared" si="3"/>
        <v>LONG</v>
      </c>
      <c r="F1501" s="3">
        <f t="shared" si="4"/>
        <v>0.0003117620526</v>
      </c>
      <c r="G1501" s="4">
        <f t="shared" si="5"/>
        <v>2.175712719</v>
      </c>
      <c r="H1501" s="3">
        <f t="shared" si="6"/>
        <v>0.0003117620526</v>
      </c>
      <c r="I1501" s="5">
        <f t="shared" si="7"/>
        <v>1.649562726</v>
      </c>
    </row>
    <row r="1502">
      <c r="A1502" s="12">
        <f>IFERROR(__xludf.DUMMYFUNCTION("""COMPUTED_VALUE"""),44441.66666666667)</f>
        <v>44441.66667</v>
      </c>
      <c r="B1502" s="13">
        <f>IFERROR(__xludf.DUMMYFUNCTION("""COMPUTED_VALUE"""),4536.95)</f>
        <v>4536.95</v>
      </c>
      <c r="C1502" s="13">
        <f t="shared" si="1"/>
        <v>4471.375</v>
      </c>
      <c r="D1502" s="13">
        <f t="shared" si="2"/>
        <v>4447.82</v>
      </c>
      <c r="E1502" s="13" t="str">
        <f t="shared" si="3"/>
        <v>LONG</v>
      </c>
      <c r="F1502" s="3">
        <f t="shared" si="4"/>
        <v>0.002842560603</v>
      </c>
      <c r="G1502" s="4">
        <f t="shared" si="5"/>
        <v>2.181897315</v>
      </c>
      <c r="H1502" s="3">
        <f t="shared" si="6"/>
        <v>0.002842560603</v>
      </c>
      <c r="I1502" s="5">
        <f t="shared" si="7"/>
        <v>1.654251708</v>
      </c>
    </row>
    <row r="1503">
      <c r="A1503" s="12">
        <f>IFERROR(__xludf.DUMMYFUNCTION("""COMPUTED_VALUE"""),44442.66666666667)</f>
        <v>44442.66667</v>
      </c>
      <c r="B1503" s="13">
        <f>IFERROR(__xludf.DUMMYFUNCTION("""COMPUTED_VALUE"""),4535.43)</f>
        <v>4535.43</v>
      </c>
      <c r="C1503" s="13">
        <f t="shared" si="1"/>
        <v>4488.55</v>
      </c>
      <c r="D1503" s="13">
        <f t="shared" si="2"/>
        <v>4451.455</v>
      </c>
      <c r="E1503" s="13" t="str">
        <f t="shared" si="3"/>
        <v>LONG</v>
      </c>
      <c r="F1503" s="3">
        <f t="shared" si="4"/>
        <v>-0.0003350268352</v>
      </c>
      <c r="G1503" s="4">
        <f t="shared" si="5"/>
        <v>2.18116632</v>
      </c>
      <c r="H1503" s="3">
        <f t="shared" si="6"/>
        <v>-0.0003350268352</v>
      </c>
      <c r="I1503" s="5">
        <f t="shared" si="7"/>
        <v>1.65369749</v>
      </c>
    </row>
    <row r="1504">
      <c r="A1504" s="12">
        <f>IFERROR(__xludf.DUMMYFUNCTION("""COMPUTED_VALUE"""),44446.66666666667)</f>
        <v>44446.66667</v>
      </c>
      <c r="B1504" s="13">
        <f>IFERROR(__xludf.DUMMYFUNCTION("""COMPUTED_VALUE"""),4520.03)</f>
        <v>4520.03</v>
      </c>
      <c r="C1504" s="13">
        <f t="shared" si="1"/>
        <v>4499.78</v>
      </c>
      <c r="D1504" s="13">
        <f t="shared" si="2"/>
        <v>4465.91</v>
      </c>
      <c r="E1504" s="13" t="str">
        <f t="shared" si="3"/>
        <v>LONG</v>
      </c>
      <c r="F1504" s="3">
        <f t="shared" si="4"/>
        <v>-0.00339548841</v>
      </c>
      <c r="G1504" s="4">
        <f t="shared" si="5"/>
        <v>2.173760195</v>
      </c>
      <c r="H1504" s="3">
        <f t="shared" si="6"/>
        <v>-0.00339548841</v>
      </c>
      <c r="I1504" s="5">
        <f t="shared" si="7"/>
        <v>1.648082379</v>
      </c>
    </row>
    <row r="1505">
      <c r="A1505" s="12">
        <f>IFERROR(__xludf.DUMMYFUNCTION("""COMPUTED_VALUE"""),44447.66666666667)</f>
        <v>44447.66667</v>
      </c>
      <c r="B1505" s="13">
        <f>IFERROR(__xludf.DUMMYFUNCTION("""COMPUTED_VALUE"""),4514.07)</f>
        <v>4514.07</v>
      </c>
      <c r="C1505" s="13">
        <f t="shared" si="1"/>
        <v>4500.15</v>
      </c>
      <c r="D1505" s="13">
        <f t="shared" si="2"/>
        <v>4468.185</v>
      </c>
      <c r="E1505" s="13" t="str">
        <f t="shared" si="3"/>
        <v>LONG</v>
      </c>
      <c r="F1505" s="3">
        <f t="shared" si="4"/>
        <v>-0.001318575319</v>
      </c>
      <c r="G1505" s="4">
        <f t="shared" si="5"/>
        <v>2.170893929</v>
      </c>
      <c r="H1505" s="3">
        <f t="shared" si="6"/>
        <v>-0.001318575319</v>
      </c>
      <c r="I1505" s="5">
        <f t="shared" si="7"/>
        <v>1.645909258</v>
      </c>
    </row>
    <row r="1506">
      <c r="A1506" s="12">
        <f>IFERROR(__xludf.DUMMYFUNCTION("""COMPUTED_VALUE"""),44448.66666666667)</f>
        <v>44448.66667</v>
      </c>
      <c r="B1506" s="13">
        <f>IFERROR(__xludf.DUMMYFUNCTION("""COMPUTED_VALUE"""),4493.28)</f>
        <v>4493.28</v>
      </c>
      <c r="C1506" s="13">
        <f t="shared" si="1"/>
        <v>4494.735</v>
      </c>
      <c r="D1506" s="13">
        <f t="shared" si="2"/>
        <v>4447.37</v>
      </c>
      <c r="E1506" s="13" t="str">
        <f t="shared" si="3"/>
        <v>LONG</v>
      </c>
      <c r="F1506" s="3">
        <f t="shared" si="4"/>
        <v>-0.004605599825</v>
      </c>
      <c r="G1506" s="4">
        <f t="shared" si="5"/>
        <v>2.16089566</v>
      </c>
      <c r="H1506" s="3">
        <f t="shared" si="6"/>
        <v>-0.004605599825</v>
      </c>
      <c r="I1506" s="5">
        <f t="shared" si="7"/>
        <v>1.638328859</v>
      </c>
    </row>
    <row r="1507">
      <c r="A1507" s="12">
        <f>IFERROR(__xludf.DUMMYFUNCTION("""COMPUTED_VALUE"""),44449.66666666667)</f>
        <v>44449.66667</v>
      </c>
      <c r="B1507" s="13">
        <f>IFERROR(__xludf.DUMMYFUNCTION("""COMPUTED_VALUE"""),4458.58)</f>
        <v>4458.58</v>
      </c>
      <c r="C1507" s="13">
        <f t="shared" si="1"/>
        <v>4464.29</v>
      </c>
      <c r="D1507" s="13">
        <f t="shared" si="2"/>
        <v>4429.61</v>
      </c>
      <c r="E1507" s="13" t="str">
        <f t="shared" si="3"/>
        <v>LONG</v>
      </c>
      <c r="F1507" s="3">
        <f t="shared" si="4"/>
        <v>-0.007722643592</v>
      </c>
      <c r="G1507" s="4">
        <f t="shared" si="5"/>
        <v>2.144207833</v>
      </c>
      <c r="H1507" s="3">
        <f t="shared" si="6"/>
        <v>-0.007722643592</v>
      </c>
      <c r="I1507" s="5">
        <f t="shared" si="7"/>
        <v>1.625676629</v>
      </c>
    </row>
    <row r="1508">
      <c r="A1508" s="12">
        <f>IFERROR(__xludf.DUMMYFUNCTION("""COMPUTED_VALUE"""),44452.66666666667)</f>
        <v>44452.66667</v>
      </c>
      <c r="B1508" s="13">
        <f>IFERROR(__xludf.DUMMYFUNCTION("""COMPUTED_VALUE"""),4468.73)</f>
        <v>4468.73</v>
      </c>
      <c r="C1508" s="13">
        <f t="shared" si="1"/>
        <v>4489.05</v>
      </c>
      <c r="D1508" s="13">
        <f t="shared" si="2"/>
        <v>4443.94</v>
      </c>
      <c r="E1508" s="13" t="str">
        <f t="shared" si="3"/>
        <v>LONG</v>
      </c>
      <c r="F1508" s="3">
        <f t="shared" si="4"/>
        <v>0.002276509561</v>
      </c>
      <c r="G1508" s="4">
        <f t="shared" si="5"/>
        <v>2.149089143</v>
      </c>
      <c r="H1508" s="3">
        <f t="shared" si="6"/>
        <v>0.002276509561</v>
      </c>
      <c r="I1508" s="5">
        <f t="shared" si="7"/>
        <v>1.629377497</v>
      </c>
    </row>
    <row r="1509">
      <c r="A1509" s="12">
        <f>IFERROR(__xludf.DUMMYFUNCTION("""COMPUTED_VALUE"""),44453.66666666667)</f>
        <v>44453.66667</v>
      </c>
      <c r="B1509" s="13">
        <f>IFERROR(__xludf.DUMMYFUNCTION("""COMPUTED_VALUE"""),4443.05)</f>
        <v>4443.05</v>
      </c>
      <c r="C1509" s="13">
        <f t="shared" si="1"/>
        <v>4485.92</v>
      </c>
      <c r="D1509" s="13">
        <f t="shared" si="2"/>
        <v>4419.155</v>
      </c>
      <c r="E1509" s="13" t="str">
        <f t="shared" si="3"/>
        <v>LONG</v>
      </c>
      <c r="F1509" s="3">
        <f t="shared" si="4"/>
        <v>-0.005746599146</v>
      </c>
      <c r="G1509" s="4">
        <f t="shared" si="5"/>
        <v>2.136739189</v>
      </c>
      <c r="H1509" s="3">
        <f t="shared" si="6"/>
        <v>-0.005746599146</v>
      </c>
      <c r="I1509" s="5">
        <f t="shared" si="7"/>
        <v>1.620014118</v>
      </c>
    </row>
    <row r="1510">
      <c r="A1510" s="12">
        <f>IFERROR(__xludf.DUMMYFUNCTION("""COMPUTED_VALUE"""),44454.66666666667)</f>
        <v>44454.66667</v>
      </c>
      <c r="B1510" s="13">
        <f>IFERROR(__xludf.DUMMYFUNCTION("""COMPUTED_VALUE"""),4480.7)</f>
        <v>4480.7</v>
      </c>
      <c r="C1510" s="13">
        <f t="shared" si="1"/>
        <v>4501.69</v>
      </c>
      <c r="D1510" s="13">
        <f t="shared" si="2"/>
        <v>4433.93</v>
      </c>
      <c r="E1510" s="13" t="str">
        <f t="shared" si="3"/>
        <v>LONG</v>
      </c>
      <c r="F1510" s="3">
        <f t="shared" si="4"/>
        <v>0.008473908689</v>
      </c>
      <c r="G1510" s="4">
        <f t="shared" si="5"/>
        <v>2.154845722</v>
      </c>
      <c r="H1510" s="3">
        <f t="shared" si="6"/>
        <v>0.008473908689</v>
      </c>
      <c r="I1510" s="5">
        <f t="shared" si="7"/>
        <v>1.63374197</v>
      </c>
    </row>
    <row r="1511">
      <c r="A1511" s="12">
        <f>IFERROR(__xludf.DUMMYFUNCTION("""COMPUTED_VALUE"""),44455.66666666667)</f>
        <v>44455.66667</v>
      </c>
      <c r="B1511" s="13">
        <f>IFERROR(__xludf.DUMMYFUNCTION("""COMPUTED_VALUE"""),4473.75)</f>
        <v>4473.75</v>
      </c>
      <c r="C1511" s="13">
        <f t="shared" si="1"/>
        <v>4498.92</v>
      </c>
      <c r="D1511" s="13">
        <f t="shared" si="2"/>
        <v>4448.45</v>
      </c>
      <c r="E1511" s="13" t="str">
        <f t="shared" si="3"/>
        <v>LONG</v>
      </c>
      <c r="F1511" s="3">
        <f t="shared" si="4"/>
        <v>-0.001551096927</v>
      </c>
      <c r="G1511" s="4">
        <f t="shared" si="5"/>
        <v>2.151503347</v>
      </c>
      <c r="H1511" s="3">
        <f t="shared" si="6"/>
        <v>-0.001551096927</v>
      </c>
      <c r="I1511" s="5">
        <f t="shared" si="7"/>
        <v>1.631207878</v>
      </c>
    </row>
    <row r="1512">
      <c r="A1512" s="12">
        <f>IFERROR(__xludf.DUMMYFUNCTION("""COMPUTED_VALUE"""),44456.66666666667)</f>
        <v>44456.66667</v>
      </c>
      <c r="B1512" s="13">
        <f>IFERROR(__xludf.DUMMYFUNCTION("""COMPUTED_VALUE"""),4432.99)</f>
        <v>4432.99</v>
      </c>
      <c r="C1512" s="13">
        <f t="shared" si="1"/>
        <v>4484.97</v>
      </c>
      <c r="D1512" s="13">
        <f t="shared" si="2"/>
        <v>4417.825</v>
      </c>
      <c r="E1512" s="13" t="str">
        <f t="shared" si="3"/>
        <v>LONG</v>
      </c>
      <c r="F1512" s="3">
        <f t="shared" si="4"/>
        <v>-0.009110924839</v>
      </c>
      <c r="G1512" s="4">
        <f t="shared" si="5"/>
        <v>2.131901162</v>
      </c>
      <c r="H1512" s="3">
        <f t="shared" si="6"/>
        <v>-0.009110924839</v>
      </c>
      <c r="I1512" s="5">
        <f t="shared" si="7"/>
        <v>1.616346065</v>
      </c>
    </row>
    <row r="1513">
      <c r="A1513" s="12">
        <f>IFERROR(__xludf.DUMMYFUNCTION("""COMPUTED_VALUE"""),44459.66666666667)</f>
        <v>44459.66667</v>
      </c>
      <c r="B1513" s="13">
        <f>IFERROR(__xludf.DUMMYFUNCTION("""COMPUTED_VALUE"""),4357.73)</f>
        <v>4357.73</v>
      </c>
      <c r="C1513" s="13">
        <f t="shared" si="1"/>
        <v>4446.58</v>
      </c>
      <c r="D1513" s="13">
        <f t="shared" si="2"/>
        <v>4393.415</v>
      </c>
      <c r="E1513" s="13" t="str">
        <f t="shared" si="3"/>
        <v>LONG</v>
      </c>
      <c r="F1513" s="3">
        <f t="shared" si="4"/>
        <v>-0.01697725463</v>
      </c>
      <c r="G1513" s="4">
        <f t="shared" si="5"/>
        <v>2.095707333</v>
      </c>
      <c r="H1513" s="3">
        <f t="shared" si="6"/>
        <v>-0.01697725463</v>
      </c>
      <c r="I1513" s="5">
        <f t="shared" si="7"/>
        <v>1.588904946</v>
      </c>
    </row>
    <row r="1514">
      <c r="A1514" s="12">
        <f>IFERROR(__xludf.DUMMYFUNCTION("""COMPUTED_VALUE"""),44460.66666666667)</f>
        <v>44460.66667</v>
      </c>
      <c r="B1514" s="13">
        <f>IFERROR(__xludf.DUMMYFUNCTION("""COMPUTED_VALUE"""),4354.19)</f>
        <v>4354.19</v>
      </c>
      <c r="C1514" s="13">
        <f t="shared" si="1"/>
        <v>4437.11</v>
      </c>
      <c r="D1514" s="13">
        <f t="shared" si="2"/>
        <v>4395.355</v>
      </c>
      <c r="E1514" s="13" t="str">
        <f t="shared" si="3"/>
        <v>LONG</v>
      </c>
      <c r="F1514" s="3">
        <f t="shared" si="4"/>
        <v>-0.000812349549</v>
      </c>
      <c r="G1514" s="4">
        <f t="shared" si="5"/>
        <v>2.094004886</v>
      </c>
      <c r="H1514" s="3">
        <f t="shared" si="6"/>
        <v>-0.000812349549</v>
      </c>
      <c r="I1514" s="5">
        <f t="shared" si="7"/>
        <v>1.5876142</v>
      </c>
    </row>
    <row r="1515">
      <c r="A1515" s="12">
        <f>IFERROR(__xludf.DUMMYFUNCTION("""COMPUTED_VALUE"""),44461.66666666667)</f>
        <v>44461.66667</v>
      </c>
      <c r="B1515" s="13">
        <f>IFERROR(__xludf.DUMMYFUNCTION("""COMPUTED_VALUE"""),4395.64)</f>
        <v>4395.64</v>
      </c>
      <c r="C1515" s="13">
        <f t="shared" si="1"/>
        <v>4454.855</v>
      </c>
      <c r="D1515" s="13">
        <f t="shared" si="2"/>
        <v>4413.995</v>
      </c>
      <c r="E1515" s="13" t="str">
        <f t="shared" si="3"/>
        <v>LONG</v>
      </c>
      <c r="F1515" s="3">
        <f t="shared" si="4"/>
        <v>0.009519566211</v>
      </c>
      <c r="G1515" s="4">
        <f t="shared" si="5"/>
        <v>2.113938904</v>
      </c>
      <c r="H1515" s="3">
        <f t="shared" si="6"/>
        <v>0.009519566211</v>
      </c>
      <c r="I1515" s="5">
        <f t="shared" si="7"/>
        <v>1.602727599</v>
      </c>
    </row>
    <row r="1516">
      <c r="A1516" s="12">
        <f>IFERROR(__xludf.DUMMYFUNCTION("""COMPUTED_VALUE"""),44462.66666666667)</f>
        <v>44462.66667</v>
      </c>
      <c r="B1516" s="13">
        <f>IFERROR(__xludf.DUMMYFUNCTION("""COMPUTED_VALUE"""),4448.98)</f>
        <v>4448.98</v>
      </c>
      <c r="C1516" s="13">
        <f t="shared" si="1"/>
        <v>4471.13</v>
      </c>
      <c r="D1516" s="13">
        <f t="shared" si="2"/>
        <v>4442.865</v>
      </c>
      <c r="E1516" s="13" t="str">
        <f t="shared" si="3"/>
        <v>LONG</v>
      </c>
      <c r="F1516" s="3">
        <f t="shared" si="4"/>
        <v>0.01213475171</v>
      </c>
      <c r="G1516" s="4">
        <f t="shared" si="5"/>
        <v>2.139591028</v>
      </c>
      <c r="H1516" s="3">
        <f t="shared" si="6"/>
        <v>0.01213475171</v>
      </c>
      <c r="I1516" s="5">
        <f t="shared" si="7"/>
        <v>1.6221763</v>
      </c>
    </row>
    <row r="1517">
      <c r="A1517" s="12">
        <f>IFERROR(__xludf.DUMMYFUNCTION("""COMPUTED_VALUE"""),44463.66666666667)</f>
        <v>44463.66667</v>
      </c>
      <c r="B1517" s="13">
        <f>IFERROR(__xludf.DUMMYFUNCTION("""COMPUTED_VALUE"""),4455.48)</f>
        <v>4455.48</v>
      </c>
      <c r="C1517" s="13">
        <f t="shared" si="1"/>
        <v>4457.03</v>
      </c>
      <c r="D1517" s="13">
        <f t="shared" si="2"/>
        <v>4451.59</v>
      </c>
      <c r="E1517" s="13" t="str">
        <f t="shared" si="3"/>
        <v>LONG</v>
      </c>
      <c r="F1517" s="3">
        <f t="shared" si="4"/>
        <v>0.00146100904</v>
      </c>
      <c r="G1517" s="4">
        <f t="shared" si="5"/>
        <v>2.14271699</v>
      </c>
      <c r="H1517" s="3">
        <f t="shared" si="6"/>
        <v>0.00146100904</v>
      </c>
      <c r="I1517" s="5">
        <f t="shared" si="7"/>
        <v>1.624546314</v>
      </c>
    </row>
    <row r="1518">
      <c r="A1518" s="12">
        <f>IFERROR(__xludf.DUMMYFUNCTION("""COMPUTED_VALUE"""),44466.66666666667)</f>
        <v>44466.66667</v>
      </c>
      <c r="B1518" s="13">
        <f>IFERROR(__xludf.DUMMYFUNCTION("""COMPUTED_VALUE"""),4443.11)</f>
        <v>4443.11</v>
      </c>
      <c r="C1518" s="13">
        <f t="shared" si="1"/>
        <v>4455.92</v>
      </c>
      <c r="D1518" s="13">
        <f t="shared" si="2"/>
        <v>4451.97</v>
      </c>
      <c r="E1518" s="13" t="str">
        <f t="shared" si="3"/>
        <v>LONG</v>
      </c>
      <c r="F1518" s="3">
        <f t="shared" si="4"/>
        <v>-0.002776356307</v>
      </c>
      <c r="G1518" s="4">
        <f t="shared" si="5"/>
        <v>2.136768044</v>
      </c>
      <c r="H1518" s="3">
        <f t="shared" si="6"/>
        <v>-0.002776356307</v>
      </c>
      <c r="I1518" s="5">
        <f t="shared" si="7"/>
        <v>1.620035995</v>
      </c>
    </row>
    <row r="1519">
      <c r="A1519" s="12">
        <f>IFERROR(__xludf.DUMMYFUNCTION("""COMPUTED_VALUE"""),44467.66666666667)</f>
        <v>44467.66667</v>
      </c>
      <c r="B1519" s="13">
        <f>IFERROR(__xludf.DUMMYFUNCTION("""COMPUTED_VALUE"""),4352.63)</f>
        <v>4352.63</v>
      </c>
      <c r="C1519" s="13">
        <f t="shared" si="1"/>
        <v>4397.84</v>
      </c>
      <c r="D1519" s="13">
        <f t="shared" si="2"/>
        <v>4410.315</v>
      </c>
      <c r="E1519" s="13" t="str">
        <f t="shared" si="3"/>
        <v/>
      </c>
      <c r="F1519" s="3">
        <f t="shared" si="4"/>
        <v>-0.02036411433</v>
      </c>
      <c r="G1519" s="4">
        <f t="shared" si="5"/>
        <v>2.093254655</v>
      </c>
      <c r="H1519" s="5">
        <f t="shared" si="6"/>
        <v>0</v>
      </c>
      <c r="I1519" s="5">
        <f t="shared" si="7"/>
        <v>1.620035995</v>
      </c>
    </row>
    <row r="1520">
      <c r="A1520" s="12">
        <f>IFERROR(__xludf.DUMMYFUNCTION("""COMPUTED_VALUE"""),44468.66666666667)</f>
        <v>44468.66667</v>
      </c>
      <c r="B1520" s="13">
        <f>IFERROR(__xludf.DUMMYFUNCTION("""COMPUTED_VALUE"""),4359.46)</f>
        <v>4359.46</v>
      </c>
      <c r="C1520" s="13">
        <f t="shared" si="1"/>
        <v>4420.08</v>
      </c>
      <c r="D1520" s="13">
        <f t="shared" si="2"/>
        <v>4419.585</v>
      </c>
      <c r="E1520" s="13" t="str">
        <f t="shared" si="3"/>
        <v>LONG</v>
      </c>
      <c r="F1520" s="3">
        <f t="shared" si="4"/>
        <v>0.001569166228</v>
      </c>
      <c r="G1520" s="4">
        <f t="shared" si="5"/>
        <v>2.09653932</v>
      </c>
      <c r="H1520" s="3">
        <f t="shared" si="6"/>
        <v>0.001569166228</v>
      </c>
      <c r="I1520" s="5">
        <f t="shared" si="7"/>
        <v>1.622578101</v>
      </c>
    </row>
    <row r="1521">
      <c r="A1521" s="12">
        <f>IFERROR(__xludf.DUMMYFUNCTION("""COMPUTED_VALUE"""),44469.66666666667)</f>
        <v>44469.66667</v>
      </c>
      <c r="B1521" s="13">
        <f>IFERROR(__xludf.DUMMYFUNCTION("""COMPUTED_VALUE"""),4307.54)</f>
        <v>4307.54</v>
      </c>
      <c r="C1521" s="13">
        <f t="shared" si="1"/>
        <v>4390.645</v>
      </c>
      <c r="D1521" s="13">
        <f t="shared" si="2"/>
        <v>4377.81</v>
      </c>
      <c r="E1521" s="13" t="str">
        <f t="shared" si="3"/>
        <v>LONG</v>
      </c>
      <c r="F1521" s="3">
        <f t="shared" si="4"/>
        <v>-0.01190973194</v>
      </c>
      <c r="G1521" s="4">
        <f t="shared" si="5"/>
        <v>2.071570098</v>
      </c>
      <c r="H1521" s="3">
        <f t="shared" si="6"/>
        <v>-0.01190973194</v>
      </c>
      <c r="I1521" s="5">
        <f t="shared" si="7"/>
        <v>1.603253631</v>
      </c>
    </row>
    <row r="1522">
      <c r="A1522" s="12">
        <f>IFERROR(__xludf.DUMMYFUNCTION("""COMPUTED_VALUE"""),44470.66666666667)</f>
        <v>44470.66667</v>
      </c>
      <c r="B1522" s="13">
        <f>IFERROR(__xludf.DUMMYFUNCTION("""COMPUTED_VALUE"""),4357.04)</f>
        <v>4357.04</v>
      </c>
      <c r="C1522" s="13">
        <f t="shared" si="1"/>
        <v>4395.015</v>
      </c>
      <c r="D1522" s="13">
        <f t="shared" si="2"/>
        <v>4378.655</v>
      </c>
      <c r="E1522" s="13" t="str">
        <f t="shared" si="3"/>
        <v>LONG</v>
      </c>
      <c r="F1522" s="3">
        <f t="shared" si="4"/>
        <v>0.01149147773</v>
      </c>
      <c r="G1522" s="4">
        <f t="shared" si="5"/>
        <v>2.0953755</v>
      </c>
      <c r="H1522" s="3">
        <f t="shared" si="6"/>
        <v>0.01149147773</v>
      </c>
      <c r="I1522" s="5">
        <f t="shared" si="7"/>
        <v>1.621677384</v>
      </c>
    </row>
    <row r="1523">
      <c r="A1523" s="12">
        <f>IFERROR(__xludf.DUMMYFUNCTION("""COMPUTED_VALUE"""),44473.66666666667)</f>
        <v>44473.66667</v>
      </c>
      <c r="B1523" s="13">
        <f>IFERROR(__xludf.DUMMYFUNCTION("""COMPUTED_VALUE"""),4300.46)</f>
        <v>4300.46</v>
      </c>
      <c r="C1523" s="13">
        <f t="shared" si="1"/>
        <v>4329.095</v>
      </c>
      <c r="D1523" s="13">
        <f t="shared" si="2"/>
        <v>4353.13</v>
      </c>
      <c r="E1523" s="13" t="str">
        <f t="shared" si="3"/>
        <v/>
      </c>
      <c r="F1523" s="3">
        <f t="shared" si="4"/>
        <v>-0.01298588032</v>
      </c>
      <c r="G1523" s="4">
        <f t="shared" si="5"/>
        <v>2.068165205</v>
      </c>
      <c r="H1523" s="5">
        <f t="shared" si="6"/>
        <v>0</v>
      </c>
      <c r="I1523" s="5">
        <f t="shared" si="7"/>
        <v>1.621677384</v>
      </c>
    </row>
    <row r="1524">
      <c r="A1524" s="12">
        <f>IFERROR(__xludf.DUMMYFUNCTION("""COMPUTED_VALUE"""),44474.66666666667)</f>
        <v>44474.66667</v>
      </c>
      <c r="B1524" s="13">
        <f>IFERROR(__xludf.DUMMYFUNCTION("""COMPUTED_VALUE"""),4345.72)</f>
        <v>4345.72</v>
      </c>
      <c r="C1524" s="13">
        <f t="shared" si="1"/>
        <v>4349.955</v>
      </c>
      <c r="D1524" s="13">
        <f t="shared" si="2"/>
        <v>4393.695</v>
      </c>
      <c r="E1524" s="13" t="str">
        <f t="shared" si="3"/>
        <v/>
      </c>
      <c r="F1524" s="3">
        <f t="shared" si="4"/>
        <v>0.01052445552</v>
      </c>
      <c r="G1524" s="4">
        <f t="shared" si="5"/>
        <v>2.089931517</v>
      </c>
      <c r="H1524" s="5">
        <f t="shared" si="6"/>
        <v>0</v>
      </c>
      <c r="I1524" s="5">
        <f t="shared" si="7"/>
        <v>1.621677384</v>
      </c>
    </row>
    <row r="1525">
      <c r="A1525" s="12">
        <f>IFERROR(__xludf.DUMMYFUNCTION("""COMPUTED_VALUE"""),44475.66666666667)</f>
        <v>44475.66667</v>
      </c>
      <c r="B1525" s="13">
        <f>IFERROR(__xludf.DUMMYFUNCTION("""COMPUTED_VALUE"""),4363.55)</f>
        <v>4363.55</v>
      </c>
      <c r="C1525" s="13">
        <f t="shared" si="1"/>
        <v>4379.595</v>
      </c>
      <c r="D1525" s="13">
        <f t="shared" si="2"/>
        <v>4421.54</v>
      </c>
      <c r="E1525" s="13" t="str">
        <f t="shared" si="3"/>
        <v/>
      </c>
      <c r="F1525" s="3">
        <f t="shared" si="4"/>
        <v>0.004102887439</v>
      </c>
      <c r="G1525" s="4">
        <f t="shared" si="5"/>
        <v>2.098506271</v>
      </c>
      <c r="H1525" s="5">
        <f t="shared" si="6"/>
        <v>0</v>
      </c>
      <c r="I1525" s="5">
        <f t="shared" si="7"/>
        <v>1.621677384</v>
      </c>
    </row>
    <row r="1526">
      <c r="A1526" s="12">
        <f>IFERROR(__xludf.DUMMYFUNCTION("""COMPUTED_VALUE"""),44476.66666666667)</f>
        <v>44476.66667</v>
      </c>
      <c r="B1526" s="13">
        <f>IFERROR(__xludf.DUMMYFUNCTION("""COMPUTED_VALUE"""),4399.76)</f>
        <v>4399.76</v>
      </c>
      <c r="C1526" s="13">
        <f t="shared" si="1"/>
        <v>4424.37</v>
      </c>
      <c r="D1526" s="13">
        <f t="shared" si="2"/>
        <v>4442.995</v>
      </c>
      <c r="E1526" s="13" t="str">
        <f t="shared" si="3"/>
        <v/>
      </c>
      <c r="F1526" s="3">
        <f t="shared" si="4"/>
        <v>0.008298289237</v>
      </c>
      <c r="G1526" s="4">
        <f t="shared" si="5"/>
        <v>2.115920283</v>
      </c>
      <c r="H1526" s="5">
        <f t="shared" si="6"/>
        <v>0</v>
      </c>
      <c r="I1526" s="5">
        <f t="shared" si="7"/>
        <v>1.621677384</v>
      </c>
    </row>
    <row r="1527">
      <c r="A1527" s="12">
        <f>IFERROR(__xludf.DUMMYFUNCTION("""COMPUTED_VALUE"""),44477.66666666667)</f>
        <v>44477.66667</v>
      </c>
      <c r="B1527" s="13">
        <f>IFERROR(__xludf.DUMMYFUNCTION("""COMPUTED_VALUE"""),4391.34)</f>
        <v>4391.34</v>
      </c>
      <c r="C1527" s="13">
        <f t="shared" si="1"/>
        <v>4423.41</v>
      </c>
      <c r="D1527" s="13">
        <f t="shared" si="2"/>
        <v>4443.765</v>
      </c>
      <c r="E1527" s="13" t="str">
        <f t="shared" si="3"/>
        <v/>
      </c>
      <c r="F1527" s="3">
        <f t="shared" si="4"/>
        <v>-0.001913740749</v>
      </c>
      <c r="G1527" s="4">
        <f t="shared" si="5"/>
        <v>2.11187096</v>
      </c>
      <c r="H1527" s="5">
        <f t="shared" si="6"/>
        <v>0</v>
      </c>
      <c r="I1527" s="5">
        <f t="shared" si="7"/>
        <v>1.621677384</v>
      </c>
    </row>
    <row r="1528">
      <c r="A1528" s="12">
        <f>IFERROR(__xludf.DUMMYFUNCTION("""COMPUTED_VALUE"""),44480.66666666667)</f>
        <v>44480.66667</v>
      </c>
      <c r="B1528" s="13">
        <f>IFERROR(__xludf.DUMMYFUNCTION("""COMPUTED_VALUE"""),4361.19)</f>
        <v>4361.19</v>
      </c>
      <c r="C1528" s="13">
        <f t="shared" si="1"/>
        <v>4402.15</v>
      </c>
      <c r="D1528" s="13">
        <f t="shared" si="2"/>
        <v>4415.595</v>
      </c>
      <c r="E1528" s="13" t="str">
        <f t="shared" si="3"/>
        <v/>
      </c>
      <c r="F1528" s="3">
        <f t="shared" si="4"/>
        <v>-0.006865785842</v>
      </c>
      <c r="G1528" s="4">
        <f t="shared" si="5"/>
        <v>2.097371307</v>
      </c>
      <c r="H1528" s="5">
        <f t="shared" si="6"/>
        <v>0</v>
      </c>
      <c r="I1528" s="5">
        <f t="shared" si="7"/>
        <v>1.621677384</v>
      </c>
    </row>
    <row r="1529">
      <c r="A1529" s="12">
        <f>IFERROR(__xludf.DUMMYFUNCTION("""COMPUTED_VALUE"""),44481.66666666667)</f>
        <v>44481.66667</v>
      </c>
      <c r="B1529" s="13">
        <f>IFERROR(__xludf.DUMMYFUNCTION("""COMPUTED_VALUE"""),4350.65)</f>
        <v>4350.65</v>
      </c>
      <c r="C1529" s="13">
        <f t="shared" si="1"/>
        <v>4351.64</v>
      </c>
      <c r="D1529" s="13">
        <f t="shared" si="2"/>
        <v>4430.01</v>
      </c>
      <c r="E1529" s="13" t="str">
        <f t="shared" si="3"/>
        <v/>
      </c>
      <c r="F1529" s="3">
        <f t="shared" si="4"/>
        <v>-0.002416771569</v>
      </c>
      <c r="G1529" s="4">
        <f t="shared" si="5"/>
        <v>2.092302439</v>
      </c>
      <c r="H1529" s="5">
        <f t="shared" si="6"/>
        <v>0</v>
      </c>
      <c r="I1529" s="5">
        <f t="shared" si="7"/>
        <v>1.621677384</v>
      </c>
    </row>
    <row r="1530">
      <c r="A1530" s="12">
        <f>IFERROR(__xludf.DUMMYFUNCTION("""COMPUTED_VALUE"""),44482.66666666667)</f>
        <v>44482.66667</v>
      </c>
      <c r="B1530" s="13">
        <f>IFERROR(__xludf.DUMMYFUNCTION("""COMPUTED_VALUE"""),4363.8)</f>
        <v>4363.8</v>
      </c>
      <c r="C1530" s="13">
        <f t="shared" si="1"/>
        <v>4361.63</v>
      </c>
      <c r="D1530" s="13">
        <f t="shared" si="2"/>
        <v>4446.295</v>
      </c>
      <c r="E1530" s="13" t="str">
        <f t="shared" si="3"/>
        <v/>
      </c>
      <c r="F1530" s="3">
        <f t="shared" si="4"/>
        <v>0.003022536862</v>
      </c>
      <c r="G1530" s="4">
        <f t="shared" si="5"/>
        <v>2.0986265</v>
      </c>
      <c r="H1530" s="5">
        <f t="shared" si="6"/>
        <v>0</v>
      </c>
      <c r="I1530" s="5">
        <f t="shared" si="7"/>
        <v>1.621677384</v>
      </c>
    </row>
    <row r="1531">
      <c r="A1531" s="12">
        <f>IFERROR(__xludf.DUMMYFUNCTION("""COMPUTED_VALUE"""),44483.66666666667)</f>
        <v>44483.66667</v>
      </c>
      <c r="B1531" s="13">
        <f>IFERROR(__xludf.DUMMYFUNCTION("""COMPUTED_VALUE"""),4438.26)</f>
        <v>4438.26</v>
      </c>
      <c r="C1531" s="13">
        <f t="shared" si="1"/>
        <v>4372.9</v>
      </c>
      <c r="D1531" s="13">
        <f t="shared" si="2"/>
        <v>4480.47</v>
      </c>
      <c r="E1531" s="13" t="str">
        <f t="shared" si="3"/>
        <v/>
      </c>
      <c r="F1531" s="3">
        <f t="shared" si="4"/>
        <v>0.01706311013</v>
      </c>
      <c r="G1531" s="4">
        <f t="shared" si="5"/>
        <v>2.134435596</v>
      </c>
      <c r="H1531" s="5">
        <f t="shared" si="6"/>
        <v>0</v>
      </c>
      <c r="I1531" s="5">
        <f t="shared" si="7"/>
        <v>1.621677384</v>
      </c>
    </row>
    <row r="1532">
      <c r="A1532" s="12">
        <f>IFERROR(__xludf.DUMMYFUNCTION("""COMPUTED_VALUE"""),44484.66666666667)</f>
        <v>44484.66667</v>
      </c>
      <c r="B1532" s="13">
        <f>IFERROR(__xludf.DUMMYFUNCTION("""COMPUTED_VALUE"""),4471.37)</f>
        <v>4471.37</v>
      </c>
      <c r="C1532" s="13">
        <f t="shared" si="1"/>
        <v>4414.205</v>
      </c>
      <c r="D1532" s="13">
        <f t="shared" si="2"/>
        <v>4497.73</v>
      </c>
      <c r="E1532" s="13" t="str">
        <f t="shared" si="3"/>
        <v/>
      </c>
      <c r="F1532" s="3">
        <f t="shared" si="4"/>
        <v>0.007460130772</v>
      </c>
      <c r="G1532" s="4">
        <f t="shared" si="5"/>
        <v>2.150358764</v>
      </c>
      <c r="H1532" s="5">
        <f t="shared" si="6"/>
        <v>0</v>
      </c>
      <c r="I1532" s="5">
        <f t="shared" si="7"/>
        <v>1.621677384</v>
      </c>
    </row>
    <row r="1533">
      <c r="A1533" s="12">
        <f>IFERROR(__xludf.DUMMYFUNCTION("""COMPUTED_VALUE"""),44487.66666666667)</f>
        <v>44487.66667</v>
      </c>
      <c r="B1533" s="13">
        <f>IFERROR(__xludf.DUMMYFUNCTION("""COMPUTED_VALUE"""),4486.46)</f>
        <v>4486.46</v>
      </c>
      <c r="C1533" s="13">
        <f t="shared" si="1"/>
        <v>4393.46</v>
      </c>
      <c r="D1533" s="13">
        <f t="shared" si="2"/>
        <v>4511.705</v>
      </c>
      <c r="E1533" s="13" t="str">
        <f t="shared" si="3"/>
        <v/>
      </c>
      <c r="F1533" s="3">
        <f t="shared" si="4"/>
        <v>0.00337480459</v>
      </c>
      <c r="G1533" s="4">
        <f t="shared" si="5"/>
        <v>2.157615805</v>
      </c>
      <c r="H1533" s="5">
        <f t="shared" si="6"/>
        <v>0</v>
      </c>
      <c r="I1533" s="5">
        <f t="shared" si="7"/>
        <v>1.621677384</v>
      </c>
    </row>
    <row r="1534">
      <c r="A1534" s="12">
        <f>IFERROR(__xludf.DUMMYFUNCTION("""COMPUTED_VALUE"""),44488.66666666667)</f>
        <v>44488.66667</v>
      </c>
      <c r="B1534" s="13">
        <f>IFERROR(__xludf.DUMMYFUNCTION("""COMPUTED_VALUE"""),4519.63)</f>
        <v>4519.63</v>
      </c>
      <c r="C1534" s="13">
        <f t="shared" si="1"/>
        <v>4432.675</v>
      </c>
      <c r="D1534" s="13">
        <f t="shared" si="2"/>
        <v>4527.53</v>
      </c>
      <c r="E1534" s="13" t="str">
        <f t="shared" si="3"/>
        <v/>
      </c>
      <c r="F1534" s="3">
        <f t="shared" si="4"/>
        <v>0.007393356901</v>
      </c>
      <c r="G1534" s="4">
        <f t="shared" si="5"/>
        <v>2.173567829</v>
      </c>
      <c r="H1534" s="5">
        <f t="shared" si="6"/>
        <v>0</v>
      </c>
      <c r="I1534" s="5">
        <f t="shared" si="7"/>
        <v>1.621677384</v>
      </c>
    </row>
    <row r="1535">
      <c r="A1535" s="12">
        <f>IFERROR(__xludf.DUMMYFUNCTION("""COMPUTED_VALUE"""),44489.66666666667)</f>
        <v>44489.66667</v>
      </c>
      <c r="B1535" s="13">
        <f>IFERROR(__xludf.DUMMYFUNCTION("""COMPUTED_VALUE"""),4536.19)</f>
        <v>4536.19</v>
      </c>
      <c r="C1535" s="13">
        <f t="shared" si="1"/>
        <v>4449.87</v>
      </c>
      <c r="D1535" s="13">
        <f t="shared" si="2"/>
        <v>4528.11</v>
      </c>
      <c r="E1535" s="13" t="str">
        <f t="shared" si="3"/>
        <v/>
      </c>
      <c r="F1535" s="3">
        <f t="shared" si="4"/>
        <v>0.003664016745</v>
      </c>
      <c r="G1535" s="4">
        <f t="shared" si="5"/>
        <v>2.181531817</v>
      </c>
      <c r="H1535" s="5">
        <f t="shared" si="6"/>
        <v>0</v>
      </c>
      <c r="I1535" s="5">
        <f t="shared" si="7"/>
        <v>1.621677384</v>
      </c>
    </row>
    <row r="1536">
      <c r="A1536" s="12">
        <f>IFERROR(__xludf.DUMMYFUNCTION("""COMPUTED_VALUE"""),44490.66666666667)</f>
        <v>44490.66667</v>
      </c>
      <c r="B1536" s="13">
        <f>IFERROR(__xludf.DUMMYFUNCTION("""COMPUTED_VALUE"""),4549.78)</f>
        <v>4549.78</v>
      </c>
      <c r="C1536" s="13">
        <f t="shared" si="1"/>
        <v>4474.77</v>
      </c>
      <c r="D1536" s="13">
        <f t="shared" si="2"/>
        <v>4531.925</v>
      </c>
      <c r="E1536" s="13" t="str">
        <f t="shared" si="3"/>
        <v/>
      </c>
      <c r="F1536" s="3">
        <f t="shared" si="4"/>
        <v>0.002995906256</v>
      </c>
      <c r="G1536" s="4">
        <f t="shared" si="5"/>
        <v>2.188067482</v>
      </c>
      <c r="H1536" s="5">
        <f t="shared" si="6"/>
        <v>0</v>
      </c>
      <c r="I1536" s="5">
        <f t="shared" si="7"/>
        <v>1.621677384</v>
      </c>
    </row>
    <row r="1537">
      <c r="A1537" s="12">
        <f>IFERROR(__xludf.DUMMYFUNCTION("""COMPUTED_VALUE"""),44491.66666666667)</f>
        <v>44491.66667</v>
      </c>
      <c r="B1537" s="13">
        <f>IFERROR(__xludf.DUMMYFUNCTION("""COMPUTED_VALUE"""),4544.9)</f>
        <v>4544.9</v>
      </c>
      <c r="C1537" s="13">
        <f t="shared" si="1"/>
        <v>4468.12</v>
      </c>
      <c r="D1537" s="13">
        <f t="shared" si="2"/>
        <v>4519.09</v>
      </c>
      <c r="E1537" s="13" t="str">
        <f t="shared" si="3"/>
        <v/>
      </c>
      <c r="F1537" s="3">
        <f t="shared" si="4"/>
        <v>-0.001072579334</v>
      </c>
      <c r="G1537" s="4">
        <f t="shared" si="5"/>
        <v>2.185720606</v>
      </c>
      <c r="H1537" s="5">
        <f t="shared" si="6"/>
        <v>0</v>
      </c>
      <c r="I1537" s="5">
        <f t="shared" si="7"/>
        <v>1.621677384</v>
      </c>
    </row>
    <row r="1538">
      <c r="A1538" s="12">
        <f>IFERROR(__xludf.DUMMYFUNCTION("""COMPUTED_VALUE"""),44494.66666666667)</f>
        <v>44494.66667</v>
      </c>
      <c r="B1538" s="13">
        <f>IFERROR(__xludf.DUMMYFUNCTION("""COMPUTED_VALUE"""),4566.48)</f>
        <v>4566.48</v>
      </c>
      <c r="C1538" s="13">
        <f t="shared" si="1"/>
        <v>4463.835</v>
      </c>
      <c r="D1538" s="13">
        <f t="shared" si="2"/>
        <v>4512.53</v>
      </c>
      <c r="E1538" s="13" t="str">
        <f t="shared" si="3"/>
        <v/>
      </c>
      <c r="F1538" s="3">
        <f t="shared" si="4"/>
        <v>0.004748179278</v>
      </c>
      <c r="G1538" s="4">
        <f t="shared" si="5"/>
        <v>2.1960988</v>
      </c>
      <c r="H1538" s="5">
        <f t="shared" si="6"/>
        <v>0</v>
      </c>
      <c r="I1538" s="5">
        <f t="shared" si="7"/>
        <v>1.621677384</v>
      </c>
    </row>
    <row r="1539">
      <c r="A1539" s="12">
        <f>IFERROR(__xludf.DUMMYFUNCTION("""COMPUTED_VALUE"""),44495.66666666667)</f>
        <v>44495.66667</v>
      </c>
      <c r="B1539" s="13">
        <f>IFERROR(__xludf.DUMMYFUNCTION("""COMPUTED_VALUE"""),4574.79)</f>
        <v>4574.79</v>
      </c>
      <c r="C1539" s="13">
        <f t="shared" si="1"/>
        <v>4462.72</v>
      </c>
      <c r="D1539" s="13">
        <f t="shared" si="2"/>
        <v>4521.76</v>
      </c>
      <c r="E1539" s="13" t="str">
        <f t="shared" si="3"/>
        <v/>
      </c>
      <c r="F1539" s="3">
        <f t="shared" si="4"/>
        <v>0.001819782414</v>
      </c>
      <c r="G1539" s="4">
        <f t="shared" si="5"/>
        <v>2.200095222</v>
      </c>
      <c r="H1539" s="5">
        <f t="shared" si="6"/>
        <v>0</v>
      </c>
      <c r="I1539" s="5">
        <f t="shared" si="7"/>
        <v>1.621677384</v>
      </c>
    </row>
    <row r="1540">
      <c r="A1540" s="12">
        <f>IFERROR(__xludf.DUMMYFUNCTION("""COMPUTED_VALUE"""),44496.66666666667)</f>
        <v>44496.66667</v>
      </c>
      <c r="B1540" s="13">
        <f>IFERROR(__xludf.DUMMYFUNCTION("""COMPUTED_VALUE"""),4551.68)</f>
        <v>4551.68</v>
      </c>
      <c r="C1540" s="13">
        <f t="shared" si="1"/>
        <v>4457.74</v>
      </c>
      <c r="D1540" s="13">
        <f t="shared" si="2"/>
        <v>4497.365</v>
      </c>
      <c r="E1540" s="13" t="str">
        <f t="shared" si="3"/>
        <v/>
      </c>
      <c r="F1540" s="3">
        <f t="shared" si="4"/>
        <v>-0.005051597997</v>
      </c>
      <c r="G1540" s="4">
        <f t="shared" si="5"/>
        <v>2.188981225</v>
      </c>
      <c r="H1540" s="5">
        <f t="shared" si="6"/>
        <v>0</v>
      </c>
      <c r="I1540" s="5">
        <f t="shared" si="7"/>
        <v>1.621677384</v>
      </c>
    </row>
    <row r="1541">
      <c r="A1541" s="12">
        <f>IFERROR(__xludf.DUMMYFUNCTION("""COMPUTED_VALUE"""),44497.66666666667)</f>
        <v>44497.66667</v>
      </c>
      <c r="B1541" s="13">
        <f>IFERROR(__xludf.DUMMYFUNCTION("""COMPUTED_VALUE"""),4596.42)</f>
        <v>4596.42</v>
      </c>
      <c r="C1541" s="13">
        <f t="shared" si="1"/>
        <v>4517.34</v>
      </c>
      <c r="D1541" s="13">
        <f t="shared" si="2"/>
        <v>4538.56</v>
      </c>
      <c r="E1541" s="13" t="str">
        <f t="shared" si="3"/>
        <v/>
      </c>
      <c r="F1541" s="3">
        <f t="shared" si="4"/>
        <v>0.009829337739</v>
      </c>
      <c r="G1541" s="4">
        <f t="shared" si="5"/>
        <v>2.210497461</v>
      </c>
      <c r="H1541" s="5">
        <f t="shared" si="6"/>
        <v>0</v>
      </c>
      <c r="I1541" s="5">
        <f t="shared" si="7"/>
        <v>1.621677384</v>
      </c>
    </row>
    <row r="1542">
      <c r="A1542" s="12">
        <f>IFERROR(__xludf.DUMMYFUNCTION("""COMPUTED_VALUE"""),44498.66666666667)</f>
        <v>44498.66667</v>
      </c>
      <c r="B1542" s="13">
        <f>IFERROR(__xludf.DUMMYFUNCTION("""COMPUTED_VALUE"""),4605.38)</f>
        <v>4605.38</v>
      </c>
      <c r="C1542" s="13">
        <f t="shared" si="1"/>
        <v>4538.375</v>
      </c>
      <c r="D1542" s="13">
        <f t="shared" si="2"/>
        <v>4539.565</v>
      </c>
      <c r="E1542" s="13" t="str">
        <f t="shared" si="3"/>
        <v/>
      </c>
      <c r="F1542" s="3">
        <f t="shared" si="4"/>
        <v>0.001949343184</v>
      </c>
      <c r="G1542" s="4">
        <f t="shared" si="5"/>
        <v>2.214806479</v>
      </c>
      <c r="H1542" s="5">
        <f t="shared" si="6"/>
        <v>0</v>
      </c>
      <c r="I1542" s="5">
        <f t="shared" si="7"/>
        <v>1.621677384</v>
      </c>
    </row>
    <row r="1543">
      <c r="A1543" s="12">
        <f>IFERROR(__xludf.DUMMYFUNCTION("""COMPUTED_VALUE"""),44501.66666666667)</f>
        <v>44501.66667</v>
      </c>
      <c r="B1543" s="13">
        <f>IFERROR(__xludf.DUMMYFUNCTION("""COMPUTED_VALUE"""),4613.67)</f>
        <v>4613.67</v>
      </c>
      <c r="C1543" s="13">
        <f t="shared" si="1"/>
        <v>4550.065</v>
      </c>
      <c r="D1543" s="13">
        <f t="shared" si="2"/>
        <v>4523.33</v>
      </c>
      <c r="E1543" s="13" t="str">
        <f t="shared" si="3"/>
        <v>LONG</v>
      </c>
      <c r="F1543" s="3">
        <f t="shared" si="4"/>
        <v>0.001800068615</v>
      </c>
      <c r="G1543" s="4">
        <f t="shared" si="5"/>
        <v>2.218793283</v>
      </c>
      <c r="H1543" s="3">
        <f t="shared" si="6"/>
        <v>0.001800068615</v>
      </c>
      <c r="I1543" s="5">
        <f t="shared" si="7"/>
        <v>1.624596515</v>
      </c>
    </row>
    <row r="1544">
      <c r="A1544" s="12">
        <f>IFERROR(__xludf.DUMMYFUNCTION("""COMPUTED_VALUE"""),44502.66666666667)</f>
        <v>44502.66667</v>
      </c>
      <c r="B1544" s="13">
        <f>IFERROR(__xludf.DUMMYFUNCTION("""COMPUTED_VALUE"""),4630.65)</f>
        <v>4630.65</v>
      </c>
      <c r="C1544" s="13">
        <f t="shared" si="1"/>
        <v>4575.14</v>
      </c>
      <c r="D1544" s="13">
        <f t="shared" si="2"/>
        <v>4494.19</v>
      </c>
      <c r="E1544" s="13" t="str">
        <f t="shared" si="3"/>
        <v>LONG</v>
      </c>
      <c r="F1544" s="3">
        <f t="shared" si="4"/>
        <v>0.003680367256</v>
      </c>
      <c r="G1544" s="4">
        <f t="shared" si="5"/>
        <v>2.226959257</v>
      </c>
      <c r="H1544" s="3">
        <f t="shared" si="6"/>
        <v>0.003680367256</v>
      </c>
      <c r="I1544" s="5">
        <f t="shared" si="7"/>
        <v>1.630575626</v>
      </c>
    </row>
    <row r="1545">
      <c r="A1545" s="12">
        <f>IFERROR(__xludf.DUMMYFUNCTION("""COMPUTED_VALUE"""),44503.66666666667)</f>
        <v>44503.66667</v>
      </c>
      <c r="B1545" s="13">
        <f>IFERROR(__xludf.DUMMYFUNCTION("""COMPUTED_VALUE"""),4660.57)</f>
        <v>4660.57</v>
      </c>
      <c r="C1545" s="13">
        <f t="shared" si="1"/>
        <v>4598.38</v>
      </c>
      <c r="D1545" s="13">
        <f t="shared" si="2"/>
        <v>4507.38</v>
      </c>
      <c r="E1545" s="13" t="str">
        <f t="shared" si="3"/>
        <v>LONG</v>
      </c>
      <c r="F1545" s="3">
        <f t="shared" si="4"/>
        <v>0.00646129593</v>
      </c>
      <c r="G1545" s="4">
        <f t="shared" si="5"/>
        <v>2.241348299</v>
      </c>
      <c r="H1545" s="3">
        <f t="shared" si="6"/>
        <v>0.00646129593</v>
      </c>
      <c r="I1545" s="5">
        <f t="shared" si="7"/>
        <v>1.641111258</v>
      </c>
    </row>
    <row r="1546">
      <c r="A1546" s="12">
        <f>IFERROR(__xludf.DUMMYFUNCTION("""COMPUTED_VALUE"""),44504.66666666667)</f>
        <v>44504.66667</v>
      </c>
      <c r="B1546" s="13">
        <f>IFERROR(__xludf.DUMMYFUNCTION("""COMPUTED_VALUE"""),4680.06)</f>
        <v>4680.06</v>
      </c>
      <c r="C1546" s="13">
        <f t="shared" si="1"/>
        <v>4614.92</v>
      </c>
      <c r="D1546" s="13">
        <f t="shared" si="2"/>
        <v>4537.85</v>
      </c>
      <c r="E1546" s="13" t="str">
        <f t="shared" si="3"/>
        <v>LONG</v>
      </c>
      <c r="F1546" s="3">
        <f t="shared" si="4"/>
        <v>0.004181891915</v>
      </c>
      <c r="G1546" s="4">
        <f t="shared" si="5"/>
        <v>2.250721376</v>
      </c>
      <c r="H1546" s="3">
        <f t="shared" si="6"/>
        <v>0.004181891915</v>
      </c>
      <c r="I1546" s="5">
        <f t="shared" si="7"/>
        <v>1.647974208</v>
      </c>
    </row>
    <row r="1547">
      <c r="A1547" s="12">
        <f>IFERROR(__xludf.DUMMYFUNCTION("""COMPUTED_VALUE"""),44505.66666666667)</f>
        <v>44505.66667</v>
      </c>
      <c r="B1547" s="13">
        <f>IFERROR(__xludf.DUMMYFUNCTION("""COMPUTED_VALUE"""),4697.53)</f>
        <v>4697.53</v>
      </c>
      <c r="C1547" s="13">
        <f t="shared" si="1"/>
        <v>4621.215</v>
      </c>
      <c r="D1547" s="13">
        <f t="shared" si="2"/>
        <v>4573.255</v>
      </c>
      <c r="E1547" s="13" t="str">
        <f t="shared" si="3"/>
        <v>LONG</v>
      </c>
      <c r="F1547" s="3">
        <f t="shared" si="4"/>
        <v>0.003732858126</v>
      </c>
      <c r="G1547" s="4">
        <f t="shared" si="5"/>
        <v>2.259122999</v>
      </c>
      <c r="H1547" s="3">
        <f t="shared" si="6"/>
        <v>0.003732858126</v>
      </c>
      <c r="I1547" s="5">
        <f t="shared" si="7"/>
        <v>1.654125862</v>
      </c>
    </row>
    <row r="1548">
      <c r="A1548" s="12">
        <f>IFERROR(__xludf.DUMMYFUNCTION("""COMPUTED_VALUE"""),44508.66666666667)</f>
        <v>44508.66667</v>
      </c>
      <c r="B1548" s="13">
        <f>IFERROR(__xludf.DUMMYFUNCTION("""COMPUTED_VALUE"""),4701.7)</f>
        <v>4701.7</v>
      </c>
      <c r="C1548" s="13">
        <f t="shared" si="1"/>
        <v>4634.09</v>
      </c>
      <c r="D1548" s="13">
        <f t="shared" si="2"/>
        <v>4578.59</v>
      </c>
      <c r="E1548" s="13" t="str">
        <f t="shared" si="3"/>
        <v>LONG</v>
      </c>
      <c r="F1548" s="3">
        <f t="shared" si="4"/>
        <v>0.0008877005575</v>
      </c>
      <c r="G1548" s="4">
        <f t="shared" si="5"/>
        <v>2.261128424</v>
      </c>
      <c r="H1548" s="3">
        <f t="shared" si="6"/>
        <v>0.0008877005575</v>
      </c>
      <c r="I1548" s="5">
        <f t="shared" si="7"/>
        <v>1.65559423</v>
      </c>
    </row>
    <row r="1549">
      <c r="A1549" s="12">
        <f>IFERROR(__xludf.DUMMYFUNCTION("""COMPUTED_VALUE"""),44509.66666666667)</f>
        <v>44509.66667</v>
      </c>
      <c r="B1549" s="13">
        <f>IFERROR(__xludf.DUMMYFUNCTION("""COMPUTED_VALUE"""),4685.25)</f>
        <v>4685.25</v>
      </c>
      <c r="C1549" s="13">
        <f t="shared" si="1"/>
        <v>4630.02</v>
      </c>
      <c r="D1549" s="13">
        <f t="shared" si="2"/>
        <v>4564.18</v>
      </c>
      <c r="E1549" s="13" t="str">
        <f t="shared" si="3"/>
        <v>LONG</v>
      </c>
      <c r="F1549" s="3">
        <f t="shared" si="4"/>
        <v>-0.0034987345</v>
      </c>
      <c r="G1549" s="4">
        <f t="shared" si="5"/>
        <v>2.253217336</v>
      </c>
      <c r="H1549" s="3">
        <f t="shared" si="6"/>
        <v>-0.0034987345</v>
      </c>
      <c r="I1549" s="5">
        <f t="shared" si="7"/>
        <v>1.649801746</v>
      </c>
    </row>
    <row r="1550">
      <c r="A1550" s="12">
        <f>IFERROR(__xludf.DUMMYFUNCTION("""COMPUTED_VALUE"""),44510.66666666667)</f>
        <v>44510.66667</v>
      </c>
      <c r="B1550" s="13">
        <f>IFERROR(__xludf.DUMMYFUNCTION("""COMPUTED_VALUE"""),4646.71)</f>
        <v>4646.71</v>
      </c>
      <c r="C1550" s="13">
        <f t="shared" si="1"/>
        <v>4599.195</v>
      </c>
      <c r="D1550" s="13">
        <f t="shared" si="2"/>
        <v>4499.67</v>
      </c>
      <c r="E1550" s="13" t="str">
        <f t="shared" si="3"/>
        <v>LONG</v>
      </c>
      <c r="F1550" s="3">
        <f t="shared" si="4"/>
        <v>-0.008225815058</v>
      </c>
      <c r="G1550" s="4">
        <f t="shared" si="5"/>
        <v>2.234682787</v>
      </c>
      <c r="H1550" s="3">
        <f t="shared" si="6"/>
        <v>-0.008225815058</v>
      </c>
      <c r="I1550" s="5">
        <f t="shared" si="7"/>
        <v>1.636230782</v>
      </c>
    </row>
    <row r="1551">
      <c r="A1551" s="12">
        <f>IFERROR(__xludf.DUMMYFUNCTION("""COMPUTED_VALUE"""),44511.66666666667)</f>
        <v>44511.66667</v>
      </c>
      <c r="B1551" s="13">
        <f>IFERROR(__xludf.DUMMYFUNCTION("""COMPUTED_VALUE"""),4649.27)</f>
        <v>4649.27</v>
      </c>
      <c r="C1551" s="13">
        <f t="shared" si="1"/>
        <v>4622.845</v>
      </c>
      <c r="D1551" s="13">
        <f t="shared" si="2"/>
        <v>4504.365</v>
      </c>
      <c r="E1551" s="13" t="str">
        <f t="shared" si="3"/>
        <v>LONG</v>
      </c>
      <c r="F1551" s="3">
        <f t="shared" si="4"/>
        <v>0.0005509274304</v>
      </c>
      <c r="G1551" s="4">
        <f t="shared" si="5"/>
        <v>2.235913935</v>
      </c>
      <c r="H1551" s="3">
        <f t="shared" si="6"/>
        <v>0.0005509274304</v>
      </c>
      <c r="I1551" s="5">
        <f t="shared" si="7"/>
        <v>1.637132226</v>
      </c>
    </row>
    <row r="1552">
      <c r="A1552" s="12">
        <f>IFERROR(__xludf.DUMMYFUNCTION("""COMPUTED_VALUE"""),44512.66666666667)</f>
        <v>44512.66667</v>
      </c>
      <c r="B1552" s="13">
        <f>IFERROR(__xludf.DUMMYFUNCTION("""COMPUTED_VALUE"""),4682.85)</f>
        <v>4682.85</v>
      </c>
      <c r="C1552" s="13">
        <f t="shared" si="1"/>
        <v>4644.115</v>
      </c>
      <c r="D1552" s="13">
        <f t="shared" si="2"/>
        <v>4495.195</v>
      </c>
      <c r="E1552" s="13" t="str">
        <f t="shared" si="3"/>
        <v>LONG</v>
      </c>
      <c r="F1552" s="3">
        <f t="shared" si="4"/>
        <v>0.007222639253</v>
      </c>
      <c r="G1552" s="4">
        <f t="shared" si="5"/>
        <v>2.252063135</v>
      </c>
      <c r="H1552" s="3">
        <f t="shared" si="6"/>
        <v>0.007222639253</v>
      </c>
      <c r="I1552" s="5">
        <f t="shared" si="7"/>
        <v>1.648956641</v>
      </c>
    </row>
    <row r="1553">
      <c r="A1553" s="12">
        <f>IFERROR(__xludf.DUMMYFUNCTION("""COMPUTED_VALUE"""),44515.66666666667)</f>
        <v>44515.66667</v>
      </c>
      <c r="B1553" s="13">
        <f>IFERROR(__xludf.DUMMYFUNCTION("""COMPUTED_VALUE"""),4682.8)</f>
        <v>4682.8</v>
      </c>
      <c r="C1553" s="13">
        <f t="shared" si="1"/>
        <v>4648.235</v>
      </c>
      <c r="D1553" s="13">
        <f t="shared" si="2"/>
        <v>4519.92</v>
      </c>
      <c r="E1553" s="13" t="str">
        <f t="shared" si="3"/>
        <v>LONG</v>
      </c>
      <c r="F1553" s="3">
        <f t="shared" si="4"/>
        <v>-0.00001067725851</v>
      </c>
      <c r="G1553" s="4">
        <f t="shared" si="5"/>
        <v>2.252039089</v>
      </c>
      <c r="H1553" s="3">
        <f t="shared" si="6"/>
        <v>-0.00001067725851</v>
      </c>
      <c r="I1553" s="5">
        <f t="shared" si="7"/>
        <v>1.648939035</v>
      </c>
    </row>
    <row r="1554">
      <c r="A1554" s="12">
        <f>IFERROR(__xludf.DUMMYFUNCTION("""COMPUTED_VALUE"""),44516.66666666667)</f>
        <v>44516.66667</v>
      </c>
      <c r="B1554" s="13">
        <f>IFERROR(__xludf.DUMMYFUNCTION("""COMPUTED_VALUE"""),4700.9)</f>
        <v>4700.9</v>
      </c>
      <c r="C1554" s="13">
        <f t="shared" si="1"/>
        <v>4665.775</v>
      </c>
      <c r="D1554" s="13">
        <f t="shared" si="2"/>
        <v>4500.68</v>
      </c>
      <c r="E1554" s="13" t="str">
        <f t="shared" si="3"/>
        <v>LONG</v>
      </c>
      <c r="F1554" s="3">
        <f t="shared" si="4"/>
        <v>0.003865208849</v>
      </c>
      <c r="G1554" s="4">
        <f t="shared" si="5"/>
        <v>2.26074369</v>
      </c>
      <c r="H1554" s="3">
        <f t="shared" si="6"/>
        <v>0.003865208849</v>
      </c>
      <c r="I1554" s="5">
        <f t="shared" si="7"/>
        <v>1.655312529</v>
      </c>
    </row>
    <row r="1555">
      <c r="A1555" s="12">
        <f>IFERROR(__xludf.DUMMYFUNCTION("""COMPUTED_VALUE"""),44517.66666666667)</f>
        <v>44517.66667</v>
      </c>
      <c r="B1555" s="13">
        <f>IFERROR(__xludf.DUMMYFUNCTION("""COMPUTED_VALUE"""),4688.67)</f>
        <v>4688.67</v>
      </c>
      <c r="C1555" s="13">
        <f t="shared" si="1"/>
        <v>4674.62</v>
      </c>
      <c r="D1555" s="13">
        <f t="shared" si="2"/>
        <v>4517.195</v>
      </c>
      <c r="E1555" s="13" t="str">
        <f t="shared" si="3"/>
        <v>LONG</v>
      </c>
      <c r="F1555" s="3">
        <f t="shared" si="4"/>
        <v>-0.002601629475</v>
      </c>
      <c r="G1555" s="4">
        <f t="shared" si="5"/>
        <v>2.254862073</v>
      </c>
      <c r="H1555" s="3">
        <f t="shared" si="6"/>
        <v>-0.002601629475</v>
      </c>
      <c r="I1555" s="5">
        <f t="shared" si="7"/>
        <v>1.651006019</v>
      </c>
    </row>
    <row r="1556">
      <c r="A1556" s="12">
        <f>IFERROR(__xludf.DUMMYFUNCTION("""COMPUTED_VALUE"""),44518.66666666667)</f>
        <v>44518.66667</v>
      </c>
      <c r="B1556" s="13">
        <f>IFERROR(__xludf.DUMMYFUNCTION("""COMPUTED_VALUE"""),4704.54)</f>
        <v>4704.54</v>
      </c>
      <c r="C1556" s="13">
        <f t="shared" si="1"/>
        <v>4692.3</v>
      </c>
      <c r="D1556" s="13">
        <f t="shared" si="2"/>
        <v>4534.045</v>
      </c>
      <c r="E1556" s="13" t="str">
        <f t="shared" si="3"/>
        <v>LONG</v>
      </c>
      <c r="F1556" s="3">
        <f t="shared" si="4"/>
        <v>0.003384755165</v>
      </c>
      <c r="G1556" s="4">
        <f t="shared" si="5"/>
        <v>2.262494229</v>
      </c>
      <c r="H1556" s="3">
        <f t="shared" si="6"/>
        <v>0.003384755165</v>
      </c>
      <c r="I1556" s="5">
        <f t="shared" si="7"/>
        <v>1.65659427</v>
      </c>
    </row>
    <row r="1557">
      <c r="A1557" s="12">
        <f>IFERROR(__xludf.DUMMYFUNCTION("""COMPUTED_VALUE"""),44519.66666666667)</f>
        <v>44519.66667</v>
      </c>
      <c r="B1557" s="13">
        <f>IFERROR(__xludf.DUMMYFUNCTION("""COMPUTED_VALUE"""),4697.96)</f>
        <v>4697.96</v>
      </c>
      <c r="C1557" s="13">
        <f t="shared" si="1"/>
        <v>4697.745</v>
      </c>
      <c r="D1557" s="13">
        <f t="shared" si="2"/>
        <v>4548.86</v>
      </c>
      <c r="E1557" s="13" t="str">
        <f t="shared" si="3"/>
        <v>LONG</v>
      </c>
      <c r="F1557" s="3">
        <f t="shared" si="4"/>
        <v>-0.001398648965</v>
      </c>
      <c r="G1557" s="4">
        <f t="shared" si="5"/>
        <v>2.259329794</v>
      </c>
      <c r="H1557" s="3">
        <f t="shared" si="6"/>
        <v>-0.001398648965</v>
      </c>
      <c r="I1557" s="5">
        <f t="shared" si="7"/>
        <v>1.654277276</v>
      </c>
    </row>
    <row r="1558">
      <c r="A1558" s="12">
        <f>IFERROR(__xludf.DUMMYFUNCTION("""COMPUTED_VALUE"""),44522.66666666667)</f>
        <v>44522.66667</v>
      </c>
      <c r="B1558" s="13">
        <f>IFERROR(__xludf.DUMMYFUNCTION("""COMPUTED_VALUE"""),4682.94)</f>
        <v>4682.94</v>
      </c>
      <c r="C1558" s="13">
        <f t="shared" si="1"/>
        <v>4692.32</v>
      </c>
      <c r="D1558" s="13">
        <f t="shared" si="2"/>
        <v>4537.14</v>
      </c>
      <c r="E1558" s="13" t="str">
        <f t="shared" si="3"/>
        <v>LONG</v>
      </c>
      <c r="F1558" s="3">
        <f t="shared" si="4"/>
        <v>-0.003197132372</v>
      </c>
      <c r="G1558" s="4">
        <f t="shared" si="5"/>
        <v>2.252106417</v>
      </c>
      <c r="H1558" s="3">
        <f t="shared" si="6"/>
        <v>-0.003197132372</v>
      </c>
      <c r="I1558" s="5">
        <f t="shared" si="7"/>
        <v>1.648988333</v>
      </c>
    </row>
    <row r="1559">
      <c r="A1559" s="12">
        <f>IFERROR(__xludf.DUMMYFUNCTION("""COMPUTED_VALUE"""),44523.66666666667)</f>
        <v>44523.66667</v>
      </c>
      <c r="B1559" s="13">
        <f>IFERROR(__xludf.DUMMYFUNCTION("""COMPUTED_VALUE"""),4690.7)</f>
        <v>4690.7</v>
      </c>
      <c r="C1559" s="13">
        <f t="shared" si="1"/>
        <v>4687.975</v>
      </c>
      <c r="D1559" s="13">
        <f t="shared" si="2"/>
        <v>4525.945</v>
      </c>
      <c r="E1559" s="13" t="str">
        <f t="shared" si="3"/>
        <v>LONG</v>
      </c>
      <c r="F1559" s="3">
        <f t="shared" si="4"/>
        <v>0.001657078673</v>
      </c>
      <c r="G1559" s="4">
        <f t="shared" si="5"/>
        <v>2.255838335</v>
      </c>
      <c r="H1559" s="3">
        <f t="shared" si="6"/>
        <v>0.001657078673</v>
      </c>
      <c r="I1559" s="5">
        <f t="shared" si="7"/>
        <v>1.651720836</v>
      </c>
    </row>
    <row r="1560">
      <c r="A1560" s="12">
        <f>IFERROR(__xludf.DUMMYFUNCTION("""COMPUTED_VALUE"""),44524.66666666667)</f>
        <v>44524.66667</v>
      </c>
      <c r="B1560" s="13">
        <f>IFERROR(__xludf.DUMMYFUNCTION("""COMPUTED_VALUE"""),4701.46)</f>
        <v>4701.46</v>
      </c>
      <c r="C1560" s="13">
        <f t="shared" si="1"/>
        <v>4674.085</v>
      </c>
      <c r="D1560" s="13">
        <f t="shared" si="2"/>
        <v>4526.055</v>
      </c>
      <c r="E1560" s="13" t="str">
        <f t="shared" si="3"/>
        <v>LONG</v>
      </c>
      <c r="F1560" s="3">
        <f t="shared" si="4"/>
        <v>0.002293900697</v>
      </c>
      <c r="G1560" s="4">
        <f t="shared" si="5"/>
        <v>2.261013004</v>
      </c>
      <c r="H1560" s="3">
        <f t="shared" si="6"/>
        <v>0.002293900697</v>
      </c>
      <c r="I1560" s="5">
        <f t="shared" si="7"/>
        <v>1.65550972</v>
      </c>
    </row>
    <row r="1561">
      <c r="A1561" s="12">
        <f>IFERROR(__xludf.DUMMYFUNCTION("""COMPUTED_VALUE"""),44526.54166666667)</f>
        <v>44526.54167</v>
      </c>
      <c r="B1561" s="13">
        <f>IFERROR(__xludf.DUMMYFUNCTION("""COMPUTED_VALUE"""),4594.62)</f>
        <v>4594.62</v>
      </c>
      <c r="C1561" s="13">
        <f t="shared" si="1"/>
        <v>4621.945</v>
      </c>
      <c r="D1561" s="13">
        <f t="shared" si="2"/>
        <v>4479.21</v>
      </c>
      <c r="E1561" s="13" t="str">
        <f t="shared" si="3"/>
        <v>LONG</v>
      </c>
      <c r="F1561" s="3">
        <f t="shared" si="4"/>
        <v>-0.02272485568</v>
      </c>
      <c r="G1561" s="4">
        <f t="shared" si="5"/>
        <v>2.20963181</v>
      </c>
      <c r="H1561" s="3">
        <f t="shared" si="6"/>
        <v>-0.02272485568</v>
      </c>
      <c r="I1561" s="5">
        <f t="shared" si="7"/>
        <v>1.6178885</v>
      </c>
    </row>
    <row r="1562">
      <c r="A1562" s="12">
        <f>IFERROR(__xludf.DUMMYFUNCTION("""COMPUTED_VALUE"""),44529.66666666667)</f>
        <v>44529.66667</v>
      </c>
      <c r="B1562" s="13">
        <f>IFERROR(__xludf.DUMMYFUNCTION("""COMPUTED_VALUE"""),4655.27)</f>
        <v>4655.27</v>
      </c>
      <c r="C1562" s="13">
        <f t="shared" si="1"/>
        <v>4669.06</v>
      </c>
      <c r="D1562" s="13">
        <f t="shared" si="2"/>
        <v>4546.765</v>
      </c>
      <c r="E1562" s="13" t="str">
        <f t="shared" si="3"/>
        <v>LONG</v>
      </c>
      <c r="F1562" s="3">
        <f t="shared" si="4"/>
        <v>0.01320022113</v>
      </c>
      <c r="G1562" s="4">
        <f t="shared" si="5"/>
        <v>2.238799438</v>
      </c>
      <c r="H1562" s="3">
        <f t="shared" si="6"/>
        <v>0.01320022113</v>
      </c>
      <c r="I1562" s="5">
        <f t="shared" si="7"/>
        <v>1.639244986</v>
      </c>
    </row>
    <row r="1563">
      <c r="A1563" s="12">
        <f>IFERROR(__xludf.DUMMYFUNCTION("""COMPUTED_VALUE"""),44530.66666666667)</f>
        <v>44530.66667</v>
      </c>
      <c r="B1563" s="13">
        <f>IFERROR(__xludf.DUMMYFUNCTION("""COMPUTED_VALUE"""),4567.0)</f>
        <v>4567</v>
      </c>
      <c r="C1563" s="13">
        <f t="shared" si="1"/>
        <v>4624.9</v>
      </c>
      <c r="D1563" s="13">
        <f t="shared" si="2"/>
        <v>4519.185</v>
      </c>
      <c r="E1563" s="13" t="str">
        <f t="shared" si="3"/>
        <v>LONG</v>
      </c>
      <c r="F1563" s="3">
        <f t="shared" si="4"/>
        <v>-0.01896130622</v>
      </c>
      <c r="G1563" s="4">
        <f t="shared" si="5"/>
        <v>2.196348877</v>
      </c>
      <c r="H1563" s="3">
        <f t="shared" si="6"/>
        <v>-0.01896130622</v>
      </c>
      <c r="I1563" s="5">
        <f t="shared" si="7"/>
        <v>1.60816276</v>
      </c>
    </row>
    <row r="1564">
      <c r="A1564" s="12">
        <f>IFERROR(__xludf.DUMMYFUNCTION("""COMPUTED_VALUE"""),44531.66666666667)</f>
        <v>44531.66667</v>
      </c>
      <c r="B1564" s="13">
        <f>IFERROR(__xludf.DUMMYFUNCTION("""COMPUTED_VALUE"""),4513.04)</f>
        <v>4513.04</v>
      </c>
      <c r="C1564" s="13">
        <f t="shared" si="1"/>
        <v>4606.97</v>
      </c>
      <c r="D1564" s="13">
        <f t="shared" si="2"/>
        <v>4499.75</v>
      </c>
      <c r="E1564" s="13" t="str">
        <f t="shared" si="3"/>
        <v>LONG</v>
      </c>
      <c r="F1564" s="3">
        <f t="shared" si="4"/>
        <v>-0.01181519597</v>
      </c>
      <c r="G1564" s="4">
        <f t="shared" si="5"/>
        <v>2.170398584</v>
      </c>
      <c r="H1564" s="3">
        <f t="shared" si="6"/>
        <v>-0.01181519597</v>
      </c>
      <c r="I1564" s="5">
        <f t="shared" si="7"/>
        <v>1.589162002</v>
      </c>
    </row>
    <row r="1565">
      <c r="A1565" s="12">
        <f>IFERROR(__xludf.DUMMYFUNCTION("""COMPUTED_VALUE"""),44532.66666666667)</f>
        <v>44532.66667</v>
      </c>
      <c r="B1565" s="13">
        <f>IFERROR(__xludf.DUMMYFUNCTION("""COMPUTED_VALUE"""),4577.1)</f>
        <v>4577.1</v>
      </c>
      <c r="C1565" s="13">
        <f t="shared" si="1"/>
        <v>4632.885</v>
      </c>
      <c r="D1565" s="13">
        <f t="shared" si="2"/>
        <v>4548.365</v>
      </c>
      <c r="E1565" s="13" t="str">
        <f t="shared" si="3"/>
        <v>LONG</v>
      </c>
      <c r="F1565" s="3">
        <f t="shared" si="4"/>
        <v>0.01419442327</v>
      </c>
      <c r="G1565" s="4">
        <f t="shared" si="5"/>
        <v>2.20120614</v>
      </c>
      <c r="H1565" s="3">
        <f t="shared" si="6"/>
        <v>0.01419442327</v>
      </c>
      <c r="I1565" s="5">
        <f t="shared" si="7"/>
        <v>1.61171924</v>
      </c>
    </row>
    <row r="1566">
      <c r="A1566" s="12">
        <f>IFERROR(__xludf.DUMMYFUNCTION("""COMPUTED_VALUE"""),44533.66666666667)</f>
        <v>44533.66667</v>
      </c>
      <c r="B1566" s="13">
        <f>IFERROR(__xludf.DUMMYFUNCTION("""COMPUTED_VALUE"""),4538.43)</f>
        <v>4538.43</v>
      </c>
      <c r="C1566" s="13">
        <f t="shared" si="1"/>
        <v>4621.485</v>
      </c>
      <c r="D1566" s="13">
        <f t="shared" si="2"/>
        <v>4537.31</v>
      </c>
      <c r="E1566" s="13" t="str">
        <f t="shared" si="3"/>
        <v>LONG</v>
      </c>
      <c r="F1566" s="3">
        <f t="shared" si="4"/>
        <v>-0.008448580979</v>
      </c>
      <c r="G1566" s="4">
        <f t="shared" si="5"/>
        <v>2.182609072</v>
      </c>
      <c r="H1566" s="3">
        <f t="shared" si="6"/>
        <v>-0.008448580979</v>
      </c>
      <c r="I1566" s="5">
        <f t="shared" si="7"/>
        <v>1.5981025</v>
      </c>
    </row>
    <row r="1567">
      <c r="A1567" s="12">
        <f>IFERROR(__xludf.DUMMYFUNCTION("""COMPUTED_VALUE"""),44536.66666666667)</f>
        <v>44536.66667</v>
      </c>
      <c r="B1567" s="13">
        <f>IFERROR(__xludf.DUMMYFUNCTION("""COMPUTED_VALUE"""),4591.67)</f>
        <v>4591.67</v>
      </c>
      <c r="C1567" s="13">
        <f t="shared" si="1"/>
        <v>4644.815</v>
      </c>
      <c r="D1567" s="13">
        <f t="shared" si="2"/>
        <v>4570.725</v>
      </c>
      <c r="E1567" s="13" t="str">
        <f t="shared" si="3"/>
        <v>LONG</v>
      </c>
      <c r="F1567" s="3">
        <f t="shared" si="4"/>
        <v>0.01173092898</v>
      </c>
      <c r="G1567" s="4">
        <f t="shared" si="5"/>
        <v>2.208213104</v>
      </c>
      <c r="H1567" s="3">
        <f t="shared" si="6"/>
        <v>0.01173092898</v>
      </c>
      <c r="I1567" s="5">
        <f t="shared" si="7"/>
        <v>1.616849727</v>
      </c>
    </row>
    <row r="1568">
      <c r="A1568" s="12">
        <f>IFERROR(__xludf.DUMMYFUNCTION("""COMPUTED_VALUE"""),44537.66666666667)</f>
        <v>44537.66667</v>
      </c>
      <c r="B1568" s="13">
        <f>IFERROR(__xludf.DUMMYFUNCTION("""COMPUTED_VALUE"""),4686.75)</f>
        <v>4686.75</v>
      </c>
      <c r="C1568" s="13">
        <f t="shared" si="1"/>
        <v>4684.845</v>
      </c>
      <c r="D1568" s="13">
        <f t="shared" si="2"/>
        <v>4615.825</v>
      </c>
      <c r="E1568" s="13" t="str">
        <f t="shared" si="3"/>
        <v>LONG</v>
      </c>
      <c r="F1568" s="3">
        <f t="shared" si="4"/>
        <v>0.02070706301</v>
      </c>
      <c r="G1568" s="4">
        <f t="shared" si="5"/>
        <v>2.253938712</v>
      </c>
      <c r="H1568" s="3">
        <f t="shared" si="6"/>
        <v>0.02070706301</v>
      </c>
      <c r="I1568" s="5">
        <f t="shared" si="7"/>
        <v>1.650329936</v>
      </c>
    </row>
    <row r="1569">
      <c r="A1569" s="12">
        <f>IFERROR(__xludf.DUMMYFUNCTION("""COMPUTED_VALUE"""),44538.66666666667)</f>
        <v>44538.66667</v>
      </c>
      <c r="B1569" s="13">
        <f>IFERROR(__xludf.DUMMYFUNCTION("""COMPUTED_VALUE"""),4701.21)</f>
        <v>4701.21</v>
      </c>
      <c r="C1569" s="13">
        <f t="shared" si="1"/>
        <v>4695.955</v>
      </c>
      <c r="D1569" s="13">
        <f t="shared" si="2"/>
        <v>4633.845</v>
      </c>
      <c r="E1569" s="13" t="str">
        <f t="shared" si="3"/>
        <v>LONG</v>
      </c>
      <c r="F1569" s="3">
        <f t="shared" si="4"/>
        <v>0.003085293647</v>
      </c>
      <c r="G1569" s="4">
        <f t="shared" si="5"/>
        <v>2.260892775</v>
      </c>
      <c r="H1569" s="3">
        <f t="shared" si="6"/>
        <v>0.003085293647</v>
      </c>
      <c r="I1569" s="5">
        <f t="shared" si="7"/>
        <v>1.655421688</v>
      </c>
    </row>
    <row r="1570">
      <c r="A1570" s="12">
        <f>IFERROR(__xludf.DUMMYFUNCTION("""COMPUTED_VALUE"""),44539.66666666667)</f>
        <v>44539.66667</v>
      </c>
      <c r="B1570" s="13">
        <f>IFERROR(__xludf.DUMMYFUNCTION("""COMPUTED_VALUE"""),4667.45)</f>
        <v>4667.45</v>
      </c>
      <c r="C1570" s="13">
        <f t="shared" si="1"/>
        <v>4684.455</v>
      </c>
      <c r="D1570" s="13">
        <f t="shared" si="2"/>
        <v>4621.12</v>
      </c>
      <c r="E1570" s="13" t="str">
        <f t="shared" si="3"/>
        <v>LONG</v>
      </c>
      <c r="F1570" s="3">
        <f t="shared" si="4"/>
        <v>-0.007181129964</v>
      </c>
      <c r="G1570" s="4">
        <f t="shared" si="5"/>
        <v>2.24465701</v>
      </c>
      <c r="H1570" s="3">
        <f t="shared" si="6"/>
        <v>-0.007181129964</v>
      </c>
      <c r="I1570" s="5">
        <f t="shared" si="7"/>
        <v>1.64353389</v>
      </c>
    </row>
    <row r="1571">
      <c r="A1571" s="12">
        <f>IFERROR(__xludf.DUMMYFUNCTION("""COMPUTED_VALUE"""),44540.66666666667)</f>
        <v>44540.66667</v>
      </c>
      <c r="B1571" s="13">
        <f>IFERROR(__xludf.DUMMYFUNCTION("""COMPUTED_VALUE"""),4712.02)</f>
        <v>4712.02</v>
      </c>
      <c r="C1571" s="13">
        <f t="shared" si="1"/>
        <v>4653.32</v>
      </c>
      <c r="D1571" s="13">
        <f t="shared" si="2"/>
        <v>4631.85</v>
      </c>
      <c r="E1571" s="13" t="str">
        <f t="shared" si="3"/>
        <v>LONG</v>
      </c>
      <c r="F1571" s="3">
        <f t="shared" si="4"/>
        <v>0.009549111399</v>
      </c>
      <c r="G1571" s="4">
        <f t="shared" si="5"/>
        <v>2.26609149</v>
      </c>
      <c r="H1571" s="3">
        <f t="shared" si="6"/>
        <v>0.009549111399</v>
      </c>
      <c r="I1571" s="5">
        <f t="shared" si="7"/>
        <v>1.659228178</v>
      </c>
    </row>
    <row r="1572">
      <c r="A1572" s="12">
        <f>IFERROR(__xludf.DUMMYFUNCTION("""COMPUTED_VALUE"""),44543.66666666667)</f>
        <v>44543.66667</v>
      </c>
      <c r="B1572" s="13">
        <f>IFERROR(__xludf.DUMMYFUNCTION("""COMPUTED_VALUE"""),4668.97)</f>
        <v>4668.97</v>
      </c>
      <c r="C1572" s="13">
        <f t="shared" si="1"/>
        <v>4662.12</v>
      </c>
      <c r="D1572" s="13">
        <f t="shared" si="2"/>
        <v>4632.695</v>
      </c>
      <c r="E1572" s="13" t="str">
        <f t="shared" si="3"/>
        <v>LONG</v>
      </c>
      <c r="F1572" s="3">
        <f t="shared" si="4"/>
        <v>-0.009136209099</v>
      </c>
      <c r="G1572" s="4">
        <f t="shared" si="5"/>
        <v>2.245388004</v>
      </c>
      <c r="H1572" s="3">
        <f t="shared" si="6"/>
        <v>-0.009136209099</v>
      </c>
      <c r="I1572" s="5">
        <f t="shared" si="7"/>
        <v>1.644069123</v>
      </c>
    </row>
    <row r="1573">
      <c r="A1573" s="12">
        <f>IFERROR(__xludf.DUMMYFUNCTION("""COMPUTED_VALUE"""),44544.66666666667)</f>
        <v>44544.66667</v>
      </c>
      <c r="B1573" s="13">
        <f>IFERROR(__xludf.DUMMYFUNCTION("""COMPUTED_VALUE"""),4634.09)</f>
        <v>4634.09</v>
      </c>
      <c r="C1573" s="13">
        <f t="shared" si="1"/>
        <v>4600.545</v>
      </c>
      <c r="D1573" s="13">
        <f t="shared" si="2"/>
        <v>4619.735</v>
      </c>
      <c r="E1573" s="13" t="str">
        <f t="shared" si="3"/>
        <v/>
      </c>
      <c r="F1573" s="3">
        <f t="shared" si="4"/>
        <v>-0.00747059844</v>
      </c>
      <c r="G1573" s="4">
        <f t="shared" si="5"/>
        <v>2.228613612</v>
      </c>
      <c r="H1573" s="5">
        <f t="shared" si="6"/>
        <v>0</v>
      </c>
      <c r="I1573" s="5">
        <f t="shared" si="7"/>
        <v>1.644069123</v>
      </c>
    </row>
    <row r="1574">
      <c r="A1574" s="12">
        <f>IFERROR(__xludf.DUMMYFUNCTION("""COMPUTED_VALUE"""),44545.66666666667)</f>
        <v>44545.66667</v>
      </c>
      <c r="B1574" s="13">
        <f>IFERROR(__xludf.DUMMYFUNCTION("""COMPUTED_VALUE"""),4709.85)</f>
        <v>4709.85</v>
      </c>
      <c r="C1574" s="13">
        <f t="shared" si="1"/>
        <v>4611.445</v>
      </c>
      <c r="D1574" s="13">
        <f t="shared" si="2"/>
        <v>4661.76</v>
      </c>
      <c r="E1574" s="13" t="str">
        <f t="shared" si="3"/>
        <v/>
      </c>
      <c r="F1574" s="3">
        <f t="shared" si="4"/>
        <v>0.01634840929</v>
      </c>
      <c r="G1574" s="4">
        <f t="shared" si="5"/>
        <v>2.265047899</v>
      </c>
      <c r="H1574" s="5">
        <f t="shared" si="6"/>
        <v>0</v>
      </c>
      <c r="I1574" s="5">
        <f t="shared" si="7"/>
        <v>1.644069123</v>
      </c>
    </row>
    <row r="1575">
      <c r="A1575" s="12">
        <f>IFERROR(__xludf.DUMMYFUNCTION("""COMPUTED_VALUE"""),44546.66666666667)</f>
        <v>44546.66667</v>
      </c>
      <c r="B1575" s="13">
        <f>IFERROR(__xludf.DUMMYFUNCTION("""COMPUTED_VALUE"""),4668.67)</f>
        <v>4668.67</v>
      </c>
      <c r="C1575" s="13">
        <f t="shared" si="1"/>
        <v>4622.885</v>
      </c>
      <c r="D1575" s="13">
        <f t="shared" si="2"/>
        <v>4649.66</v>
      </c>
      <c r="E1575" s="13" t="str">
        <f t="shared" si="3"/>
        <v/>
      </c>
      <c r="F1575" s="3">
        <f t="shared" si="4"/>
        <v>-0.008743378239</v>
      </c>
      <c r="G1575" s="4">
        <f t="shared" si="5"/>
        <v>2.245243729</v>
      </c>
      <c r="H1575" s="5">
        <f t="shared" si="6"/>
        <v>0</v>
      </c>
      <c r="I1575" s="5">
        <f t="shared" si="7"/>
        <v>1.644069123</v>
      </c>
    </row>
    <row r="1576">
      <c r="A1576" s="12">
        <f>IFERROR(__xludf.DUMMYFUNCTION("""COMPUTED_VALUE"""),44547.66666666667)</f>
        <v>44547.66667</v>
      </c>
      <c r="B1576" s="13">
        <f>IFERROR(__xludf.DUMMYFUNCTION("""COMPUTED_VALUE"""),4620.64)</f>
        <v>4620.64</v>
      </c>
      <c r="C1576" s="13">
        <f t="shared" si="1"/>
        <v>4579.535</v>
      </c>
      <c r="D1576" s="13">
        <f t="shared" si="2"/>
        <v>4640.605</v>
      </c>
      <c r="E1576" s="13" t="str">
        <f t="shared" si="3"/>
        <v/>
      </c>
      <c r="F1576" s="3">
        <f t="shared" si="4"/>
        <v>-0.01028772648</v>
      </c>
      <c r="G1576" s="4">
        <f t="shared" si="5"/>
        <v>2.222145275</v>
      </c>
      <c r="H1576" s="5">
        <f t="shared" si="6"/>
        <v>0</v>
      </c>
      <c r="I1576" s="5">
        <f t="shared" si="7"/>
        <v>1.644069123</v>
      </c>
    </row>
    <row r="1577">
      <c r="A1577" s="12">
        <f>IFERROR(__xludf.DUMMYFUNCTION("""COMPUTED_VALUE"""),44550.66666666667)</f>
        <v>44550.66667</v>
      </c>
      <c r="B1577" s="13">
        <f>IFERROR(__xludf.DUMMYFUNCTION("""COMPUTED_VALUE"""),4568.02)</f>
        <v>4568.02</v>
      </c>
      <c r="C1577" s="13">
        <f t="shared" si="1"/>
        <v>4579.845</v>
      </c>
      <c r="D1577" s="13">
        <f t="shared" si="2"/>
        <v>4624.04</v>
      </c>
      <c r="E1577" s="13" t="str">
        <f t="shared" si="3"/>
        <v/>
      </c>
      <c r="F1577" s="3">
        <f t="shared" si="4"/>
        <v>-0.01138803283</v>
      </c>
      <c r="G1577" s="4">
        <f t="shared" si="5"/>
        <v>2.196839412</v>
      </c>
      <c r="H1577" s="5">
        <f t="shared" si="6"/>
        <v>0</v>
      </c>
      <c r="I1577" s="5">
        <f t="shared" si="7"/>
        <v>1.644069123</v>
      </c>
    </row>
    <row r="1578">
      <c r="A1578" s="12">
        <f>IFERROR(__xludf.DUMMYFUNCTION("""COMPUTED_VALUE"""),44551.66666666667)</f>
        <v>44551.66667</v>
      </c>
      <c r="B1578" s="13">
        <f>IFERROR(__xludf.DUMMYFUNCTION("""COMPUTED_VALUE"""),4649.23)</f>
        <v>4649.23</v>
      </c>
      <c r="C1578" s="13">
        <f t="shared" si="1"/>
        <v>4667.99</v>
      </c>
      <c r="D1578" s="13">
        <f t="shared" si="2"/>
        <v>4673.38</v>
      </c>
      <c r="E1578" s="13" t="str">
        <f t="shared" si="3"/>
        <v/>
      </c>
      <c r="F1578" s="3">
        <f t="shared" si="4"/>
        <v>0.01777794318</v>
      </c>
      <c r="G1578" s="4">
        <f t="shared" si="5"/>
        <v>2.235894698</v>
      </c>
      <c r="H1578" s="5">
        <f t="shared" si="6"/>
        <v>0</v>
      </c>
      <c r="I1578" s="5">
        <f t="shared" si="7"/>
        <v>1.644069123</v>
      </c>
    </row>
    <row r="1579">
      <c r="A1579" s="12">
        <f>IFERROR(__xludf.DUMMYFUNCTION("""COMPUTED_VALUE"""),44552.66666666667)</f>
        <v>44552.66667</v>
      </c>
      <c r="B1579" s="13">
        <f>IFERROR(__xludf.DUMMYFUNCTION("""COMPUTED_VALUE"""),4696.56)</f>
        <v>4696.56</v>
      </c>
      <c r="C1579" s="13">
        <f t="shared" si="1"/>
        <v>4698.885</v>
      </c>
      <c r="D1579" s="13">
        <f t="shared" si="2"/>
        <v>4699.13</v>
      </c>
      <c r="E1579" s="13" t="str">
        <f t="shared" si="3"/>
        <v/>
      </c>
      <c r="F1579" s="3">
        <f t="shared" si="4"/>
        <v>0.01018018037</v>
      </c>
      <c r="G1579" s="4">
        <f t="shared" si="5"/>
        <v>2.25865651</v>
      </c>
      <c r="H1579" s="5">
        <f t="shared" si="6"/>
        <v>0</v>
      </c>
      <c r="I1579" s="5">
        <f t="shared" si="7"/>
        <v>1.644069123</v>
      </c>
    </row>
    <row r="1580">
      <c r="A1580" s="12">
        <f>IFERROR(__xludf.DUMMYFUNCTION("""COMPUTED_VALUE"""),44553.66666666667)</f>
        <v>44553.66667</v>
      </c>
      <c r="B1580" s="13">
        <f>IFERROR(__xludf.DUMMYFUNCTION("""COMPUTED_VALUE"""),4725.79)</f>
        <v>4725.79</v>
      </c>
      <c r="C1580" s="13">
        <f t="shared" si="1"/>
        <v>4696.62</v>
      </c>
      <c r="D1580" s="13">
        <f t="shared" si="2"/>
        <v>4705.52</v>
      </c>
      <c r="E1580" s="13" t="str">
        <f t="shared" si="3"/>
        <v/>
      </c>
      <c r="F1580" s="3">
        <f t="shared" si="4"/>
        <v>0.006223704158</v>
      </c>
      <c r="G1580" s="4">
        <f t="shared" si="5"/>
        <v>2.27271372</v>
      </c>
      <c r="H1580" s="5">
        <f t="shared" si="6"/>
        <v>0</v>
      </c>
      <c r="I1580" s="5">
        <f t="shared" si="7"/>
        <v>1.644069123</v>
      </c>
    </row>
    <row r="1581">
      <c r="A1581" s="12">
        <f>IFERROR(__xludf.DUMMYFUNCTION("""COMPUTED_VALUE"""),44557.66666666667)</f>
        <v>44557.66667</v>
      </c>
      <c r="B1581" s="13">
        <f>IFERROR(__xludf.DUMMYFUNCTION("""COMPUTED_VALUE"""),4791.19)</f>
        <v>4791.19</v>
      </c>
      <c r="C1581" s="13">
        <f t="shared" si="1"/>
        <v>4751.605</v>
      </c>
      <c r="D1581" s="13">
        <f t="shared" si="2"/>
        <v>4718.95</v>
      </c>
      <c r="E1581" s="13" t="str">
        <f t="shared" si="3"/>
        <v>LONG</v>
      </c>
      <c r="F1581" s="3">
        <f t="shared" si="4"/>
        <v>0.01383895603</v>
      </c>
      <c r="G1581" s="4">
        <f t="shared" si="5"/>
        <v>2.304165705</v>
      </c>
      <c r="H1581" s="3">
        <f t="shared" si="6"/>
        <v>0.01383895603</v>
      </c>
      <c r="I1581" s="5">
        <f t="shared" si="7"/>
        <v>1.666821323</v>
      </c>
    </row>
    <row r="1582">
      <c r="A1582" s="12">
        <f>IFERROR(__xludf.DUMMYFUNCTION("""COMPUTED_VALUE"""),44558.66666666667)</f>
        <v>44558.66667</v>
      </c>
      <c r="B1582" s="13">
        <f>IFERROR(__xludf.DUMMYFUNCTION("""COMPUTED_VALUE"""),4786.35)</f>
        <v>4786.35</v>
      </c>
      <c r="C1582" s="13">
        <f t="shared" si="1"/>
        <v>4727.66</v>
      </c>
      <c r="D1582" s="13">
        <f t="shared" si="2"/>
        <v>4717.81</v>
      </c>
      <c r="E1582" s="13" t="str">
        <f t="shared" si="3"/>
        <v>LONG</v>
      </c>
      <c r="F1582" s="3">
        <f t="shared" si="4"/>
        <v>-0.001010187448</v>
      </c>
      <c r="G1582" s="4">
        <f t="shared" si="5"/>
        <v>2.301838066</v>
      </c>
      <c r="H1582" s="3">
        <f t="shared" si="6"/>
        <v>-0.001010187448</v>
      </c>
      <c r="I1582" s="5">
        <f t="shared" si="7"/>
        <v>1.665137521</v>
      </c>
    </row>
    <row r="1583">
      <c r="A1583" s="12">
        <f>IFERROR(__xludf.DUMMYFUNCTION("""COMPUTED_VALUE"""),44559.66666666667)</f>
        <v>44559.66667</v>
      </c>
      <c r="B1583" s="13">
        <f>IFERROR(__xludf.DUMMYFUNCTION("""COMPUTED_VALUE"""),4793.06)</f>
        <v>4793.06</v>
      </c>
      <c r="C1583" s="13">
        <f t="shared" si="1"/>
        <v>4713.575</v>
      </c>
      <c r="D1583" s="13">
        <f t="shared" si="2"/>
        <v>4737.955</v>
      </c>
      <c r="E1583" s="13" t="str">
        <f t="shared" si="3"/>
        <v/>
      </c>
      <c r="F1583" s="3">
        <f t="shared" si="4"/>
        <v>0.001401903329</v>
      </c>
      <c r="G1583" s="4">
        <f t="shared" si="5"/>
        <v>2.30506502</v>
      </c>
      <c r="H1583" s="5">
        <f t="shared" si="6"/>
        <v>0</v>
      </c>
      <c r="I1583" s="5">
        <f t="shared" si="7"/>
        <v>1.665137521</v>
      </c>
    </row>
    <row r="1584">
      <c r="A1584" s="12">
        <f>IFERROR(__xludf.DUMMYFUNCTION("""COMPUTED_VALUE"""),44560.66666666667)</f>
        <v>44560.66667</v>
      </c>
      <c r="B1584" s="13">
        <f>IFERROR(__xludf.DUMMYFUNCTION("""COMPUTED_VALUE"""),4778.73)</f>
        <v>4778.73</v>
      </c>
      <c r="C1584" s="13">
        <f t="shared" si="1"/>
        <v>4744.29</v>
      </c>
      <c r="D1584" s="13">
        <f t="shared" si="2"/>
        <v>4730.765</v>
      </c>
      <c r="E1584" s="13" t="str">
        <f t="shared" si="3"/>
        <v>LONG</v>
      </c>
      <c r="F1584" s="3">
        <f t="shared" si="4"/>
        <v>-0.002989739331</v>
      </c>
      <c r="G1584" s="4">
        <f t="shared" si="5"/>
        <v>2.298173476</v>
      </c>
      <c r="H1584" s="3">
        <f t="shared" si="6"/>
        <v>-0.002989739331</v>
      </c>
      <c r="I1584" s="5">
        <f t="shared" si="7"/>
        <v>1.660159194</v>
      </c>
    </row>
    <row r="1585">
      <c r="A1585" s="12">
        <f>IFERROR(__xludf.DUMMYFUNCTION("""COMPUTED_VALUE"""),44561.66666666667)</f>
        <v>44561.66667</v>
      </c>
      <c r="B1585" s="13">
        <f>IFERROR(__xludf.DUMMYFUNCTION("""COMPUTED_VALUE"""),4766.18)</f>
        <v>4766.18</v>
      </c>
      <c r="C1585" s="13">
        <f t="shared" si="1"/>
        <v>4717.425</v>
      </c>
      <c r="D1585" s="13">
        <f t="shared" si="2"/>
        <v>4733.54</v>
      </c>
      <c r="E1585" s="13" t="str">
        <f t="shared" si="3"/>
        <v/>
      </c>
      <c r="F1585" s="3">
        <f t="shared" si="4"/>
        <v>-0.002626220774</v>
      </c>
      <c r="G1585" s="4">
        <f t="shared" si="5"/>
        <v>2.292137966</v>
      </c>
      <c r="H1585" s="5">
        <f t="shared" si="6"/>
        <v>0</v>
      </c>
      <c r="I1585" s="5">
        <f t="shared" si="7"/>
        <v>1.660159194</v>
      </c>
    </row>
    <row r="1586">
      <c r="A1586" s="12">
        <f>IFERROR(__xludf.DUMMYFUNCTION("""COMPUTED_VALUE"""),44564.66666666667)</f>
        <v>44564.66667</v>
      </c>
      <c r="B1586" s="13">
        <f>IFERROR(__xludf.DUMMYFUNCTION("""COMPUTED_VALUE"""),4796.56)</f>
        <v>4796.56</v>
      </c>
      <c r="C1586" s="13">
        <f t="shared" si="1"/>
        <v>4708.6</v>
      </c>
      <c r="D1586" s="13">
        <f t="shared" si="2"/>
        <v>4742.615</v>
      </c>
      <c r="E1586" s="13" t="str">
        <f t="shared" si="3"/>
        <v/>
      </c>
      <c r="F1586" s="3">
        <f t="shared" si="4"/>
        <v>0.006374077353</v>
      </c>
      <c r="G1586" s="4">
        <f t="shared" si="5"/>
        <v>2.30674823</v>
      </c>
      <c r="H1586" s="5">
        <f t="shared" si="6"/>
        <v>0</v>
      </c>
      <c r="I1586" s="5">
        <f t="shared" si="7"/>
        <v>1.660159194</v>
      </c>
    </row>
    <row r="1587">
      <c r="A1587" s="12">
        <f>IFERROR(__xludf.DUMMYFUNCTION("""COMPUTED_VALUE"""),44565.66666666667)</f>
        <v>44565.66667</v>
      </c>
      <c r="B1587" s="13">
        <f>IFERROR(__xludf.DUMMYFUNCTION("""COMPUTED_VALUE"""),4793.54)</f>
        <v>4793.54</v>
      </c>
      <c r="C1587" s="13">
        <f t="shared" si="1"/>
        <v>4680.78</v>
      </c>
      <c r="D1587" s="13">
        <f t="shared" si="2"/>
        <v>4749.04</v>
      </c>
      <c r="E1587" s="13" t="str">
        <f t="shared" si="3"/>
        <v/>
      </c>
      <c r="F1587" s="3">
        <f t="shared" si="4"/>
        <v>-0.0006296178928</v>
      </c>
      <c r="G1587" s="4">
        <f t="shared" si="5"/>
        <v>2.30529586</v>
      </c>
      <c r="H1587" s="5">
        <f t="shared" si="6"/>
        <v>0</v>
      </c>
      <c r="I1587" s="5">
        <f t="shared" si="7"/>
        <v>1.660159194</v>
      </c>
    </row>
    <row r="1588">
      <c r="A1588" s="12">
        <f>IFERROR(__xludf.DUMMYFUNCTION("""COMPUTED_VALUE"""),44566.66666666667)</f>
        <v>44566.66667</v>
      </c>
      <c r="B1588" s="13">
        <f>IFERROR(__xludf.DUMMYFUNCTION("""COMPUTED_VALUE"""),4700.58)</f>
        <v>4700.58</v>
      </c>
      <c r="C1588" s="13">
        <f t="shared" si="1"/>
        <v>4674.905</v>
      </c>
      <c r="D1588" s="13">
        <f t="shared" si="2"/>
        <v>4699.27</v>
      </c>
      <c r="E1588" s="13" t="str">
        <f t="shared" si="3"/>
        <v/>
      </c>
      <c r="F1588" s="3">
        <f t="shared" si="4"/>
        <v>-0.0193927661</v>
      </c>
      <c r="G1588" s="4">
        <f t="shared" si="5"/>
        <v>2.260589797</v>
      </c>
      <c r="H1588" s="5">
        <f t="shared" si="6"/>
        <v>0</v>
      </c>
      <c r="I1588" s="5">
        <f t="shared" si="7"/>
        <v>1.660159194</v>
      </c>
    </row>
    <row r="1589">
      <c r="A1589" s="12">
        <f>IFERROR(__xludf.DUMMYFUNCTION("""COMPUTED_VALUE"""),44567.66666666667)</f>
        <v>44567.66667</v>
      </c>
      <c r="B1589" s="13">
        <f>IFERROR(__xludf.DUMMYFUNCTION("""COMPUTED_VALUE"""),4696.05)</f>
        <v>4696.05</v>
      </c>
      <c r="C1589" s="13">
        <f t="shared" si="1"/>
        <v>4696.305</v>
      </c>
      <c r="D1589" s="13">
        <f t="shared" si="2"/>
        <v>4689.495</v>
      </c>
      <c r="E1589" s="13" t="str">
        <f t="shared" si="3"/>
        <v>LONG</v>
      </c>
      <c r="F1589" s="3">
        <f t="shared" si="4"/>
        <v>-0.0009637108612</v>
      </c>
      <c r="G1589" s="4">
        <f t="shared" si="5"/>
        <v>2.258411242</v>
      </c>
      <c r="H1589" s="3">
        <f t="shared" si="6"/>
        <v>-0.0009637108612</v>
      </c>
      <c r="I1589" s="5">
        <f t="shared" si="7"/>
        <v>1.65855928</v>
      </c>
    </row>
    <row r="1590">
      <c r="A1590" s="12">
        <f>IFERROR(__xludf.DUMMYFUNCTION("""COMPUTED_VALUE"""),44568.66666666667)</f>
        <v>44568.66667</v>
      </c>
      <c r="B1590" s="13">
        <f>IFERROR(__xludf.DUMMYFUNCTION("""COMPUTED_VALUE"""),4677.03)</f>
        <v>4677.03</v>
      </c>
      <c r="C1590" s="13">
        <f t="shared" si="1"/>
        <v>4701.41</v>
      </c>
      <c r="D1590" s="13">
        <f t="shared" si="2"/>
        <v>4683.865</v>
      </c>
      <c r="E1590" s="13" t="str">
        <f t="shared" si="3"/>
        <v>LONG</v>
      </c>
      <c r="F1590" s="3">
        <f t="shared" si="4"/>
        <v>-0.004050212413</v>
      </c>
      <c r="G1590" s="4">
        <f t="shared" si="5"/>
        <v>2.249264197</v>
      </c>
      <c r="H1590" s="3">
        <f t="shared" si="6"/>
        <v>-0.004050212413</v>
      </c>
      <c r="I1590" s="5">
        <f t="shared" si="7"/>
        <v>1.651841763</v>
      </c>
    </row>
    <row r="1591">
      <c r="A1591" s="12">
        <f>IFERROR(__xludf.DUMMYFUNCTION("""COMPUTED_VALUE"""),44571.66666666667)</f>
        <v>44571.66667</v>
      </c>
      <c r="B1591" s="13">
        <f>IFERROR(__xludf.DUMMYFUNCTION("""COMPUTED_VALUE"""),4670.29)</f>
        <v>4670.29</v>
      </c>
      <c r="C1591" s="13">
        <f t="shared" si="1"/>
        <v>4730.74</v>
      </c>
      <c r="D1591" s="13">
        <f t="shared" si="2"/>
        <v>4685.875</v>
      </c>
      <c r="E1591" s="13" t="str">
        <f t="shared" si="3"/>
        <v>LONG</v>
      </c>
      <c r="F1591" s="3">
        <f t="shared" si="4"/>
        <v>-0.001441085475</v>
      </c>
      <c r="G1591" s="4">
        <f t="shared" si="5"/>
        <v>2.246022815</v>
      </c>
      <c r="H1591" s="3">
        <f t="shared" si="6"/>
        <v>-0.001441085475</v>
      </c>
      <c r="I1591" s="5">
        <f t="shared" si="7"/>
        <v>1.649461318</v>
      </c>
    </row>
    <row r="1592">
      <c r="A1592" s="12">
        <f>IFERROR(__xludf.DUMMYFUNCTION("""COMPUTED_VALUE"""),44572.66666666667)</f>
        <v>44572.66667</v>
      </c>
      <c r="B1592" s="13">
        <f>IFERROR(__xludf.DUMMYFUNCTION("""COMPUTED_VALUE"""),4713.07)</f>
        <v>4713.07</v>
      </c>
      <c r="C1592" s="13">
        <f t="shared" si="1"/>
        <v>4749.71</v>
      </c>
      <c r="D1592" s="13">
        <f t="shared" si="2"/>
        <v>4653.845</v>
      </c>
      <c r="E1592" s="13" t="str">
        <f t="shared" si="3"/>
        <v>LONG</v>
      </c>
      <c r="F1592" s="3">
        <f t="shared" si="4"/>
        <v>0.009160030748</v>
      </c>
      <c r="G1592" s="4">
        <f t="shared" si="5"/>
        <v>2.266596453</v>
      </c>
      <c r="H1592" s="3">
        <f t="shared" si="6"/>
        <v>0.009160030748</v>
      </c>
      <c r="I1592" s="5">
        <f t="shared" si="7"/>
        <v>1.664570434</v>
      </c>
    </row>
    <row r="1593">
      <c r="A1593" s="12">
        <f>IFERROR(__xludf.DUMMYFUNCTION("""COMPUTED_VALUE"""),44573.66666666667)</f>
        <v>44573.66667</v>
      </c>
      <c r="B1593" s="13">
        <f>IFERROR(__xludf.DUMMYFUNCTION("""COMPUTED_VALUE"""),4726.35)</f>
        <v>4726.35</v>
      </c>
      <c r="C1593" s="13">
        <f t="shared" si="1"/>
        <v>4759.705</v>
      </c>
      <c r="D1593" s="13">
        <f t="shared" si="2"/>
        <v>4690.81</v>
      </c>
      <c r="E1593" s="13" t="str">
        <f t="shared" si="3"/>
        <v>LONG</v>
      </c>
      <c r="F1593" s="3">
        <f t="shared" si="4"/>
        <v>0.002817696321</v>
      </c>
      <c r="G1593" s="4">
        <f t="shared" si="5"/>
        <v>2.272983033</v>
      </c>
      <c r="H1593" s="3">
        <f t="shared" si="6"/>
        <v>0.002817696321</v>
      </c>
      <c r="I1593" s="5">
        <f t="shared" si="7"/>
        <v>1.669260688</v>
      </c>
    </row>
    <row r="1594">
      <c r="A1594" s="12">
        <f>IFERROR(__xludf.DUMMYFUNCTION("""COMPUTED_VALUE"""),44574.66666666667)</f>
        <v>44574.66667</v>
      </c>
      <c r="B1594" s="13">
        <f>IFERROR(__xludf.DUMMYFUNCTION("""COMPUTED_VALUE"""),4659.03)</f>
        <v>4659.03</v>
      </c>
      <c r="C1594" s="13">
        <f t="shared" si="1"/>
        <v>4718.88</v>
      </c>
      <c r="D1594" s="13">
        <f t="shared" si="2"/>
        <v>4613.015</v>
      </c>
      <c r="E1594" s="13" t="str">
        <f t="shared" si="3"/>
        <v>LONG</v>
      </c>
      <c r="F1594" s="3">
        <f t="shared" si="4"/>
        <v>-0.01424354946</v>
      </c>
      <c r="G1594" s="4">
        <f t="shared" si="5"/>
        <v>2.240607687</v>
      </c>
      <c r="H1594" s="3">
        <f t="shared" si="6"/>
        <v>-0.01424354946</v>
      </c>
      <c r="I1594" s="5">
        <f t="shared" si="7"/>
        <v>1.645484491</v>
      </c>
    </row>
    <row r="1595">
      <c r="A1595" s="12">
        <f>IFERROR(__xludf.DUMMYFUNCTION("""COMPUTED_VALUE"""),44575.66666666667)</f>
        <v>44575.66667</v>
      </c>
      <c r="B1595" s="13">
        <f>IFERROR(__xludf.DUMMYFUNCTION("""COMPUTED_VALUE"""),4662.85)</f>
        <v>4662.85</v>
      </c>
      <c r="C1595" s="13">
        <f t="shared" si="1"/>
        <v>4714.515</v>
      </c>
      <c r="D1595" s="13">
        <f t="shared" si="2"/>
        <v>4587.945</v>
      </c>
      <c r="E1595" s="13" t="str">
        <f t="shared" si="3"/>
        <v>LONG</v>
      </c>
      <c r="F1595" s="3">
        <f t="shared" si="4"/>
        <v>0.0008199131579</v>
      </c>
      <c r="G1595" s="4">
        <f t="shared" si="5"/>
        <v>2.242444791</v>
      </c>
      <c r="H1595" s="3">
        <f t="shared" si="6"/>
        <v>0.0008199131579</v>
      </c>
      <c r="I1595" s="5">
        <f t="shared" si="7"/>
        <v>1.646833645</v>
      </c>
    </row>
    <row r="1596">
      <c r="A1596" s="12">
        <f>IFERROR(__xludf.DUMMYFUNCTION("""COMPUTED_VALUE"""),44579.66666666667)</f>
        <v>44579.66667</v>
      </c>
      <c r="B1596" s="13">
        <f>IFERROR(__xludf.DUMMYFUNCTION("""COMPUTED_VALUE"""),4577.11)</f>
        <v>4577.11</v>
      </c>
      <c r="C1596" s="13">
        <f t="shared" si="1"/>
        <v>4686.835</v>
      </c>
      <c r="D1596" s="13">
        <f t="shared" si="2"/>
        <v>4577.105</v>
      </c>
      <c r="E1596" s="13" t="str">
        <f t="shared" si="3"/>
        <v>LONG</v>
      </c>
      <c r="F1596" s="3">
        <f t="shared" si="4"/>
        <v>-0.01838789581</v>
      </c>
      <c r="G1596" s="4">
        <f t="shared" si="5"/>
        <v>2.20121095</v>
      </c>
      <c r="H1596" s="3">
        <f t="shared" si="6"/>
        <v>-0.01838789581</v>
      </c>
      <c r="I1596" s="5">
        <f t="shared" si="7"/>
        <v>1.61655184</v>
      </c>
    </row>
    <row r="1597">
      <c r="A1597" s="12">
        <f>IFERROR(__xludf.DUMMYFUNCTION("""COMPUTED_VALUE"""),44580.66666666667)</f>
        <v>44580.66667</v>
      </c>
      <c r="B1597" s="13">
        <f>IFERROR(__xludf.DUMMYFUNCTION("""COMPUTED_VALUE"""),4532.76)</f>
        <v>4532.76</v>
      </c>
      <c r="C1597" s="13">
        <f t="shared" si="1"/>
        <v>4663.15</v>
      </c>
      <c r="D1597" s="13">
        <f t="shared" si="2"/>
        <v>4535.595</v>
      </c>
      <c r="E1597" s="13" t="str">
        <f t="shared" si="3"/>
        <v>LONG</v>
      </c>
      <c r="F1597" s="3">
        <f t="shared" si="4"/>
        <v>-0.009689520243</v>
      </c>
      <c r="G1597" s="4">
        <f t="shared" si="5"/>
        <v>2.179882271</v>
      </c>
      <c r="H1597" s="3">
        <f t="shared" si="6"/>
        <v>-0.009689520243</v>
      </c>
      <c r="I1597" s="5">
        <f t="shared" si="7"/>
        <v>1.600888228</v>
      </c>
    </row>
    <row r="1598">
      <c r="A1598" s="12">
        <f>IFERROR(__xludf.DUMMYFUNCTION("""COMPUTED_VALUE"""),44581.66666666667)</f>
        <v>44581.66667</v>
      </c>
      <c r="B1598" s="13">
        <f>IFERROR(__xludf.DUMMYFUNCTION("""COMPUTED_VALUE"""),4482.73)</f>
        <v>4482.73</v>
      </c>
      <c r="C1598" s="13">
        <f t="shared" si="1"/>
        <v>4591.655</v>
      </c>
      <c r="D1598" s="13">
        <f t="shared" si="2"/>
        <v>4537.2</v>
      </c>
      <c r="E1598" s="13" t="str">
        <f t="shared" si="3"/>
        <v>LONG</v>
      </c>
      <c r="F1598" s="3">
        <f t="shared" si="4"/>
        <v>-0.01103742532</v>
      </c>
      <c r="G1598" s="4">
        <f t="shared" si="5"/>
        <v>2.155821984</v>
      </c>
      <c r="H1598" s="3">
        <f t="shared" si="6"/>
        <v>-0.01103742532</v>
      </c>
      <c r="I1598" s="5">
        <f t="shared" si="7"/>
        <v>1.583218544</v>
      </c>
    </row>
    <row r="1599">
      <c r="A1599" s="12">
        <f>IFERROR(__xludf.DUMMYFUNCTION("""COMPUTED_VALUE"""),44582.66666666667)</f>
        <v>44582.66667</v>
      </c>
      <c r="B1599" s="13">
        <f>IFERROR(__xludf.DUMMYFUNCTION("""COMPUTED_VALUE"""),4397.94)</f>
        <v>4397.94</v>
      </c>
      <c r="C1599" s="13">
        <f t="shared" si="1"/>
        <v>4546.995</v>
      </c>
      <c r="D1599" s="13">
        <f t="shared" si="2"/>
        <v>4542.345</v>
      </c>
      <c r="E1599" s="13" t="str">
        <f t="shared" si="3"/>
        <v>LONG</v>
      </c>
      <c r="F1599" s="3">
        <f t="shared" si="4"/>
        <v>-0.01891481307</v>
      </c>
      <c r="G1599" s="4">
        <f t="shared" si="5"/>
        <v>2.115045014</v>
      </c>
      <c r="H1599" s="3">
        <f t="shared" si="6"/>
        <v>-0.01891481307</v>
      </c>
      <c r="I1599" s="5">
        <f t="shared" si="7"/>
        <v>1.553272261</v>
      </c>
    </row>
    <row r="1600">
      <c r="A1600" s="12">
        <f>IFERROR(__xludf.DUMMYFUNCTION("""COMPUTED_VALUE"""),44585.66666666667)</f>
        <v>44585.66667</v>
      </c>
      <c r="B1600" s="13">
        <f>IFERROR(__xludf.DUMMYFUNCTION("""COMPUTED_VALUE"""),4410.13)</f>
        <v>4410.13</v>
      </c>
      <c r="C1600" s="13">
        <f t="shared" si="1"/>
        <v>4543.58</v>
      </c>
      <c r="D1600" s="13">
        <f t="shared" si="2"/>
        <v>4555.67</v>
      </c>
      <c r="E1600" s="13" t="str">
        <f t="shared" si="3"/>
        <v/>
      </c>
      <c r="F1600" s="3">
        <f t="shared" si="4"/>
        <v>0.002771752229</v>
      </c>
      <c r="G1600" s="4">
        <f t="shared" si="5"/>
        <v>2.120907395</v>
      </c>
      <c r="H1600" s="5">
        <f t="shared" si="6"/>
        <v>0</v>
      </c>
      <c r="I1600" s="5">
        <f t="shared" si="7"/>
        <v>1.553272261</v>
      </c>
    </row>
    <row r="1601">
      <c r="A1601" s="12">
        <f>IFERROR(__xludf.DUMMYFUNCTION("""COMPUTED_VALUE"""),44586.66666666667)</f>
        <v>44586.66667</v>
      </c>
      <c r="B1601" s="13">
        <f>IFERROR(__xludf.DUMMYFUNCTION("""COMPUTED_VALUE"""),4356.45)</f>
        <v>4356.45</v>
      </c>
      <c r="C1601" s="13">
        <f t="shared" si="1"/>
        <v>4513.37</v>
      </c>
      <c r="D1601" s="13">
        <f t="shared" si="2"/>
        <v>4511.95</v>
      </c>
      <c r="E1601" s="13" t="str">
        <f t="shared" si="3"/>
        <v>LONG</v>
      </c>
      <c r="F1601" s="3">
        <f t="shared" si="4"/>
        <v>-0.01217197679</v>
      </c>
      <c r="G1601" s="4">
        <f t="shared" si="5"/>
        <v>2.095091759</v>
      </c>
      <c r="H1601" s="3">
        <f t="shared" si="6"/>
        <v>-0.01217197679</v>
      </c>
      <c r="I1601" s="5">
        <f t="shared" si="7"/>
        <v>1.534365867</v>
      </c>
    </row>
    <row r="1602">
      <c r="A1602" s="12">
        <f>IFERROR(__xludf.DUMMYFUNCTION("""COMPUTED_VALUE"""),44587.66666666667)</f>
        <v>44587.66667</v>
      </c>
      <c r="B1602" s="13">
        <f>IFERROR(__xludf.DUMMYFUNCTION("""COMPUTED_VALUE"""),4349.93)</f>
        <v>4349.93</v>
      </c>
      <c r="C1602" s="13">
        <f t="shared" si="1"/>
        <v>4531.5</v>
      </c>
      <c r="D1602" s="13">
        <f t="shared" si="2"/>
        <v>4530.975</v>
      </c>
      <c r="E1602" s="13" t="str">
        <f t="shared" si="3"/>
        <v>LONG</v>
      </c>
      <c r="F1602" s="3">
        <f t="shared" si="4"/>
        <v>-0.001496631432</v>
      </c>
      <c r="G1602" s="4">
        <f t="shared" si="5"/>
        <v>2.091956179</v>
      </c>
      <c r="H1602" s="3">
        <f t="shared" si="6"/>
        <v>-0.001496631432</v>
      </c>
      <c r="I1602" s="5">
        <f t="shared" si="7"/>
        <v>1.532069487</v>
      </c>
    </row>
    <row r="1603">
      <c r="A1603" s="12">
        <f>IFERROR(__xludf.DUMMYFUNCTION("""COMPUTED_VALUE"""),44588.66666666667)</f>
        <v>44588.66667</v>
      </c>
      <c r="B1603" s="13">
        <f>IFERROR(__xludf.DUMMYFUNCTION("""COMPUTED_VALUE"""),4326.51)</f>
        <v>4326.51</v>
      </c>
      <c r="C1603" s="13">
        <f t="shared" si="1"/>
        <v>4526.43</v>
      </c>
      <c r="D1603" s="13">
        <f t="shared" si="2"/>
        <v>4497.74</v>
      </c>
      <c r="E1603" s="13" t="str">
        <f t="shared" si="3"/>
        <v>LONG</v>
      </c>
      <c r="F1603" s="3">
        <f t="shared" si="4"/>
        <v>-0.005383994685</v>
      </c>
      <c r="G1603" s="4">
        <f t="shared" si="5"/>
        <v>2.080693098</v>
      </c>
      <c r="H1603" s="3">
        <f t="shared" si="6"/>
        <v>-0.005383994685</v>
      </c>
      <c r="I1603" s="5">
        <f t="shared" si="7"/>
        <v>1.523820833</v>
      </c>
    </row>
    <row r="1604">
      <c r="A1604" s="12">
        <f>IFERROR(__xludf.DUMMYFUNCTION("""COMPUTED_VALUE"""),44589.66666666667)</f>
        <v>44589.66667</v>
      </c>
      <c r="B1604" s="13">
        <f>IFERROR(__xludf.DUMMYFUNCTION("""COMPUTED_VALUE"""),4431.85)</f>
        <v>4431.85</v>
      </c>
      <c r="C1604" s="13">
        <f t="shared" si="1"/>
        <v>4545.44</v>
      </c>
      <c r="D1604" s="13">
        <f t="shared" si="2"/>
        <v>4532.97</v>
      </c>
      <c r="E1604" s="13" t="str">
        <f t="shared" si="3"/>
        <v>LONG</v>
      </c>
      <c r="F1604" s="3">
        <f t="shared" si="4"/>
        <v>0.02434756883</v>
      </c>
      <c r="G1604" s="4">
        <f t="shared" si="5"/>
        <v>2.131352916</v>
      </c>
      <c r="H1604" s="3">
        <f t="shared" si="6"/>
        <v>0.02434756883</v>
      </c>
      <c r="I1604" s="5">
        <f t="shared" si="7"/>
        <v>1.560922165</v>
      </c>
    </row>
    <row r="1605">
      <c r="A1605" s="12">
        <f>IFERROR(__xludf.DUMMYFUNCTION("""COMPUTED_VALUE"""),44592.66666666667)</f>
        <v>44592.66667</v>
      </c>
      <c r="B1605" s="13">
        <f>IFERROR(__xludf.DUMMYFUNCTION("""COMPUTED_VALUE"""),4515.55)</f>
        <v>4515.55</v>
      </c>
      <c r="C1605" s="13">
        <f t="shared" si="1"/>
        <v>4589.2</v>
      </c>
      <c r="D1605" s="13">
        <f t="shared" si="2"/>
        <v>4612.7</v>
      </c>
      <c r="E1605" s="13" t="str">
        <f t="shared" si="3"/>
        <v/>
      </c>
      <c r="F1605" s="3">
        <f t="shared" si="4"/>
        <v>0.01888601825</v>
      </c>
      <c r="G1605" s="4">
        <f t="shared" si="5"/>
        <v>2.171605686</v>
      </c>
      <c r="H1605" s="5">
        <f t="shared" si="6"/>
        <v>0</v>
      </c>
      <c r="I1605" s="5">
        <f t="shared" si="7"/>
        <v>1.560922165</v>
      </c>
    </row>
    <row r="1606">
      <c r="A1606" s="12">
        <f>IFERROR(__xludf.DUMMYFUNCTION("""COMPUTED_VALUE"""),44593.66666666667)</f>
        <v>44593.66667</v>
      </c>
      <c r="B1606" s="13">
        <f>IFERROR(__xludf.DUMMYFUNCTION("""COMPUTED_VALUE"""),4546.54)</f>
        <v>4546.54</v>
      </c>
      <c r="C1606" s="13">
        <f t="shared" si="1"/>
        <v>4561.825</v>
      </c>
      <c r="D1606" s="13">
        <f t="shared" si="2"/>
        <v>4607.605</v>
      </c>
      <c r="E1606" s="13" t="str">
        <f t="shared" si="3"/>
        <v/>
      </c>
      <c r="F1606" s="3">
        <f t="shared" si="4"/>
        <v>0.006862951357</v>
      </c>
      <c r="G1606" s="4">
        <f t="shared" si="5"/>
        <v>2.186509311</v>
      </c>
      <c r="H1606" s="5">
        <f t="shared" si="6"/>
        <v>0</v>
      </c>
      <c r="I1606" s="5">
        <f t="shared" si="7"/>
        <v>1.560922165</v>
      </c>
    </row>
    <row r="1607">
      <c r="A1607" s="12">
        <f>IFERROR(__xludf.DUMMYFUNCTION("""COMPUTED_VALUE"""),44594.66666666667)</f>
        <v>44594.66667</v>
      </c>
      <c r="B1607" s="13">
        <f>IFERROR(__xludf.DUMMYFUNCTION("""COMPUTED_VALUE"""),4589.38)</f>
        <v>4589.38</v>
      </c>
      <c r="C1607" s="13">
        <f t="shared" si="1"/>
        <v>4561.07</v>
      </c>
      <c r="D1607" s="13">
        <f t="shared" si="2"/>
        <v>4605.01</v>
      </c>
      <c r="E1607" s="13" t="str">
        <f t="shared" si="3"/>
        <v/>
      </c>
      <c r="F1607" s="3">
        <f t="shared" si="4"/>
        <v>0.009422549895</v>
      </c>
      <c r="G1607" s="4">
        <f t="shared" si="5"/>
        <v>2.207111804</v>
      </c>
      <c r="H1607" s="5">
        <f t="shared" si="6"/>
        <v>0</v>
      </c>
      <c r="I1607" s="5">
        <f t="shared" si="7"/>
        <v>1.560922165</v>
      </c>
    </row>
    <row r="1608">
      <c r="A1608" s="12">
        <f>IFERROR(__xludf.DUMMYFUNCTION("""COMPUTED_VALUE"""),44595.66666666667)</f>
        <v>44595.66667</v>
      </c>
      <c r="B1608" s="13">
        <f>IFERROR(__xludf.DUMMYFUNCTION("""COMPUTED_VALUE"""),4477.44)</f>
        <v>4477.44</v>
      </c>
      <c r="C1608" s="13">
        <f t="shared" si="1"/>
        <v>4480.085</v>
      </c>
      <c r="D1608" s="13">
        <f t="shared" si="2"/>
        <v>4522.73</v>
      </c>
      <c r="E1608" s="13" t="str">
        <f t="shared" si="3"/>
        <v/>
      </c>
      <c r="F1608" s="3">
        <f t="shared" si="4"/>
        <v>-0.02439109422</v>
      </c>
      <c r="G1608" s="4">
        <f t="shared" si="5"/>
        <v>2.153277932</v>
      </c>
      <c r="H1608" s="5">
        <f t="shared" si="6"/>
        <v>0</v>
      </c>
      <c r="I1608" s="5">
        <f t="shared" si="7"/>
        <v>1.560922165</v>
      </c>
    </row>
    <row r="1609">
      <c r="A1609" s="12">
        <f>IFERROR(__xludf.DUMMYFUNCTION("""COMPUTED_VALUE"""),44596.66666666667)</f>
        <v>44596.66667</v>
      </c>
      <c r="B1609" s="13">
        <f>IFERROR(__xludf.DUMMYFUNCTION("""COMPUTED_VALUE"""),4500.53)</f>
        <v>4500.53</v>
      </c>
      <c r="C1609" s="13">
        <f t="shared" si="1"/>
        <v>4449.235</v>
      </c>
      <c r="D1609" s="13">
        <f t="shared" si="2"/>
        <v>4574.88</v>
      </c>
      <c r="E1609" s="13" t="str">
        <f t="shared" si="3"/>
        <v/>
      </c>
      <c r="F1609" s="3">
        <f t="shared" si="4"/>
        <v>0.005156964694</v>
      </c>
      <c r="G1609" s="4">
        <f t="shared" si="5"/>
        <v>2.16438231</v>
      </c>
      <c r="H1609" s="5">
        <f t="shared" si="6"/>
        <v>0</v>
      </c>
      <c r="I1609" s="5">
        <f t="shared" si="7"/>
        <v>1.560922165</v>
      </c>
    </row>
    <row r="1610">
      <c r="A1610" s="12">
        <f>IFERROR(__xludf.DUMMYFUNCTION("""COMPUTED_VALUE"""),44599.66666666667)</f>
        <v>44599.66667</v>
      </c>
      <c r="B1610" s="13">
        <f>IFERROR(__xludf.DUMMYFUNCTION("""COMPUTED_VALUE"""),4483.87)</f>
        <v>4483.87</v>
      </c>
      <c r="C1610" s="13">
        <f t="shared" si="1"/>
        <v>4447</v>
      </c>
      <c r="D1610" s="13">
        <f t="shared" si="2"/>
        <v>4590.215</v>
      </c>
      <c r="E1610" s="13" t="str">
        <f t="shared" si="3"/>
        <v/>
      </c>
      <c r="F1610" s="3">
        <f t="shared" si="4"/>
        <v>-0.003701786234</v>
      </c>
      <c r="G1610" s="4">
        <f t="shared" si="5"/>
        <v>2.156370229</v>
      </c>
      <c r="H1610" s="5">
        <f t="shared" si="6"/>
        <v>0</v>
      </c>
      <c r="I1610" s="5">
        <f t="shared" si="7"/>
        <v>1.560922165</v>
      </c>
    </row>
    <row r="1611">
      <c r="A1611" s="12">
        <f>IFERROR(__xludf.DUMMYFUNCTION("""COMPUTED_VALUE"""),44600.66666666667)</f>
        <v>44600.66667</v>
      </c>
      <c r="B1611" s="13">
        <f>IFERROR(__xludf.DUMMYFUNCTION("""COMPUTED_VALUE"""),4521.54)</f>
        <v>4521.54</v>
      </c>
      <c r="C1611" s="13">
        <f t="shared" si="1"/>
        <v>4438.995</v>
      </c>
      <c r="D1611" s="13">
        <f t="shared" si="2"/>
        <v>4623.665</v>
      </c>
      <c r="E1611" s="13" t="str">
        <f t="shared" si="3"/>
        <v/>
      </c>
      <c r="F1611" s="3">
        <f t="shared" si="4"/>
        <v>0.008401224835</v>
      </c>
      <c r="G1611" s="4">
        <f t="shared" si="5"/>
        <v>2.17448638</v>
      </c>
      <c r="H1611" s="5">
        <f t="shared" si="6"/>
        <v>0</v>
      </c>
      <c r="I1611" s="5">
        <f t="shared" si="7"/>
        <v>1.560922165</v>
      </c>
    </row>
    <row r="1612">
      <c r="A1612" s="12">
        <f>IFERROR(__xludf.DUMMYFUNCTION("""COMPUTED_VALUE"""),44601.66666666667)</f>
        <v>44601.66667</v>
      </c>
      <c r="B1612" s="13">
        <f>IFERROR(__xludf.DUMMYFUNCTION("""COMPUTED_VALUE"""),4587.18)</f>
        <v>4587.18</v>
      </c>
      <c r="C1612" s="13">
        <f t="shared" si="1"/>
        <v>4468.555</v>
      </c>
      <c r="D1612" s="13">
        <f t="shared" si="2"/>
        <v>4689.185</v>
      </c>
      <c r="E1612" s="13" t="str">
        <f t="shared" si="3"/>
        <v/>
      </c>
      <c r="F1612" s="3">
        <f t="shared" si="4"/>
        <v>0.01451717778</v>
      </c>
      <c r="G1612" s="4">
        <f t="shared" si="5"/>
        <v>2.206053786</v>
      </c>
      <c r="H1612" s="5">
        <f t="shared" si="6"/>
        <v>0</v>
      </c>
      <c r="I1612" s="5">
        <f t="shared" si="7"/>
        <v>1.560922165</v>
      </c>
    </row>
    <row r="1613">
      <c r="A1613" s="12">
        <f>IFERROR(__xludf.DUMMYFUNCTION("""COMPUTED_VALUE"""),44602.66666666667)</f>
        <v>44602.66667</v>
      </c>
      <c r="B1613" s="13">
        <f>IFERROR(__xludf.DUMMYFUNCTION("""COMPUTED_VALUE"""),4504.08)</f>
        <v>4504.08</v>
      </c>
      <c r="C1613" s="13">
        <f t="shared" si="1"/>
        <v>4415.295</v>
      </c>
      <c r="D1613" s="13">
        <f t="shared" si="2"/>
        <v>4645.215</v>
      </c>
      <c r="E1613" s="13" t="str">
        <f t="shared" si="3"/>
        <v/>
      </c>
      <c r="F1613" s="3">
        <f t="shared" si="4"/>
        <v>-0.01811570507</v>
      </c>
      <c r="G1613" s="4">
        <f t="shared" si="5"/>
        <v>2.166089566</v>
      </c>
      <c r="H1613" s="5">
        <f t="shared" si="6"/>
        <v>0</v>
      </c>
      <c r="I1613" s="5">
        <f t="shared" si="7"/>
        <v>1.560922165</v>
      </c>
    </row>
    <row r="1614">
      <c r="A1614" s="12">
        <f>IFERROR(__xludf.DUMMYFUNCTION("""COMPUTED_VALUE"""),44603.66666666667)</f>
        <v>44603.66667</v>
      </c>
      <c r="B1614" s="13">
        <f>IFERROR(__xludf.DUMMYFUNCTION("""COMPUTED_VALUE"""),4418.64)</f>
        <v>4418.64</v>
      </c>
      <c r="C1614" s="13">
        <f t="shared" si="1"/>
        <v>4425.245</v>
      </c>
      <c r="D1614" s="13">
        <f t="shared" si="2"/>
        <v>4605.85</v>
      </c>
      <c r="E1614" s="13" t="str">
        <f t="shared" si="3"/>
        <v/>
      </c>
      <c r="F1614" s="3">
        <f t="shared" si="4"/>
        <v>-0.01896946768</v>
      </c>
      <c r="G1614" s="4">
        <f t="shared" si="5"/>
        <v>2.125</v>
      </c>
      <c r="H1614" s="5">
        <f t="shared" si="6"/>
        <v>0</v>
      </c>
      <c r="I1614" s="5">
        <f t="shared" si="7"/>
        <v>1.560922165</v>
      </c>
    </row>
    <row r="1615">
      <c r="A1615" s="12">
        <f>IFERROR(__xludf.DUMMYFUNCTION("""COMPUTED_VALUE"""),44606.66666666667)</f>
        <v>44606.66667</v>
      </c>
      <c r="B1615" s="13">
        <f>IFERROR(__xludf.DUMMYFUNCTION("""COMPUTED_VALUE"""),4401.67)</f>
        <v>4401.67</v>
      </c>
      <c r="C1615" s="13">
        <f t="shared" si="1"/>
        <v>4458.61</v>
      </c>
      <c r="D1615" s="13">
        <f t="shared" si="2"/>
        <v>4590.2</v>
      </c>
      <c r="E1615" s="13" t="str">
        <f t="shared" si="3"/>
        <v/>
      </c>
      <c r="F1615" s="3">
        <f t="shared" si="4"/>
        <v>-0.003840548223</v>
      </c>
      <c r="G1615" s="4">
        <f t="shared" si="5"/>
        <v>2.116838835</v>
      </c>
      <c r="H1615" s="5">
        <f t="shared" si="6"/>
        <v>0</v>
      </c>
      <c r="I1615" s="5">
        <f t="shared" si="7"/>
        <v>1.560922165</v>
      </c>
    </row>
    <row r="1616">
      <c r="A1616" s="12">
        <f>IFERROR(__xludf.DUMMYFUNCTION("""COMPUTED_VALUE"""),44607.66666666667)</f>
        <v>44607.66667</v>
      </c>
      <c r="B1616" s="13">
        <f>IFERROR(__xludf.DUMMYFUNCTION("""COMPUTED_VALUE"""),4471.07)</f>
        <v>4471.07</v>
      </c>
      <c r="C1616" s="13">
        <f t="shared" si="1"/>
        <v>4508.805</v>
      </c>
      <c r="D1616" s="13">
        <f t="shared" si="2"/>
        <v>4618.625</v>
      </c>
      <c r="E1616" s="13" t="str">
        <f t="shared" si="3"/>
        <v/>
      </c>
      <c r="F1616" s="3">
        <f t="shared" si="4"/>
        <v>0.01576674308</v>
      </c>
      <c r="G1616" s="4">
        <f t="shared" si="5"/>
        <v>2.150214489</v>
      </c>
      <c r="H1616" s="5">
        <f t="shared" si="6"/>
        <v>0</v>
      </c>
      <c r="I1616" s="5">
        <f t="shared" si="7"/>
        <v>1.560922165</v>
      </c>
    </row>
    <row r="1617">
      <c r="A1617" s="12">
        <f>IFERROR(__xludf.DUMMYFUNCTION("""COMPUTED_VALUE"""),44608.66666666667)</f>
        <v>44608.66667</v>
      </c>
      <c r="B1617" s="13">
        <f>IFERROR(__xludf.DUMMYFUNCTION("""COMPUTED_VALUE"""),4475.01)</f>
        <v>4475.01</v>
      </c>
      <c r="C1617" s="13">
        <f t="shared" si="1"/>
        <v>4532.195</v>
      </c>
      <c r="D1617" s="13">
        <f t="shared" si="2"/>
        <v>4635.785</v>
      </c>
      <c r="E1617" s="13" t="str">
        <f t="shared" si="3"/>
        <v/>
      </c>
      <c r="F1617" s="3">
        <f t="shared" si="4"/>
        <v>0.0008812208263</v>
      </c>
      <c r="G1617" s="4">
        <f t="shared" si="5"/>
        <v>2.152109303</v>
      </c>
      <c r="H1617" s="5">
        <f t="shared" si="6"/>
        <v>0</v>
      </c>
      <c r="I1617" s="5">
        <f t="shared" si="7"/>
        <v>1.560922165</v>
      </c>
    </row>
    <row r="1618">
      <c r="A1618" s="12">
        <f>IFERROR(__xludf.DUMMYFUNCTION("""COMPUTED_VALUE"""),44609.66666666667)</f>
        <v>44609.66667</v>
      </c>
      <c r="B1618" s="13">
        <f>IFERROR(__xludf.DUMMYFUNCTION("""COMPUTED_VALUE"""),4380.26)</f>
        <v>4380.26</v>
      </c>
      <c r="C1618" s="13">
        <f t="shared" si="1"/>
        <v>4428.85</v>
      </c>
      <c r="D1618" s="13">
        <f t="shared" si="2"/>
        <v>4586.9</v>
      </c>
      <c r="E1618" s="13" t="str">
        <f t="shared" si="3"/>
        <v/>
      </c>
      <c r="F1618" s="3">
        <f t="shared" si="4"/>
        <v>-0.02117313704</v>
      </c>
      <c r="G1618" s="4">
        <f t="shared" si="5"/>
        <v>2.106542398</v>
      </c>
      <c r="H1618" s="5">
        <f t="shared" si="6"/>
        <v>0</v>
      </c>
      <c r="I1618" s="5">
        <f t="shared" si="7"/>
        <v>1.560922165</v>
      </c>
    </row>
    <row r="1619">
      <c r="A1619" s="12">
        <f>IFERROR(__xludf.DUMMYFUNCTION("""COMPUTED_VALUE"""),44610.66666666667)</f>
        <v>44610.66667</v>
      </c>
      <c r="B1619" s="13">
        <f>IFERROR(__xludf.DUMMYFUNCTION("""COMPUTED_VALUE"""),4348.87)</f>
        <v>4348.87</v>
      </c>
      <c r="C1619" s="13">
        <f t="shared" si="1"/>
        <v>4424.7</v>
      </c>
      <c r="D1619" s="13">
        <f t="shared" si="2"/>
        <v>4524.725</v>
      </c>
      <c r="E1619" s="13" t="str">
        <f t="shared" si="3"/>
        <v/>
      </c>
      <c r="F1619" s="3">
        <f t="shared" si="4"/>
        <v>-0.007166241273</v>
      </c>
      <c r="G1619" s="4">
        <f t="shared" si="5"/>
        <v>2.091446407</v>
      </c>
      <c r="H1619" s="5">
        <f t="shared" si="6"/>
        <v>0</v>
      </c>
      <c r="I1619" s="5">
        <f t="shared" si="7"/>
        <v>1.560922165</v>
      </c>
    </row>
    <row r="1620">
      <c r="A1620" s="12">
        <f>IFERROR(__xludf.DUMMYFUNCTION("""COMPUTED_VALUE"""),44614.66666666667)</f>
        <v>44614.66667</v>
      </c>
      <c r="B1620" s="13">
        <f>IFERROR(__xludf.DUMMYFUNCTION("""COMPUTED_VALUE"""),4304.76)</f>
        <v>4304.76</v>
      </c>
      <c r="C1620" s="13">
        <f t="shared" si="1"/>
        <v>4394.315</v>
      </c>
      <c r="D1620" s="13">
        <f t="shared" si="2"/>
        <v>4500.405</v>
      </c>
      <c r="E1620" s="13" t="str">
        <f t="shared" si="3"/>
        <v/>
      </c>
      <c r="F1620" s="3">
        <f t="shared" si="4"/>
        <v>-0.0101428647</v>
      </c>
      <c r="G1620" s="4">
        <f t="shared" si="5"/>
        <v>2.070233149</v>
      </c>
      <c r="H1620" s="5">
        <f t="shared" si="6"/>
        <v>0</v>
      </c>
      <c r="I1620" s="5">
        <f t="shared" si="7"/>
        <v>1.560922165</v>
      </c>
    </row>
    <row r="1621">
      <c r="A1621" s="12">
        <f>IFERROR(__xludf.DUMMYFUNCTION("""COMPUTED_VALUE"""),44615.66666666667)</f>
        <v>44615.66667</v>
      </c>
      <c r="B1621" s="13">
        <f>IFERROR(__xludf.DUMMYFUNCTION("""COMPUTED_VALUE"""),4225.5)</f>
        <v>4225.5</v>
      </c>
      <c r="C1621" s="13">
        <f t="shared" si="1"/>
        <v>4373.52</v>
      </c>
      <c r="D1621" s="13">
        <f t="shared" si="2"/>
        <v>4451.265</v>
      </c>
      <c r="E1621" s="13" t="str">
        <f t="shared" si="3"/>
        <v/>
      </c>
      <c r="F1621" s="3">
        <f t="shared" si="4"/>
        <v>-0.01841217629</v>
      </c>
      <c r="G1621" s="4">
        <f t="shared" si="5"/>
        <v>2.032115651</v>
      </c>
      <c r="H1621" s="5">
        <f t="shared" si="6"/>
        <v>0</v>
      </c>
      <c r="I1621" s="5">
        <f t="shared" si="7"/>
        <v>1.560922165</v>
      </c>
    </row>
    <row r="1622">
      <c r="A1622" s="12">
        <f>IFERROR(__xludf.DUMMYFUNCTION("""COMPUTED_VALUE"""),44616.66666666667)</f>
        <v>44616.66667</v>
      </c>
      <c r="B1622" s="13">
        <f>IFERROR(__xludf.DUMMYFUNCTION("""COMPUTED_VALUE"""),4288.7)</f>
        <v>4288.7</v>
      </c>
      <c r="C1622" s="13">
        <f t="shared" si="1"/>
        <v>4437.94</v>
      </c>
      <c r="D1622" s="13">
        <f t="shared" si="2"/>
        <v>4479.495</v>
      </c>
      <c r="E1622" s="13" t="str">
        <f t="shared" si="3"/>
        <v/>
      </c>
      <c r="F1622" s="3">
        <f t="shared" si="4"/>
        <v>0.01495680984</v>
      </c>
      <c r="G1622" s="4">
        <f t="shared" si="5"/>
        <v>2.062509618</v>
      </c>
      <c r="H1622" s="5">
        <f t="shared" si="6"/>
        <v>0</v>
      </c>
      <c r="I1622" s="5">
        <f t="shared" si="7"/>
        <v>1.560922165</v>
      </c>
    </row>
    <row r="1623">
      <c r="A1623" s="12">
        <f>IFERROR(__xludf.DUMMYFUNCTION("""COMPUTED_VALUE"""),44617.66666666667)</f>
        <v>44617.66667</v>
      </c>
      <c r="B1623" s="13">
        <f>IFERROR(__xludf.DUMMYFUNCTION("""COMPUTED_VALUE"""),4384.65)</f>
        <v>4384.65</v>
      </c>
      <c r="C1623" s="13">
        <f t="shared" si="1"/>
        <v>4444.365</v>
      </c>
      <c r="D1623" s="13">
        <f t="shared" si="2"/>
        <v>4548.86</v>
      </c>
      <c r="E1623" s="13" t="str">
        <f t="shared" si="3"/>
        <v/>
      </c>
      <c r="F1623" s="3">
        <f t="shared" si="4"/>
        <v>0.02237274699</v>
      </c>
      <c r="G1623" s="4">
        <f t="shared" si="5"/>
        <v>2.108653624</v>
      </c>
      <c r="H1623" s="5">
        <f t="shared" si="6"/>
        <v>0</v>
      </c>
      <c r="I1623" s="5">
        <f t="shared" si="7"/>
        <v>1.560922165</v>
      </c>
    </row>
    <row r="1624">
      <c r="A1624" s="12">
        <f>IFERROR(__xludf.DUMMYFUNCTION("""COMPUTED_VALUE"""),44620.66666666667)</f>
        <v>44620.66667</v>
      </c>
      <c r="B1624" s="13">
        <f>IFERROR(__xludf.DUMMYFUNCTION("""COMPUTED_VALUE"""),4373.94)</f>
        <v>4373.94</v>
      </c>
      <c r="C1624" s="13">
        <f t="shared" si="1"/>
        <v>4396.29</v>
      </c>
      <c r="D1624" s="13">
        <f t="shared" si="2"/>
        <v>4550.145</v>
      </c>
      <c r="E1624" s="13" t="str">
        <f t="shared" si="3"/>
        <v/>
      </c>
      <c r="F1624" s="3">
        <f t="shared" si="4"/>
        <v>-0.002442612295</v>
      </c>
      <c r="G1624" s="4">
        <f t="shared" si="5"/>
        <v>2.103503001</v>
      </c>
      <c r="H1624" s="5">
        <f t="shared" si="6"/>
        <v>0</v>
      </c>
      <c r="I1624" s="5">
        <f t="shared" si="7"/>
        <v>1.560922165</v>
      </c>
    </row>
    <row r="1625">
      <c r="A1625" s="12">
        <f>IFERROR(__xludf.DUMMYFUNCTION("""COMPUTED_VALUE"""),44621.66666666667)</f>
        <v>44621.66667</v>
      </c>
      <c r="B1625" s="13">
        <f>IFERROR(__xludf.DUMMYFUNCTION("""COMPUTED_VALUE"""),4306.26)</f>
        <v>4306.26</v>
      </c>
      <c r="C1625" s="13">
        <f t="shared" si="1"/>
        <v>4353.965</v>
      </c>
      <c r="D1625" s="13">
        <f t="shared" si="2"/>
        <v>4482.645</v>
      </c>
      <c r="E1625" s="13" t="str">
        <f t="shared" si="3"/>
        <v/>
      </c>
      <c r="F1625" s="3">
        <f t="shared" si="4"/>
        <v>-0.01547346328</v>
      </c>
      <c r="G1625" s="4">
        <f t="shared" si="5"/>
        <v>2.070954524</v>
      </c>
      <c r="H1625" s="5">
        <f t="shared" si="6"/>
        <v>0</v>
      </c>
      <c r="I1625" s="5">
        <f t="shared" si="7"/>
        <v>1.560922165</v>
      </c>
    </row>
    <row r="1626">
      <c r="A1626" s="12">
        <f>IFERROR(__xludf.DUMMYFUNCTION("""COMPUTED_VALUE"""),44622.66666666667)</f>
        <v>44622.66667</v>
      </c>
      <c r="B1626" s="13">
        <f>IFERROR(__xludf.DUMMYFUNCTION("""COMPUTED_VALUE"""),4386.54)</f>
        <v>4386.54</v>
      </c>
      <c r="C1626" s="13">
        <f t="shared" si="1"/>
        <v>4428.805</v>
      </c>
      <c r="D1626" s="13">
        <f t="shared" si="2"/>
        <v>4524.695</v>
      </c>
      <c r="E1626" s="13" t="str">
        <f t="shared" si="3"/>
        <v/>
      </c>
      <c r="F1626" s="3">
        <f t="shared" si="4"/>
        <v>0.01864262724</v>
      </c>
      <c r="G1626" s="4">
        <f t="shared" si="5"/>
        <v>2.109562558</v>
      </c>
      <c r="H1626" s="5">
        <f t="shared" si="6"/>
        <v>0</v>
      </c>
      <c r="I1626" s="5">
        <f t="shared" si="7"/>
        <v>1.560922165</v>
      </c>
    </row>
    <row r="1627">
      <c r="A1627" s="12">
        <f>IFERROR(__xludf.DUMMYFUNCTION("""COMPUTED_VALUE"""),44623.66666666667)</f>
        <v>44623.66667</v>
      </c>
      <c r="B1627" s="13">
        <f>IFERROR(__xludf.DUMMYFUNCTION("""COMPUTED_VALUE"""),4363.49)</f>
        <v>4363.49</v>
      </c>
      <c r="C1627" s="13">
        <f t="shared" si="1"/>
        <v>4419.25</v>
      </c>
      <c r="D1627" s="13">
        <f t="shared" si="2"/>
        <v>4470.3</v>
      </c>
      <c r="E1627" s="13" t="str">
        <f t="shared" si="3"/>
        <v/>
      </c>
      <c r="F1627" s="3">
        <f t="shared" si="4"/>
        <v>-0.005254711002</v>
      </c>
      <c r="G1627" s="4">
        <f t="shared" si="5"/>
        <v>2.098477416</v>
      </c>
      <c r="H1627" s="5">
        <f t="shared" si="6"/>
        <v>0</v>
      </c>
      <c r="I1627" s="5">
        <f t="shared" si="7"/>
        <v>1.560922165</v>
      </c>
    </row>
    <row r="1628">
      <c r="A1628" s="12">
        <f>IFERROR(__xludf.DUMMYFUNCTION("""COMPUTED_VALUE"""),44624.66666666667)</f>
        <v>44624.66667</v>
      </c>
      <c r="B1628" s="13">
        <f>IFERROR(__xludf.DUMMYFUNCTION("""COMPUTED_VALUE"""),4328.87)</f>
        <v>4328.87</v>
      </c>
      <c r="C1628" s="13">
        <f t="shared" si="1"/>
        <v>4354.565</v>
      </c>
      <c r="D1628" s="13">
        <f t="shared" si="2"/>
        <v>4430.815</v>
      </c>
      <c r="E1628" s="13" t="str">
        <f t="shared" si="3"/>
        <v/>
      </c>
      <c r="F1628" s="3">
        <f t="shared" si="4"/>
        <v>-0.00793401612</v>
      </c>
      <c r="G1628" s="4">
        <f t="shared" si="5"/>
        <v>2.081828062</v>
      </c>
      <c r="H1628" s="5">
        <f t="shared" si="6"/>
        <v>0</v>
      </c>
      <c r="I1628" s="5">
        <f t="shared" si="7"/>
        <v>1.560922165</v>
      </c>
    </row>
    <row r="1629">
      <c r="A1629" s="12">
        <f>IFERROR(__xludf.DUMMYFUNCTION("""COMPUTED_VALUE"""),44627.66666666667)</f>
        <v>44627.66667</v>
      </c>
      <c r="B1629" s="13">
        <f>IFERROR(__xludf.DUMMYFUNCTION("""COMPUTED_VALUE"""),4201.09)</f>
        <v>4201.09</v>
      </c>
      <c r="C1629" s="13">
        <f t="shared" si="1"/>
        <v>4274.98</v>
      </c>
      <c r="D1629" s="13">
        <f t="shared" si="2"/>
        <v>4341.91</v>
      </c>
      <c r="E1629" s="13" t="str">
        <f t="shared" si="3"/>
        <v/>
      </c>
      <c r="F1629" s="3">
        <f t="shared" si="4"/>
        <v>-0.02951809595</v>
      </c>
      <c r="G1629" s="4">
        <f t="shared" si="5"/>
        <v>2.020376462</v>
      </c>
      <c r="H1629" s="5">
        <f t="shared" si="6"/>
        <v>0</v>
      </c>
      <c r="I1629" s="5">
        <f t="shared" si="7"/>
        <v>1.560922165</v>
      </c>
    </row>
    <row r="1630">
      <c r="A1630" s="12">
        <f>IFERROR(__xludf.DUMMYFUNCTION("""COMPUTED_VALUE"""),44628.66666666667)</f>
        <v>44628.66667</v>
      </c>
      <c r="B1630" s="13">
        <f>IFERROR(__xludf.DUMMYFUNCTION("""COMPUTED_VALUE"""),4170.7)</f>
        <v>4170.7</v>
      </c>
      <c r="C1630" s="13">
        <f t="shared" si="1"/>
        <v>4237.73</v>
      </c>
      <c r="D1630" s="13">
        <f t="shared" si="2"/>
        <v>4284.32</v>
      </c>
      <c r="E1630" s="13" t="str">
        <f t="shared" si="3"/>
        <v/>
      </c>
      <c r="F1630" s="3">
        <f t="shared" si="4"/>
        <v>-0.007233836933</v>
      </c>
      <c r="G1630" s="4">
        <f t="shared" si="5"/>
        <v>2.005761388</v>
      </c>
      <c r="H1630" s="5">
        <f t="shared" si="6"/>
        <v>0</v>
      </c>
      <c r="I1630" s="5">
        <f t="shared" si="7"/>
        <v>1.560922165</v>
      </c>
    </row>
    <row r="1631">
      <c r="A1631" s="12">
        <f>IFERROR(__xludf.DUMMYFUNCTION("""COMPUTED_VALUE"""),44629.66666666667)</f>
        <v>44629.66667</v>
      </c>
      <c r="B1631" s="13">
        <f>IFERROR(__xludf.DUMMYFUNCTION("""COMPUTED_VALUE"""),4277.88)</f>
        <v>4277.88</v>
      </c>
      <c r="C1631" s="13">
        <f t="shared" si="1"/>
        <v>4251.69</v>
      </c>
      <c r="D1631" s="13">
        <f t="shared" si="2"/>
        <v>4344.005</v>
      </c>
      <c r="E1631" s="13" t="str">
        <f t="shared" si="3"/>
        <v/>
      </c>
      <c r="F1631" s="3">
        <f t="shared" si="4"/>
        <v>0.02569832402</v>
      </c>
      <c r="G1631" s="4">
        <f t="shared" si="5"/>
        <v>2.057306094</v>
      </c>
      <c r="H1631" s="5">
        <f t="shared" si="6"/>
        <v>0</v>
      </c>
      <c r="I1631" s="5">
        <f t="shared" si="7"/>
        <v>1.560922165</v>
      </c>
    </row>
    <row r="1632">
      <c r="A1632" s="12">
        <f>IFERROR(__xludf.DUMMYFUNCTION("""COMPUTED_VALUE"""),44630.66666666667)</f>
        <v>44630.66667</v>
      </c>
      <c r="B1632" s="13">
        <f>IFERROR(__xludf.DUMMYFUNCTION("""COMPUTED_VALUE"""),4259.52)</f>
        <v>4259.52</v>
      </c>
      <c r="C1632" s="13">
        <f t="shared" si="1"/>
        <v>4274.11</v>
      </c>
      <c r="D1632" s="13">
        <f t="shared" si="2"/>
        <v>4307.985</v>
      </c>
      <c r="E1632" s="13" t="str">
        <f t="shared" si="3"/>
        <v/>
      </c>
      <c r="F1632" s="3">
        <f t="shared" si="4"/>
        <v>-0.004291845494</v>
      </c>
      <c r="G1632" s="4">
        <f t="shared" si="5"/>
        <v>2.048476454</v>
      </c>
      <c r="H1632" s="5">
        <f t="shared" si="6"/>
        <v>0</v>
      </c>
      <c r="I1632" s="5">
        <f t="shared" si="7"/>
        <v>1.560922165</v>
      </c>
    </row>
    <row r="1633">
      <c r="A1633" s="12">
        <f>IFERROR(__xludf.DUMMYFUNCTION("""COMPUTED_VALUE"""),44631.66666666667)</f>
        <v>44631.66667</v>
      </c>
      <c r="B1633" s="13">
        <f>IFERROR(__xludf.DUMMYFUNCTION("""COMPUTED_VALUE"""),4204.31)</f>
        <v>4204.31</v>
      </c>
      <c r="C1633" s="13">
        <f t="shared" si="1"/>
        <v>4294.48</v>
      </c>
      <c r="D1633" s="13">
        <f t="shared" si="2"/>
        <v>4277.12</v>
      </c>
      <c r="E1633" s="13" t="str">
        <f t="shared" si="3"/>
        <v>LONG</v>
      </c>
      <c r="F1633" s="3">
        <f t="shared" si="4"/>
        <v>-0.01296155435</v>
      </c>
      <c r="G1633" s="4">
        <f t="shared" si="5"/>
        <v>2.021925015</v>
      </c>
      <c r="H1633" s="3">
        <f t="shared" si="6"/>
        <v>-0.01296155435</v>
      </c>
      <c r="I1633" s="5">
        <f t="shared" si="7"/>
        <v>1.540690188</v>
      </c>
    </row>
    <row r="1634">
      <c r="A1634" s="12">
        <f>IFERROR(__xludf.DUMMYFUNCTION("""COMPUTED_VALUE"""),44634.66666666667)</f>
        <v>44634.66667</v>
      </c>
      <c r="B1634" s="13">
        <f>IFERROR(__xludf.DUMMYFUNCTION("""COMPUTED_VALUE"""),4173.11)</f>
        <v>4173.11</v>
      </c>
      <c r="C1634" s="13">
        <f t="shared" si="1"/>
        <v>4273.525</v>
      </c>
      <c r="D1634" s="13">
        <f t="shared" si="2"/>
        <v>4249.81</v>
      </c>
      <c r="E1634" s="13" t="str">
        <f t="shared" si="3"/>
        <v>LONG</v>
      </c>
      <c r="F1634" s="3">
        <f t="shared" si="4"/>
        <v>-0.007420956114</v>
      </c>
      <c r="G1634" s="4">
        <f t="shared" si="5"/>
        <v>2.006920399</v>
      </c>
      <c r="H1634" s="3">
        <f t="shared" si="6"/>
        <v>-0.007420956114</v>
      </c>
      <c r="I1634" s="5">
        <f t="shared" si="7"/>
        <v>1.529256794</v>
      </c>
    </row>
    <row r="1635">
      <c r="A1635" s="12">
        <f>IFERROR(__xludf.DUMMYFUNCTION("""COMPUTED_VALUE"""),44635.66666666667)</f>
        <v>44635.66667</v>
      </c>
      <c r="B1635" s="13">
        <f>IFERROR(__xludf.DUMMYFUNCTION("""COMPUTED_VALUE"""),4262.45)</f>
        <v>4262.45</v>
      </c>
      <c r="C1635" s="13">
        <f t="shared" si="1"/>
        <v>4284.355</v>
      </c>
      <c r="D1635" s="13">
        <f t="shared" si="2"/>
        <v>4347.15</v>
      </c>
      <c r="E1635" s="13" t="str">
        <f t="shared" si="3"/>
        <v/>
      </c>
      <c r="F1635" s="3">
        <f t="shared" si="4"/>
        <v>0.02140849391</v>
      </c>
      <c r="G1635" s="4">
        <f t="shared" si="5"/>
        <v>2.049885542</v>
      </c>
      <c r="H1635" s="5">
        <f t="shared" si="6"/>
        <v>0</v>
      </c>
      <c r="I1635" s="5">
        <f t="shared" si="7"/>
        <v>1.529256794</v>
      </c>
    </row>
    <row r="1636">
      <c r="A1636" s="12">
        <f>IFERROR(__xludf.DUMMYFUNCTION("""COMPUTED_VALUE"""),44636.66666666667)</f>
        <v>44636.66667</v>
      </c>
      <c r="B1636" s="13">
        <f>IFERROR(__xludf.DUMMYFUNCTION("""COMPUTED_VALUE"""),4357.86)</f>
        <v>4357.86</v>
      </c>
      <c r="C1636" s="13">
        <f t="shared" si="1"/>
        <v>4372.2</v>
      </c>
      <c r="D1636" s="13">
        <f t="shared" si="2"/>
        <v>4436.705</v>
      </c>
      <c r="E1636" s="13" t="str">
        <f t="shared" si="3"/>
        <v/>
      </c>
      <c r="F1636" s="3">
        <f t="shared" si="4"/>
        <v>0.02238384028</v>
      </c>
      <c r="G1636" s="4">
        <f t="shared" si="5"/>
        <v>2.095769852</v>
      </c>
      <c r="H1636" s="5">
        <f t="shared" si="6"/>
        <v>0</v>
      </c>
      <c r="I1636" s="5">
        <f t="shared" si="7"/>
        <v>1.529256794</v>
      </c>
    </row>
    <row r="1637">
      <c r="A1637" s="12">
        <f>IFERROR(__xludf.DUMMYFUNCTION("""COMPUTED_VALUE"""),44637.66666666667)</f>
        <v>44637.66667</v>
      </c>
      <c r="B1637" s="13">
        <f>IFERROR(__xludf.DUMMYFUNCTION("""COMPUTED_VALUE"""),4411.67)</f>
        <v>4411.67</v>
      </c>
      <c r="C1637" s="13">
        <f t="shared" si="1"/>
        <v>4387.58</v>
      </c>
      <c r="D1637" s="13">
        <f t="shared" si="2"/>
        <v>4479.105</v>
      </c>
      <c r="E1637" s="13" t="str">
        <f t="shared" si="3"/>
        <v/>
      </c>
      <c r="F1637" s="3">
        <f t="shared" si="4"/>
        <v>0.01234780374</v>
      </c>
      <c r="G1637" s="4">
        <f t="shared" si="5"/>
        <v>2.121648007</v>
      </c>
      <c r="H1637" s="5">
        <f t="shared" si="6"/>
        <v>0</v>
      </c>
      <c r="I1637" s="5">
        <f t="shared" si="7"/>
        <v>1.529256794</v>
      </c>
    </row>
    <row r="1638">
      <c r="A1638" s="12">
        <f>IFERROR(__xludf.DUMMYFUNCTION("""COMPUTED_VALUE"""),44638.66666666667)</f>
        <v>44638.66667</v>
      </c>
      <c r="B1638" s="13">
        <f>IFERROR(__xludf.DUMMYFUNCTION("""COMPUTED_VALUE"""),4463.12)</f>
        <v>4463.12</v>
      </c>
      <c r="C1638" s="13">
        <f t="shared" si="1"/>
        <v>4395.995</v>
      </c>
      <c r="D1638" s="13">
        <f t="shared" si="2"/>
        <v>4526.25</v>
      </c>
      <c r="E1638" s="13" t="str">
        <f t="shared" si="3"/>
        <v/>
      </c>
      <c r="F1638" s="3">
        <f t="shared" si="4"/>
        <v>0.01166225035</v>
      </c>
      <c r="G1638" s="4">
        <f t="shared" si="5"/>
        <v>2.146391197</v>
      </c>
      <c r="H1638" s="5">
        <f t="shared" si="6"/>
        <v>0</v>
      </c>
      <c r="I1638" s="5">
        <f t="shared" si="7"/>
        <v>1.529256794</v>
      </c>
    </row>
    <row r="1639">
      <c r="A1639" s="12">
        <f>IFERROR(__xludf.DUMMYFUNCTION("""COMPUTED_VALUE"""),44641.66666666667)</f>
        <v>44641.66667</v>
      </c>
      <c r="B1639" s="13">
        <f>IFERROR(__xludf.DUMMYFUNCTION("""COMPUTED_VALUE"""),4461.18)</f>
        <v>4461.18</v>
      </c>
      <c r="C1639" s="13">
        <f t="shared" si="1"/>
        <v>4331.135</v>
      </c>
      <c r="D1639" s="13">
        <f t="shared" si="2"/>
        <v>4469.31</v>
      </c>
      <c r="E1639" s="13" t="str">
        <f t="shared" si="3"/>
        <v/>
      </c>
      <c r="F1639" s="3">
        <f t="shared" si="4"/>
        <v>-0.0004346735019</v>
      </c>
      <c r="G1639" s="4">
        <f t="shared" si="5"/>
        <v>2.145458218</v>
      </c>
      <c r="H1639" s="5">
        <f t="shared" si="6"/>
        <v>0</v>
      </c>
      <c r="I1639" s="5">
        <f t="shared" si="7"/>
        <v>1.529256794</v>
      </c>
    </row>
    <row r="1640">
      <c r="A1640" s="12">
        <f>IFERROR(__xludf.DUMMYFUNCTION("""COMPUTED_VALUE"""),44642.66666666667)</f>
        <v>44642.66667</v>
      </c>
      <c r="B1640" s="13">
        <f>IFERROR(__xludf.DUMMYFUNCTION("""COMPUTED_VALUE"""),4511.61)</f>
        <v>4511.61</v>
      </c>
      <c r="C1640" s="13">
        <f t="shared" si="1"/>
        <v>4341.155</v>
      </c>
      <c r="D1640" s="13">
        <f t="shared" si="2"/>
        <v>4506.07</v>
      </c>
      <c r="E1640" s="13" t="str">
        <f t="shared" si="3"/>
        <v/>
      </c>
      <c r="F1640" s="3">
        <f t="shared" si="4"/>
        <v>0.01130418409</v>
      </c>
      <c r="G1640" s="4">
        <f t="shared" si="5"/>
        <v>2.169710873</v>
      </c>
      <c r="H1640" s="5">
        <f t="shared" si="6"/>
        <v>0</v>
      </c>
      <c r="I1640" s="5">
        <f t="shared" si="7"/>
        <v>1.529256794</v>
      </c>
    </row>
    <row r="1641">
      <c r="A1641" s="12">
        <f>IFERROR(__xludf.DUMMYFUNCTION("""COMPUTED_VALUE"""),44643.66666666667)</f>
        <v>44643.66667</v>
      </c>
      <c r="B1641" s="13">
        <f>IFERROR(__xludf.DUMMYFUNCTION("""COMPUTED_VALUE"""),4456.24)</f>
        <v>4456.24</v>
      </c>
      <c r="C1641" s="13">
        <f t="shared" si="1"/>
        <v>4367.06</v>
      </c>
      <c r="D1641" s="13">
        <f t="shared" si="2"/>
        <v>4470.055</v>
      </c>
      <c r="E1641" s="13" t="str">
        <f t="shared" si="3"/>
        <v/>
      </c>
      <c r="F1641" s="3">
        <f t="shared" si="4"/>
        <v>-0.01227278067</v>
      </c>
      <c r="G1641" s="4">
        <f t="shared" si="5"/>
        <v>2.143082487</v>
      </c>
      <c r="H1641" s="5">
        <f t="shared" si="6"/>
        <v>0</v>
      </c>
      <c r="I1641" s="5">
        <f t="shared" si="7"/>
        <v>1.529256794</v>
      </c>
    </row>
    <row r="1642">
      <c r="A1642" s="12">
        <f>IFERROR(__xludf.DUMMYFUNCTION("""COMPUTED_VALUE"""),44644.66666666667)</f>
        <v>44644.66667</v>
      </c>
      <c r="B1642" s="13">
        <f>IFERROR(__xludf.DUMMYFUNCTION("""COMPUTED_VALUE"""),4520.16)</f>
        <v>4520.16</v>
      </c>
      <c r="C1642" s="13">
        <f t="shared" si="1"/>
        <v>4389.84</v>
      </c>
      <c r="D1642" s="13">
        <f t="shared" si="2"/>
        <v>4520.85</v>
      </c>
      <c r="E1642" s="13" t="str">
        <f t="shared" si="3"/>
        <v/>
      </c>
      <c r="F1642" s="3">
        <f t="shared" si="4"/>
        <v>0.01434393121</v>
      </c>
      <c r="G1642" s="4">
        <f t="shared" si="5"/>
        <v>2.173822715</v>
      </c>
      <c r="H1642" s="5">
        <f t="shared" si="6"/>
        <v>0</v>
      </c>
      <c r="I1642" s="5">
        <f t="shared" si="7"/>
        <v>1.529256794</v>
      </c>
    </row>
    <row r="1643">
      <c r="A1643" s="12">
        <f>IFERROR(__xludf.DUMMYFUNCTION("""COMPUTED_VALUE"""),44645.66666666667)</f>
        <v>44645.66667</v>
      </c>
      <c r="B1643" s="13">
        <f>IFERROR(__xludf.DUMMYFUNCTION("""COMPUTED_VALUE"""),4543.06)</f>
        <v>4543.06</v>
      </c>
      <c r="C1643" s="13">
        <f t="shared" si="1"/>
        <v>4373.685</v>
      </c>
      <c r="D1643" s="13">
        <f t="shared" si="2"/>
        <v>4565.12</v>
      </c>
      <c r="E1643" s="13" t="str">
        <f t="shared" si="3"/>
        <v/>
      </c>
      <c r="F1643" s="3">
        <f t="shared" si="4"/>
        <v>0.005066192347</v>
      </c>
      <c r="G1643" s="4">
        <f t="shared" si="5"/>
        <v>2.184835719</v>
      </c>
      <c r="H1643" s="5">
        <f t="shared" si="6"/>
        <v>0</v>
      </c>
      <c r="I1643" s="5">
        <f t="shared" si="7"/>
        <v>1.529256794</v>
      </c>
    </row>
    <row r="1644">
      <c r="A1644" s="12">
        <f>IFERROR(__xludf.DUMMYFUNCTION("""COMPUTED_VALUE"""),44648.66666666667)</f>
        <v>44648.66667</v>
      </c>
      <c r="B1644" s="13">
        <f>IFERROR(__xludf.DUMMYFUNCTION("""COMPUTED_VALUE"""),4575.52)</f>
        <v>4575.52</v>
      </c>
      <c r="C1644" s="13">
        <f t="shared" si="1"/>
        <v>4374.315</v>
      </c>
      <c r="D1644" s="13">
        <f t="shared" si="2"/>
        <v>4539.8</v>
      </c>
      <c r="E1644" s="13" t="str">
        <f t="shared" si="3"/>
        <v/>
      </c>
      <c r="F1644" s="3">
        <f t="shared" si="4"/>
        <v>0.007144963967</v>
      </c>
      <c r="G1644" s="4">
        <f t="shared" si="5"/>
        <v>2.200446291</v>
      </c>
      <c r="H1644" s="5">
        <f t="shared" si="6"/>
        <v>0</v>
      </c>
      <c r="I1644" s="5">
        <f t="shared" si="7"/>
        <v>1.529256794</v>
      </c>
    </row>
    <row r="1645">
      <c r="A1645" s="12">
        <f>IFERROR(__xludf.DUMMYFUNCTION("""COMPUTED_VALUE"""),44649.66666666667)</f>
        <v>44649.66667</v>
      </c>
      <c r="B1645" s="13">
        <f>IFERROR(__xludf.DUMMYFUNCTION("""COMPUTED_VALUE"""),4631.6)</f>
        <v>4631.6</v>
      </c>
      <c r="C1645" s="13">
        <f t="shared" si="1"/>
        <v>4447.025</v>
      </c>
      <c r="D1645" s="13">
        <f t="shared" si="2"/>
        <v>4525.12</v>
      </c>
      <c r="E1645" s="13" t="str">
        <f t="shared" si="3"/>
        <v/>
      </c>
      <c r="F1645" s="3">
        <f t="shared" si="4"/>
        <v>0.01225653041</v>
      </c>
      <c r="G1645" s="4">
        <f t="shared" si="5"/>
        <v>2.227416128</v>
      </c>
      <c r="H1645" s="5">
        <f t="shared" si="6"/>
        <v>0</v>
      </c>
      <c r="I1645" s="5">
        <f t="shared" si="7"/>
        <v>1.529256794</v>
      </c>
    </row>
    <row r="1646">
      <c r="A1646" s="12">
        <f>IFERROR(__xludf.DUMMYFUNCTION("""COMPUTED_VALUE"""),44650.66666666667)</f>
        <v>44650.66667</v>
      </c>
      <c r="B1646" s="13">
        <f>IFERROR(__xludf.DUMMYFUNCTION("""COMPUTED_VALUE"""),4602.45)</f>
        <v>4602.45</v>
      </c>
      <c r="C1646" s="13">
        <f t="shared" si="1"/>
        <v>4480.155</v>
      </c>
      <c r="D1646" s="13">
        <f t="shared" si="2"/>
        <v>4502.06</v>
      </c>
      <c r="E1646" s="13" t="str">
        <f t="shared" si="3"/>
        <v/>
      </c>
      <c r="F1646" s="3">
        <f t="shared" si="4"/>
        <v>-0.006293721392</v>
      </c>
      <c r="G1646" s="4">
        <f t="shared" si="5"/>
        <v>2.213397392</v>
      </c>
      <c r="H1646" s="5">
        <f t="shared" si="6"/>
        <v>0</v>
      </c>
      <c r="I1646" s="5">
        <f t="shared" si="7"/>
        <v>1.529256794</v>
      </c>
    </row>
    <row r="1647">
      <c r="A1647" s="12">
        <f>IFERROR(__xludf.DUMMYFUNCTION("""COMPUTED_VALUE"""),44651.66666666667)</f>
        <v>44651.66667</v>
      </c>
      <c r="B1647" s="13">
        <f>IFERROR(__xludf.DUMMYFUNCTION("""COMPUTED_VALUE"""),4530.41)</f>
        <v>4530.41</v>
      </c>
      <c r="C1647" s="13">
        <f t="shared" si="1"/>
        <v>4471.04</v>
      </c>
      <c r="D1647" s="13">
        <f t="shared" si="2"/>
        <v>4500.74</v>
      </c>
      <c r="E1647" s="13" t="str">
        <f t="shared" si="3"/>
        <v/>
      </c>
      <c r="F1647" s="3">
        <f t="shared" si="4"/>
        <v>-0.01565253289</v>
      </c>
      <c r="G1647" s="4">
        <f t="shared" si="5"/>
        <v>2.178752116</v>
      </c>
      <c r="H1647" s="5">
        <f t="shared" si="6"/>
        <v>0</v>
      </c>
      <c r="I1647" s="5">
        <f t="shared" si="7"/>
        <v>1.529256794</v>
      </c>
    </row>
    <row r="1648">
      <c r="A1648" s="12">
        <f>IFERROR(__xludf.DUMMYFUNCTION("""COMPUTED_VALUE"""),44652.66666666667)</f>
        <v>44652.66667</v>
      </c>
      <c r="B1648" s="13">
        <f>IFERROR(__xludf.DUMMYFUNCTION("""COMPUTED_VALUE"""),4545.86)</f>
        <v>4545.86</v>
      </c>
      <c r="C1648" s="13">
        <f t="shared" si="1"/>
        <v>4504.49</v>
      </c>
      <c r="D1648" s="13">
        <f t="shared" si="2"/>
        <v>4510.435</v>
      </c>
      <c r="E1648" s="13" t="str">
        <f t="shared" si="3"/>
        <v/>
      </c>
      <c r="F1648" s="3">
        <f t="shared" si="4"/>
        <v>0.003410287369</v>
      </c>
      <c r="G1648" s="4">
        <f t="shared" si="5"/>
        <v>2.186182287</v>
      </c>
      <c r="H1648" s="5">
        <f t="shared" si="6"/>
        <v>0</v>
      </c>
      <c r="I1648" s="5">
        <f t="shared" si="7"/>
        <v>1.529256794</v>
      </c>
    </row>
    <row r="1649">
      <c r="A1649" s="12">
        <f>IFERROR(__xludf.DUMMYFUNCTION("""COMPUTED_VALUE"""),44655.66666666667)</f>
        <v>44655.66667</v>
      </c>
      <c r="B1649" s="13">
        <f>IFERROR(__xludf.DUMMYFUNCTION("""COMPUTED_VALUE"""),4582.64)</f>
        <v>4582.64</v>
      </c>
      <c r="C1649" s="13">
        <f t="shared" si="1"/>
        <v>4521.91</v>
      </c>
      <c r="D1649" s="13">
        <f t="shared" si="2"/>
        <v>4481.45</v>
      </c>
      <c r="E1649" s="13" t="str">
        <f t="shared" si="3"/>
        <v>LONG</v>
      </c>
      <c r="F1649" s="3">
        <f t="shared" si="4"/>
        <v>0.008090878294</v>
      </c>
      <c r="G1649" s="4">
        <f t="shared" si="5"/>
        <v>2.203870422</v>
      </c>
      <c r="H1649" s="3">
        <f t="shared" si="6"/>
        <v>0.008090878294</v>
      </c>
      <c r="I1649" s="5">
        <f t="shared" si="7"/>
        <v>1.541629824</v>
      </c>
    </row>
    <row r="1650">
      <c r="A1650" s="12">
        <f>IFERROR(__xludf.DUMMYFUNCTION("""COMPUTED_VALUE"""),44656.66666666667)</f>
        <v>44656.66667</v>
      </c>
      <c r="B1650" s="13">
        <f>IFERROR(__xludf.DUMMYFUNCTION("""COMPUTED_VALUE"""),4525.12)</f>
        <v>4525.12</v>
      </c>
      <c r="C1650" s="13">
        <f t="shared" si="1"/>
        <v>4518.365</v>
      </c>
      <c r="D1650" s="13">
        <f t="shared" si="2"/>
        <v>4436.995</v>
      </c>
      <c r="E1650" s="13" t="str">
        <f t="shared" si="3"/>
        <v>LONG</v>
      </c>
      <c r="F1650" s="3">
        <f t="shared" si="4"/>
        <v>-0.01255171691</v>
      </c>
      <c r="G1650" s="4">
        <f t="shared" si="5"/>
        <v>2.176208064</v>
      </c>
      <c r="H1650" s="3">
        <f t="shared" si="6"/>
        <v>-0.01255171691</v>
      </c>
      <c r="I1650" s="5">
        <f t="shared" si="7"/>
        <v>1.522279723</v>
      </c>
    </row>
    <row r="1651">
      <c r="A1651" s="12">
        <f>IFERROR(__xludf.DUMMYFUNCTION("""COMPUTED_VALUE"""),44657.66666666667)</f>
        <v>44657.66667</v>
      </c>
      <c r="B1651" s="13">
        <f>IFERROR(__xludf.DUMMYFUNCTION("""COMPUTED_VALUE"""),4481.15)</f>
        <v>4481.15</v>
      </c>
      <c r="C1651" s="13">
        <f t="shared" si="1"/>
        <v>4468.695</v>
      </c>
      <c r="D1651" s="13">
        <f t="shared" si="2"/>
        <v>4392.955</v>
      </c>
      <c r="E1651" s="13" t="str">
        <f t="shared" si="3"/>
        <v>LONG</v>
      </c>
      <c r="F1651" s="3">
        <f t="shared" si="4"/>
        <v>-0.009716869387</v>
      </c>
      <c r="G1651" s="4">
        <f t="shared" si="5"/>
        <v>2.155062135</v>
      </c>
      <c r="H1651" s="3">
        <f t="shared" si="6"/>
        <v>-0.009716869387</v>
      </c>
      <c r="I1651" s="5">
        <f t="shared" si="7"/>
        <v>1.50748793</v>
      </c>
    </row>
    <row r="1652">
      <c r="A1652" s="12">
        <f>IFERROR(__xludf.DUMMYFUNCTION("""COMPUTED_VALUE"""),44658.66666666667)</f>
        <v>44658.66667</v>
      </c>
      <c r="B1652" s="13">
        <f>IFERROR(__xludf.DUMMYFUNCTION("""COMPUTED_VALUE"""),4500.21)</f>
        <v>4500.21</v>
      </c>
      <c r="C1652" s="13">
        <f t="shared" si="1"/>
        <v>4510.185</v>
      </c>
      <c r="D1652" s="13">
        <f t="shared" si="2"/>
        <v>4362.855</v>
      </c>
      <c r="E1652" s="13" t="str">
        <f t="shared" si="3"/>
        <v>LONG</v>
      </c>
      <c r="F1652" s="3">
        <f t="shared" si="4"/>
        <v>0.00425337246</v>
      </c>
      <c r="G1652" s="4">
        <f t="shared" si="5"/>
        <v>2.164228416</v>
      </c>
      <c r="H1652" s="3">
        <f t="shared" si="6"/>
        <v>0.00425337246</v>
      </c>
      <c r="I1652" s="5">
        <f t="shared" si="7"/>
        <v>1.513899838</v>
      </c>
    </row>
    <row r="1653">
      <c r="A1653" s="12">
        <f>IFERROR(__xludf.DUMMYFUNCTION("""COMPUTED_VALUE"""),44659.66666666667)</f>
        <v>44659.66667</v>
      </c>
      <c r="B1653" s="13">
        <f>IFERROR(__xludf.DUMMYFUNCTION("""COMPUTED_VALUE"""),4488.28)</f>
        <v>4488.28</v>
      </c>
      <c r="C1653" s="13">
        <f t="shared" si="1"/>
        <v>4515.67</v>
      </c>
      <c r="D1653" s="13">
        <f t="shared" si="2"/>
        <v>4388.49</v>
      </c>
      <c r="E1653" s="13" t="str">
        <f t="shared" si="3"/>
        <v>LONG</v>
      </c>
      <c r="F1653" s="3">
        <f t="shared" si="4"/>
        <v>-0.002650987398</v>
      </c>
      <c r="G1653" s="4">
        <f t="shared" si="5"/>
        <v>2.158491074</v>
      </c>
      <c r="H1653" s="3">
        <f t="shared" si="6"/>
        <v>-0.002650987398</v>
      </c>
      <c r="I1653" s="5">
        <f t="shared" si="7"/>
        <v>1.509886508</v>
      </c>
    </row>
    <row r="1654">
      <c r="A1654" s="12">
        <f>IFERROR(__xludf.DUMMYFUNCTION("""COMPUTED_VALUE"""),44662.66666666667)</f>
        <v>44662.66667</v>
      </c>
      <c r="B1654" s="13">
        <f>IFERROR(__xludf.DUMMYFUNCTION("""COMPUTED_VALUE"""),4412.53)</f>
        <v>4412.53</v>
      </c>
      <c r="C1654" s="13">
        <f t="shared" si="1"/>
        <v>4494.025</v>
      </c>
      <c r="D1654" s="13">
        <f t="shared" si="2"/>
        <v>4398.59</v>
      </c>
      <c r="E1654" s="13" t="str">
        <f t="shared" si="3"/>
        <v>LONG</v>
      </c>
      <c r="F1654" s="3">
        <f t="shared" si="4"/>
        <v>-0.0168772893</v>
      </c>
      <c r="G1654" s="4">
        <f t="shared" si="5"/>
        <v>2.122061596</v>
      </c>
      <c r="H1654" s="3">
        <f t="shared" si="6"/>
        <v>-0.0168772893</v>
      </c>
      <c r="I1654" s="5">
        <f t="shared" si="7"/>
        <v>1.484403717</v>
      </c>
    </row>
    <row r="1655">
      <c r="A1655" s="12">
        <f>IFERROR(__xludf.DUMMYFUNCTION("""COMPUTED_VALUE"""),44663.66666666667)</f>
        <v>44663.66667</v>
      </c>
      <c r="B1655" s="13">
        <f>IFERROR(__xludf.DUMMYFUNCTION("""COMPUTED_VALUE"""),4397.45)</f>
        <v>4397.45</v>
      </c>
      <c r="C1655" s="13">
        <f t="shared" si="1"/>
        <v>4514.525</v>
      </c>
      <c r="D1655" s="13">
        <f t="shared" si="2"/>
        <v>4385.695</v>
      </c>
      <c r="E1655" s="13" t="str">
        <f t="shared" si="3"/>
        <v>LONG</v>
      </c>
      <c r="F1655" s="3">
        <f t="shared" si="4"/>
        <v>-0.003417540504</v>
      </c>
      <c r="G1655" s="4">
        <f t="shared" si="5"/>
        <v>2.114809364</v>
      </c>
      <c r="H1655" s="3">
        <f t="shared" si="6"/>
        <v>-0.003417540504</v>
      </c>
      <c r="I1655" s="5">
        <f t="shared" si="7"/>
        <v>1.479330707</v>
      </c>
    </row>
    <row r="1656">
      <c r="A1656" s="12">
        <f>IFERROR(__xludf.DUMMYFUNCTION("""COMPUTED_VALUE"""),44664.66666666667)</f>
        <v>44664.66667</v>
      </c>
      <c r="B1656" s="13">
        <f>IFERROR(__xludf.DUMMYFUNCTION("""COMPUTED_VALUE"""),4446.59)</f>
        <v>4446.59</v>
      </c>
      <c r="C1656" s="13">
        <f t="shared" si="1"/>
        <v>4524.52</v>
      </c>
      <c r="D1656" s="13">
        <f t="shared" si="2"/>
        <v>4376.425</v>
      </c>
      <c r="E1656" s="13" t="str">
        <f t="shared" si="3"/>
        <v>LONG</v>
      </c>
      <c r="F1656" s="3">
        <f t="shared" si="4"/>
        <v>0.01117465804</v>
      </c>
      <c r="G1656" s="4">
        <f t="shared" si="5"/>
        <v>2.138441636</v>
      </c>
      <c r="H1656" s="3">
        <f t="shared" si="6"/>
        <v>0.01117465804</v>
      </c>
      <c r="I1656" s="5">
        <f t="shared" si="7"/>
        <v>1.495861722</v>
      </c>
    </row>
    <row r="1657">
      <c r="A1657" s="12">
        <f>IFERROR(__xludf.DUMMYFUNCTION("""COMPUTED_VALUE"""),44665.66666666667)</f>
        <v>44665.66667</v>
      </c>
      <c r="B1657" s="13">
        <f>IFERROR(__xludf.DUMMYFUNCTION("""COMPUTED_VALUE"""),4392.59)</f>
        <v>4392.59</v>
      </c>
      <c r="C1657" s="13">
        <f t="shared" si="1"/>
        <v>4461.5</v>
      </c>
      <c r="D1657" s="13">
        <f t="shared" si="2"/>
        <v>4389.565</v>
      </c>
      <c r="E1657" s="13" t="str">
        <f t="shared" si="3"/>
        <v>LONG</v>
      </c>
      <c r="F1657" s="3">
        <f t="shared" si="4"/>
        <v>-0.01214413742</v>
      </c>
      <c r="G1657" s="4">
        <f t="shared" si="5"/>
        <v>2.112472107</v>
      </c>
      <c r="H1657" s="3">
        <f t="shared" si="6"/>
        <v>-0.01214413742</v>
      </c>
      <c r="I1657" s="5">
        <f t="shared" si="7"/>
        <v>1.477695771</v>
      </c>
    </row>
    <row r="1658">
      <c r="A1658" s="12">
        <f>IFERROR(__xludf.DUMMYFUNCTION("""COMPUTED_VALUE"""),44669.66666666667)</f>
        <v>44669.66667</v>
      </c>
      <c r="B1658" s="13">
        <f>IFERROR(__xludf.DUMMYFUNCTION("""COMPUTED_VALUE"""),4391.69)</f>
        <v>4391.69</v>
      </c>
      <c r="C1658" s="13">
        <f t="shared" si="1"/>
        <v>4468.775</v>
      </c>
      <c r="D1658" s="13">
        <f t="shared" si="2"/>
        <v>4377.59</v>
      </c>
      <c r="E1658" s="13" t="str">
        <f t="shared" si="3"/>
        <v>LONG</v>
      </c>
      <c r="F1658" s="3">
        <f t="shared" si="4"/>
        <v>-0.0002048905088</v>
      </c>
      <c r="G1658" s="4">
        <f t="shared" si="5"/>
        <v>2.112039281</v>
      </c>
      <c r="H1658" s="3">
        <f t="shared" si="6"/>
        <v>-0.0002048905088</v>
      </c>
      <c r="I1658" s="5">
        <f t="shared" si="7"/>
        <v>1.477393006</v>
      </c>
    </row>
    <row r="1659">
      <c r="A1659" s="12">
        <f>IFERROR(__xludf.DUMMYFUNCTION("""COMPUTED_VALUE"""),44670.66666666667)</f>
        <v>44670.66667</v>
      </c>
      <c r="B1659" s="13">
        <f>IFERROR(__xludf.DUMMYFUNCTION("""COMPUTED_VALUE"""),4462.21)</f>
        <v>4462.21</v>
      </c>
      <c r="C1659" s="13">
        <f t="shared" si="1"/>
        <v>4522.425</v>
      </c>
      <c r="D1659" s="13">
        <f t="shared" si="2"/>
        <v>4395.54</v>
      </c>
      <c r="E1659" s="13" t="str">
        <f t="shared" si="3"/>
        <v>LONG</v>
      </c>
      <c r="F1659" s="3">
        <f t="shared" si="4"/>
        <v>0.01605759969</v>
      </c>
      <c r="G1659" s="4">
        <f t="shared" si="5"/>
        <v>2.145953563</v>
      </c>
      <c r="H1659" s="3">
        <f t="shared" si="6"/>
        <v>0.01605759969</v>
      </c>
      <c r="I1659" s="5">
        <f t="shared" si="7"/>
        <v>1.501116391</v>
      </c>
    </row>
    <row r="1660">
      <c r="A1660" s="12">
        <f>IFERROR(__xludf.DUMMYFUNCTION("""COMPUTED_VALUE"""),44671.66666666667)</f>
        <v>44671.66667</v>
      </c>
      <c r="B1660" s="13">
        <f>IFERROR(__xludf.DUMMYFUNCTION("""COMPUTED_VALUE"""),4459.45)</f>
        <v>4459.45</v>
      </c>
      <c r="C1660" s="13">
        <f t="shared" si="1"/>
        <v>4492.285</v>
      </c>
      <c r="D1660" s="13">
        <f t="shared" si="2"/>
        <v>4330.27</v>
      </c>
      <c r="E1660" s="13" t="str">
        <f t="shared" si="3"/>
        <v>LONG</v>
      </c>
      <c r="F1660" s="3">
        <f t="shared" si="4"/>
        <v>-0.0006185275906</v>
      </c>
      <c r="G1660" s="4">
        <f t="shared" si="5"/>
        <v>2.144626231</v>
      </c>
      <c r="H1660" s="3">
        <f t="shared" si="6"/>
        <v>-0.0006185275906</v>
      </c>
      <c r="I1660" s="5">
        <f t="shared" si="7"/>
        <v>1.500187909</v>
      </c>
    </row>
    <row r="1661">
      <c r="A1661" s="12">
        <f>IFERROR(__xludf.DUMMYFUNCTION("""COMPUTED_VALUE"""),44672.66666666667)</f>
        <v>44672.66667</v>
      </c>
      <c r="B1661" s="13">
        <f>IFERROR(__xludf.DUMMYFUNCTION("""COMPUTED_VALUE"""),4393.66)</f>
        <v>4393.66</v>
      </c>
      <c r="C1661" s="13">
        <f t="shared" si="1"/>
        <v>4437.405</v>
      </c>
      <c r="D1661" s="13">
        <f t="shared" si="2"/>
        <v>4282.18</v>
      </c>
      <c r="E1661" s="13" t="str">
        <f t="shared" si="3"/>
        <v>LONG</v>
      </c>
      <c r="F1661" s="3">
        <f t="shared" si="4"/>
        <v>-0.01475294039</v>
      </c>
      <c r="G1661" s="4">
        <f t="shared" si="5"/>
        <v>2.112986688</v>
      </c>
      <c r="H1661" s="3">
        <f t="shared" si="6"/>
        <v>-0.01475294039</v>
      </c>
      <c r="I1661" s="5">
        <f t="shared" si="7"/>
        <v>1.478055726</v>
      </c>
    </row>
    <row r="1662">
      <c r="A1662" s="12">
        <f>IFERROR(__xludf.DUMMYFUNCTION("""COMPUTED_VALUE"""),44673.66666666667)</f>
        <v>44673.66667</v>
      </c>
      <c r="B1662" s="13">
        <f>IFERROR(__xludf.DUMMYFUNCTION("""COMPUTED_VALUE"""),4271.78)</f>
        <v>4271.78</v>
      </c>
      <c r="C1662" s="13">
        <f t="shared" si="1"/>
        <v>4385.995</v>
      </c>
      <c r="D1662" s="13">
        <f t="shared" si="2"/>
        <v>4274.83</v>
      </c>
      <c r="E1662" s="13" t="str">
        <f t="shared" si="3"/>
        <v>LONG</v>
      </c>
      <c r="F1662" s="3">
        <f t="shared" si="4"/>
        <v>-0.02773997078</v>
      </c>
      <c r="G1662" s="4">
        <f t="shared" si="5"/>
        <v>2.054372499</v>
      </c>
      <c r="H1662" s="3">
        <f t="shared" si="6"/>
        <v>-0.02773997078</v>
      </c>
      <c r="I1662" s="5">
        <f t="shared" si="7"/>
        <v>1.437054504</v>
      </c>
    </row>
    <row r="1663">
      <c r="A1663" s="12">
        <f>IFERROR(__xludf.DUMMYFUNCTION("""COMPUTED_VALUE"""),44676.66666666667)</f>
        <v>44676.66667</v>
      </c>
      <c r="B1663" s="13">
        <f>IFERROR(__xludf.DUMMYFUNCTION("""COMPUTED_VALUE"""),4296.12)</f>
        <v>4296.12</v>
      </c>
      <c r="C1663" s="13">
        <f t="shared" si="1"/>
        <v>4392.2</v>
      </c>
      <c r="D1663" s="13">
        <f t="shared" si="2"/>
        <v>4277.82</v>
      </c>
      <c r="E1663" s="13" t="str">
        <f t="shared" si="3"/>
        <v>LONG</v>
      </c>
      <c r="F1663" s="3">
        <f t="shared" si="4"/>
        <v>0.005697858972</v>
      </c>
      <c r="G1663" s="4">
        <f t="shared" si="5"/>
        <v>2.066078024</v>
      </c>
      <c r="H1663" s="3">
        <f t="shared" si="6"/>
        <v>0.005697858972</v>
      </c>
      <c r="I1663" s="5">
        <f t="shared" si="7"/>
        <v>1.445242638</v>
      </c>
    </row>
    <row r="1664">
      <c r="A1664" s="12">
        <f>IFERROR(__xludf.DUMMYFUNCTION("""COMPUTED_VALUE"""),44677.66666666667)</f>
        <v>44677.66667</v>
      </c>
      <c r="B1664" s="13">
        <f>IFERROR(__xludf.DUMMYFUNCTION("""COMPUTED_VALUE"""),4175.2)</f>
        <v>4175.2</v>
      </c>
      <c r="C1664" s="13">
        <f t="shared" si="1"/>
        <v>4293.865</v>
      </c>
      <c r="D1664" s="13">
        <f t="shared" si="2"/>
        <v>4189.755</v>
      </c>
      <c r="E1664" s="13" t="str">
        <f t="shared" si="3"/>
        <v>LONG</v>
      </c>
      <c r="F1664" s="3">
        <f t="shared" si="4"/>
        <v>-0.02814632738</v>
      </c>
      <c r="G1664" s="4">
        <f t="shared" si="5"/>
        <v>2.007925516</v>
      </c>
      <c r="H1664" s="3">
        <f t="shared" si="6"/>
        <v>-0.02814632738</v>
      </c>
      <c r="I1664" s="5">
        <f t="shared" si="7"/>
        <v>1.404564365</v>
      </c>
    </row>
    <row r="1665">
      <c r="A1665" s="12">
        <f>IFERROR(__xludf.DUMMYFUNCTION("""COMPUTED_VALUE"""),44678.66666666667)</f>
        <v>44678.66667</v>
      </c>
      <c r="B1665" s="13">
        <f>IFERROR(__xludf.DUMMYFUNCTION("""COMPUTED_VALUE"""),4183.96)</f>
        <v>4183.96</v>
      </c>
      <c r="C1665" s="13">
        <f t="shared" si="1"/>
        <v>4290.705</v>
      </c>
      <c r="D1665" s="13">
        <f t="shared" si="2"/>
        <v>4178.535</v>
      </c>
      <c r="E1665" s="13" t="str">
        <f t="shared" si="3"/>
        <v>LONG</v>
      </c>
      <c r="F1665" s="3">
        <f t="shared" si="4"/>
        <v>0.002098103085</v>
      </c>
      <c r="G1665" s="4">
        <f t="shared" si="5"/>
        <v>2.01213835</v>
      </c>
      <c r="H1665" s="3">
        <f t="shared" si="6"/>
        <v>0.002098103085</v>
      </c>
      <c r="I1665" s="5">
        <f t="shared" si="7"/>
        <v>1.407511286</v>
      </c>
    </row>
    <row r="1666">
      <c r="A1666" s="12">
        <f>IFERROR(__xludf.DUMMYFUNCTION("""COMPUTED_VALUE"""),44679.66666666667)</f>
        <v>44679.66667</v>
      </c>
      <c r="B1666" s="13">
        <f>IFERROR(__xludf.DUMMYFUNCTION("""COMPUTED_VALUE"""),4287.5)</f>
        <v>4287.5</v>
      </c>
      <c r="C1666" s="13">
        <f t="shared" si="1"/>
        <v>4367.045</v>
      </c>
      <c r="D1666" s="13">
        <f t="shared" si="2"/>
        <v>4274.975</v>
      </c>
      <c r="E1666" s="13" t="str">
        <f t="shared" si="3"/>
        <v>LONG</v>
      </c>
      <c r="F1666" s="3">
        <f t="shared" si="4"/>
        <v>0.02474689051</v>
      </c>
      <c r="G1666" s="4">
        <f t="shared" si="5"/>
        <v>2.061932518</v>
      </c>
      <c r="H1666" s="3">
        <f t="shared" si="6"/>
        <v>0.02474689051</v>
      </c>
      <c r="I1666" s="5">
        <f t="shared" si="7"/>
        <v>1.442342814</v>
      </c>
    </row>
    <row r="1667">
      <c r="A1667" s="12">
        <f>IFERROR(__xludf.DUMMYFUNCTION("""COMPUTED_VALUE"""),44680.66666666667)</f>
        <v>44680.66667</v>
      </c>
      <c r="B1667" s="13">
        <f>IFERROR(__xludf.DUMMYFUNCTION("""COMPUTED_VALUE"""),4131.93)</f>
        <v>4131.93</v>
      </c>
      <c r="C1667" s="13">
        <f t="shared" si="1"/>
        <v>4262.26</v>
      </c>
      <c r="D1667" s="13">
        <f t="shared" si="2"/>
        <v>4244.895</v>
      </c>
      <c r="E1667" s="13" t="str">
        <f t="shared" si="3"/>
        <v>LONG</v>
      </c>
      <c r="F1667" s="3">
        <f t="shared" si="4"/>
        <v>-0.0362845481</v>
      </c>
      <c r="G1667" s="4">
        <f t="shared" si="5"/>
        <v>1.987116228</v>
      </c>
      <c r="H1667" s="3">
        <f t="shared" si="6"/>
        <v>-0.0362845481</v>
      </c>
      <c r="I1667" s="5">
        <f t="shared" si="7"/>
        <v>1.390008056</v>
      </c>
    </row>
    <row r="1668">
      <c r="A1668" s="12">
        <f>IFERROR(__xludf.DUMMYFUNCTION("""COMPUTED_VALUE"""),44683.66666666667)</f>
        <v>44683.66667</v>
      </c>
      <c r="B1668" s="13">
        <f>IFERROR(__xludf.DUMMYFUNCTION("""COMPUTED_VALUE"""),4155.38)</f>
        <v>4155.38</v>
      </c>
      <c r="C1668" s="13">
        <f t="shared" si="1"/>
        <v>4273.535</v>
      </c>
      <c r="D1668" s="13">
        <f t="shared" si="2"/>
        <v>4283.525</v>
      </c>
      <c r="E1668" s="13" t="str">
        <f t="shared" si="3"/>
        <v/>
      </c>
      <c r="F1668" s="3">
        <f t="shared" si="4"/>
        <v>0.005675313957</v>
      </c>
      <c r="G1668" s="4">
        <f t="shared" si="5"/>
        <v>1.998393737</v>
      </c>
      <c r="H1668" s="5">
        <f t="shared" si="6"/>
        <v>0</v>
      </c>
      <c r="I1668" s="5">
        <f t="shared" si="7"/>
        <v>1.390008056</v>
      </c>
    </row>
    <row r="1669">
      <c r="A1669" s="12">
        <f>IFERROR(__xludf.DUMMYFUNCTION("""COMPUTED_VALUE"""),44684.66666666667)</f>
        <v>44684.66667</v>
      </c>
      <c r="B1669" s="13">
        <f>IFERROR(__xludf.DUMMYFUNCTION("""COMPUTED_VALUE"""),4175.48)</f>
        <v>4175.48</v>
      </c>
      <c r="C1669" s="13">
        <f t="shared" si="1"/>
        <v>4318.845</v>
      </c>
      <c r="D1669" s="13">
        <f t="shared" si="2"/>
        <v>4319.3</v>
      </c>
      <c r="E1669" s="13" t="str">
        <f t="shared" si="3"/>
        <v/>
      </c>
      <c r="F1669" s="3">
        <f t="shared" si="4"/>
        <v>0.004837102744</v>
      </c>
      <c r="G1669" s="4">
        <f t="shared" si="5"/>
        <v>2.008060172</v>
      </c>
      <c r="H1669" s="5">
        <f t="shared" si="6"/>
        <v>0</v>
      </c>
      <c r="I1669" s="5">
        <f t="shared" si="7"/>
        <v>1.390008056</v>
      </c>
    </row>
    <row r="1670">
      <c r="A1670" s="12">
        <f>IFERROR(__xludf.DUMMYFUNCTION("""COMPUTED_VALUE"""),44685.66666666667)</f>
        <v>44685.66667</v>
      </c>
      <c r="B1670" s="13">
        <f>IFERROR(__xludf.DUMMYFUNCTION("""COMPUTED_VALUE"""),4300.17)</f>
        <v>4300.17</v>
      </c>
      <c r="C1670" s="13">
        <f t="shared" si="1"/>
        <v>4379.81</v>
      </c>
      <c r="D1670" s="13">
        <f t="shared" si="2"/>
        <v>4380.675</v>
      </c>
      <c r="E1670" s="13" t="str">
        <f t="shared" si="3"/>
        <v/>
      </c>
      <c r="F1670" s="3">
        <f t="shared" si="4"/>
        <v>0.02986243498</v>
      </c>
      <c r="G1670" s="4">
        <f t="shared" si="5"/>
        <v>2.068025739</v>
      </c>
      <c r="H1670" s="5">
        <f t="shared" si="6"/>
        <v>0</v>
      </c>
      <c r="I1670" s="5">
        <f t="shared" si="7"/>
        <v>1.390008056</v>
      </c>
    </row>
    <row r="1671">
      <c r="A1671" s="12">
        <f>IFERROR(__xludf.DUMMYFUNCTION("""COMPUTED_VALUE"""),44686.66666666667)</f>
        <v>44686.66667</v>
      </c>
      <c r="B1671" s="13">
        <f>IFERROR(__xludf.DUMMYFUNCTION("""COMPUTED_VALUE"""),4146.87)</f>
        <v>4146.87</v>
      </c>
      <c r="C1671" s="13">
        <f t="shared" si="1"/>
        <v>4270.265</v>
      </c>
      <c r="D1671" s="13">
        <f t="shared" si="2"/>
        <v>4329.24</v>
      </c>
      <c r="E1671" s="13" t="str">
        <f t="shared" si="3"/>
        <v/>
      </c>
      <c r="F1671" s="3">
        <f t="shared" si="4"/>
        <v>-0.03564975338</v>
      </c>
      <c r="G1671" s="4">
        <f t="shared" si="5"/>
        <v>1.994301131</v>
      </c>
      <c r="H1671" s="5">
        <f t="shared" si="6"/>
        <v>0</v>
      </c>
      <c r="I1671" s="5">
        <f t="shared" si="7"/>
        <v>1.390008056</v>
      </c>
    </row>
    <row r="1672">
      <c r="A1672" s="12">
        <f>IFERROR(__xludf.DUMMYFUNCTION("""COMPUTED_VALUE"""),44687.66666666667)</f>
        <v>44687.66667</v>
      </c>
      <c r="B1672" s="13">
        <f>IFERROR(__xludf.DUMMYFUNCTION("""COMPUTED_VALUE"""),4123.34)</f>
        <v>4123.34</v>
      </c>
      <c r="C1672" s="13">
        <f t="shared" si="1"/>
        <v>4197.56</v>
      </c>
      <c r="D1672" s="13">
        <f t="shared" si="2"/>
        <v>4289.79</v>
      </c>
      <c r="E1672" s="13" t="str">
        <f t="shared" si="3"/>
        <v/>
      </c>
      <c r="F1672" s="3">
        <f t="shared" si="4"/>
        <v>-0.005674159065</v>
      </c>
      <c r="G1672" s="4">
        <f t="shared" si="5"/>
        <v>1.982985149</v>
      </c>
      <c r="H1672" s="5">
        <f t="shared" si="6"/>
        <v>0</v>
      </c>
      <c r="I1672" s="5">
        <f t="shared" si="7"/>
        <v>1.390008056</v>
      </c>
    </row>
    <row r="1673">
      <c r="A1673" s="12">
        <f>IFERROR(__xludf.DUMMYFUNCTION("""COMPUTED_VALUE"""),44690.66666666667)</f>
        <v>44690.66667</v>
      </c>
      <c r="B1673" s="13">
        <f>IFERROR(__xludf.DUMMYFUNCTION("""COMPUTED_VALUE"""),3991.24)</f>
        <v>3991.24</v>
      </c>
      <c r="C1673" s="13">
        <f t="shared" si="1"/>
        <v>4143.68</v>
      </c>
      <c r="D1673" s="13">
        <f t="shared" si="2"/>
        <v>4255.7</v>
      </c>
      <c r="E1673" s="13" t="str">
        <f t="shared" si="3"/>
        <v/>
      </c>
      <c r="F1673" s="3">
        <f t="shared" si="4"/>
        <v>-0.03203713494</v>
      </c>
      <c r="G1673" s="4">
        <f t="shared" si="5"/>
        <v>1.919455986</v>
      </c>
      <c r="H1673" s="5">
        <f t="shared" si="6"/>
        <v>0</v>
      </c>
      <c r="I1673" s="5">
        <f t="shared" si="7"/>
        <v>1.390008056</v>
      </c>
    </row>
    <row r="1674">
      <c r="A1674" s="12">
        <f>IFERROR(__xludf.DUMMYFUNCTION("""COMPUTED_VALUE"""),44691.66666666667)</f>
        <v>44691.66667</v>
      </c>
      <c r="B1674" s="13">
        <f>IFERROR(__xludf.DUMMYFUNCTION("""COMPUTED_VALUE"""),4001.05)</f>
        <v>4001.05</v>
      </c>
      <c r="C1674" s="13">
        <f t="shared" si="1"/>
        <v>4088.125</v>
      </c>
      <c r="D1674" s="13">
        <f t="shared" si="2"/>
        <v>4272.055</v>
      </c>
      <c r="E1674" s="13" t="str">
        <f t="shared" si="3"/>
        <v/>
      </c>
      <c r="F1674" s="3">
        <f t="shared" si="4"/>
        <v>0.002457882763</v>
      </c>
      <c r="G1674" s="4">
        <f t="shared" si="5"/>
        <v>1.924173784</v>
      </c>
      <c r="H1674" s="5">
        <f t="shared" si="6"/>
        <v>0</v>
      </c>
      <c r="I1674" s="5">
        <f t="shared" si="7"/>
        <v>1.390008056</v>
      </c>
    </row>
    <row r="1675">
      <c r="A1675" s="12">
        <f>IFERROR(__xludf.DUMMYFUNCTION("""COMPUTED_VALUE"""),44692.66666666667)</f>
        <v>44692.66667</v>
      </c>
      <c r="B1675" s="13">
        <f>IFERROR(__xludf.DUMMYFUNCTION("""COMPUTED_VALUE"""),3935.18)</f>
        <v>3935.18</v>
      </c>
      <c r="C1675" s="13">
        <f t="shared" si="1"/>
        <v>4059.57</v>
      </c>
      <c r="D1675" s="13">
        <f t="shared" si="2"/>
        <v>4255.35</v>
      </c>
      <c r="E1675" s="13" t="str">
        <f t="shared" si="3"/>
        <v/>
      </c>
      <c r="F1675" s="3">
        <f t="shared" si="4"/>
        <v>-0.01646317842</v>
      </c>
      <c r="G1675" s="4">
        <f t="shared" si="5"/>
        <v>1.892495768</v>
      </c>
      <c r="H1675" s="5">
        <f t="shared" si="6"/>
        <v>0</v>
      </c>
      <c r="I1675" s="5">
        <f t="shared" si="7"/>
        <v>1.390008056</v>
      </c>
    </row>
    <row r="1676">
      <c r="A1676" s="12">
        <f>IFERROR(__xludf.DUMMYFUNCTION("""COMPUTED_VALUE"""),44693.66666666667)</f>
        <v>44693.66667</v>
      </c>
      <c r="B1676" s="13">
        <f>IFERROR(__xludf.DUMMYFUNCTION("""COMPUTED_VALUE"""),3930.08)</f>
        <v>3930.08</v>
      </c>
      <c r="C1676" s="13">
        <f t="shared" si="1"/>
        <v>4108.79</v>
      </c>
      <c r="D1676" s="13">
        <f t="shared" si="2"/>
        <v>4280.84</v>
      </c>
      <c r="E1676" s="13" t="str">
        <f t="shared" si="3"/>
        <v/>
      </c>
      <c r="F1676" s="3">
        <f t="shared" si="4"/>
        <v>-0.001296001708</v>
      </c>
      <c r="G1676" s="4">
        <f t="shared" si="5"/>
        <v>1.89004309</v>
      </c>
      <c r="H1676" s="5">
        <f t="shared" si="6"/>
        <v>0</v>
      </c>
      <c r="I1676" s="5">
        <f t="shared" si="7"/>
        <v>1.390008056</v>
      </c>
    </row>
    <row r="1677">
      <c r="A1677" s="12">
        <f>IFERROR(__xludf.DUMMYFUNCTION("""COMPUTED_VALUE"""),44694.66666666667)</f>
        <v>44694.66667</v>
      </c>
      <c r="B1677" s="13">
        <f>IFERROR(__xludf.DUMMYFUNCTION("""COMPUTED_VALUE"""),4023.89)</f>
        <v>4023.89</v>
      </c>
      <c r="C1677" s="13">
        <f t="shared" si="1"/>
        <v>4077.91</v>
      </c>
      <c r="D1677" s="13">
        <f t="shared" si="2"/>
        <v>4313.17</v>
      </c>
      <c r="E1677" s="13" t="str">
        <f t="shared" si="3"/>
        <v/>
      </c>
      <c r="F1677" s="3">
        <f t="shared" si="4"/>
        <v>0.02386974311</v>
      </c>
      <c r="G1677" s="4">
        <f t="shared" si="5"/>
        <v>1.935157933</v>
      </c>
      <c r="H1677" s="5">
        <f t="shared" si="6"/>
        <v>0</v>
      </c>
      <c r="I1677" s="5">
        <f t="shared" si="7"/>
        <v>1.390008056</v>
      </c>
    </row>
    <row r="1678">
      <c r="A1678" s="12">
        <f>IFERROR(__xludf.DUMMYFUNCTION("""COMPUTED_VALUE"""),44697.66666666667)</f>
        <v>44697.66667</v>
      </c>
      <c r="B1678" s="13">
        <f>IFERROR(__xludf.DUMMYFUNCTION("""COMPUTED_VALUE"""),4008.01)</f>
        <v>4008.01</v>
      </c>
      <c r="C1678" s="13">
        <f t="shared" si="1"/>
        <v>4081.695</v>
      </c>
      <c r="D1678" s="13">
        <f t="shared" si="2"/>
        <v>4269.21</v>
      </c>
      <c r="E1678" s="13" t="str">
        <f t="shared" si="3"/>
        <v/>
      </c>
      <c r="F1678" s="3">
        <f t="shared" si="4"/>
        <v>-0.003946429947</v>
      </c>
      <c r="G1678" s="4">
        <f t="shared" si="5"/>
        <v>1.927520968</v>
      </c>
      <c r="H1678" s="5">
        <f t="shared" si="6"/>
        <v>0</v>
      </c>
      <c r="I1678" s="5">
        <f t="shared" si="7"/>
        <v>1.390008056</v>
      </c>
    </row>
    <row r="1679">
      <c r="A1679" s="12">
        <f>IFERROR(__xludf.DUMMYFUNCTION("""COMPUTED_VALUE"""),44698.66666666667)</f>
        <v>44698.66667</v>
      </c>
      <c r="B1679" s="13">
        <f>IFERROR(__xludf.DUMMYFUNCTION("""COMPUTED_VALUE"""),4088.85)</f>
        <v>4088.85</v>
      </c>
      <c r="C1679" s="13">
        <f t="shared" si="1"/>
        <v>4132.165</v>
      </c>
      <c r="D1679" s="13">
        <f t="shared" si="2"/>
        <v>4317.355</v>
      </c>
      <c r="E1679" s="13" t="str">
        <f t="shared" si="3"/>
        <v/>
      </c>
      <c r="F1679" s="3">
        <f t="shared" si="4"/>
        <v>0.02016961036</v>
      </c>
      <c r="G1679" s="4">
        <f t="shared" si="5"/>
        <v>1.966398315</v>
      </c>
      <c r="H1679" s="5">
        <f t="shared" si="6"/>
        <v>0</v>
      </c>
      <c r="I1679" s="5">
        <f t="shared" si="7"/>
        <v>1.390008056</v>
      </c>
    </row>
    <row r="1680">
      <c r="A1680" s="12">
        <f>IFERROR(__xludf.DUMMYFUNCTION("""COMPUTED_VALUE"""),44699.66666666667)</f>
        <v>44699.66667</v>
      </c>
      <c r="B1680" s="13">
        <f>IFERROR(__xludf.DUMMYFUNCTION("""COMPUTED_VALUE"""),3923.68)</f>
        <v>3923.68</v>
      </c>
      <c r="C1680" s="13">
        <f t="shared" si="1"/>
        <v>4111.925</v>
      </c>
      <c r="D1680" s="13">
        <f t="shared" si="2"/>
        <v>4253.16</v>
      </c>
      <c r="E1680" s="13" t="str">
        <f t="shared" si="3"/>
        <v/>
      </c>
      <c r="F1680" s="3">
        <f t="shared" si="4"/>
        <v>-0.04039522115</v>
      </c>
      <c r="G1680" s="4">
        <f t="shared" si="5"/>
        <v>1.88696522</v>
      </c>
      <c r="H1680" s="5">
        <f t="shared" si="6"/>
        <v>0</v>
      </c>
      <c r="I1680" s="5">
        <f t="shared" si="7"/>
        <v>1.390008056</v>
      </c>
    </row>
    <row r="1681">
      <c r="A1681" s="12">
        <f>IFERROR(__xludf.DUMMYFUNCTION("""COMPUTED_VALUE"""),44700.66666666667)</f>
        <v>44700.66667</v>
      </c>
      <c r="B1681" s="13">
        <f>IFERROR(__xludf.DUMMYFUNCTION("""COMPUTED_VALUE"""),3900.79)</f>
        <v>3900.79</v>
      </c>
      <c r="C1681" s="13">
        <f t="shared" si="1"/>
        <v>4023.83</v>
      </c>
      <c r="D1681" s="13">
        <f t="shared" si="2"/>
        <v>4212.955</v>
      </c>
      <c r="E1681" s="13" t="str">
        <f t="shared" si="3"/>
        <v/>
      </c>
      <c r="F1681" s="3">
        <f t="shared" si="4"/>
        <v>-0.005833809077</v>
      </c>
      <c r="G1681" s="4">
        <f t="shared" si="5"/>
        <v>1.875957025</v>
      </c>
      <c r="H1681" s="5">
        <f t="shared" si="6"/>
        <v>0</v>
      </c>
      <c r="I1681" s="5">
        <f t="shared" si="7"/>
        <v>1.390008056</v>
      </c>
    </row>
    <row r="1682">
      <c r="A1682" s="12">
        <f>IFERROR(__xludf.DUMMYFUNCTION("""COMPUTED_VALUE"""),44701.66666666667)</f>
        <v>44701.66667</v>
      </c>
      <c r="B1682" s="13">
        <f>IFERROR(__xludf.DUMMYFUNCTION("""COMPUTED_VALUE"""),3901.36)</f>
        <v>3901.36</v>
      </c>
      <c r="C1682" s="13">
        <f t="shared" si="1"/>
        <v>4012.35</v>
      </c>
      <c r="D1682" s="13">
        <f t="shared" si="2"/>
        <v>4191.255</v>
      </c>
      <c r="E1682" s="13" t="str">
        <f t="shared" si="3"/>
        <v/>
      </c>
      <c r="F1682" s="3">
        <f t="shared" si="4"/>
        <v>0.0001461242466</v>
      </c>
      <c r="G1682" s="4">
        <f t="shared" si="5"/>
        <v>1.876231148</v>
      </c>
      <c r="H1682" s="5">
        <f t="shared" si="6"/>
        <v>0</v>
      </c>
      <c r="I1682" s="5">
        <f t="shared" si="7"/>
        <v>1.390008056</v>
      </c>
    </row>
    <row r="1683">
      <c r="A1683" s="12">
        <f>IFERROR(__xludf.DUMMYFUNCTION("""COMPUTED_VALUE"""),44704.66666666667)</f>
        <v>44704.66667</v>
      </c>
      <c r="B1683" s="13">
        <f>IFERROR(__xludf.DUMMYFUNCTION("""COMPUTED_VALUE"""),3973.75)</f>
        <v>3973.75</v>
      </c>
      <c r="C1683" s="13">
        <f t="shared" si="1"/>
        <v>3982.495</v>
      </c>
      <c r="D1683" s="13">
        <f t="shared" si="2"/>
        <v>4236.98</v>
      </c>
      <c r="E1683" s="13" t="str">
        <f t="shared" si="3"/>
        <v/>
      </c>
      <c r="F1683" s="3">
        <f t="shared" si="4"/>
        <v>0.01855506798</v>
      </c>
      <c r="G1683" s="4">
        <f t="shared" si="5"/>
        <v>1.911044745</v>
      </c>
      <c r="H1683" s="5">
        <f t="shared" si="6"/>
        <v>0</v>
      </c>
      <c r="I1683" s="5">
        <f t="shared" si="7"/>
        <v>1.390008056</v>
      </c>
    </row>
    <row r="1684">
      <c r="A1684" s="12">
        <f>IFERROR(__xludf.DUMMYFUNCTION("""COMPUTED_VALUE"""),44705.66666666667)</f>
        <v>44705.66667</v>
      </c>
      <c r="B1684" s="13">
        <f>IFERROR(__xludf.DUMMYFUNCTION("""COMPUTED_VALUE"""),3941.48)</f>
        <v>3941.48</v>
      </c>
      <c r="C1684" s="13">
        <f t="shared" si="1"/>
        <v>3971.265</v>
      </c>
      <c r="D1684" s="13">
        <f t="shared" si="2"/>
        <v>4214.88</v>
      </c>
      <c r="E1684" s="13" t="str">
        <f t="shared" si="3"/>
        <v/>
      </c>
      <c r="F1684" s="3">
        <f t="shared" si="4"/>
        <v>-0.008120792702</v>
      </c>
      <c r="G1684" s="4">
        <f t="shared" si="5"/>
        <v>1.895525546</v>
      </c>
      <c r="H1684" s="5">
        <f t="shared" si="6"/>
        <v>0</v>
      </c>
      <c r="I1684" s="5">
        <f t="shared" si="7"/>
        <v>1.390008056</v>
      </c>
    </row>
    <row r="1685">
      <c r="A1685" s="12">
        <f>IFERROR(__xludf.DUMMYFUNCTION("""COMPUTED_VALUE"""),44706.66666666667)</f>
        <v>44706.66667</v>
      </c>
      <c r="B1685" s="13">
        <f>IFERROR(__xludf.DUMMYFUNCTION("""COMPUTED_VALUE"""),3978.73)</f>
        <v>3978.73</v>
      </c>
      <c r="C1685" s="13">
        <f t="shared" si="1"/>
        <v>3956.955</v>
      </c>
      <c r="D1685" s="13">
        <f t="shared" si="2"/>
        <v>4195.63</v>
      </c>
      <c r="E1685" s="13" t="str">
        <f t="shared" si="3"/>
        <v/>
      </c>
      <c r="F1685" s="3">
        <f t="shared" si="4"/>
        <v>0.009450764687</v>
      </c>
      <c r="G1685" s="4">
        <f t="shared" si="5"/>
        <v>1.913439712</v>
      </c>
      <c r="H1685" s="5">
        <f t="shared" si="6"/>
        <v>0</v>
      </c>
      <c r="I1685" s="5">
        <f t="shared" si="7"/>
        <v>1.390008056</v>
      </c>
    </row>
    <row r="1686">
      <c r="A1686" s="12">
        <f>IFERROR(__xludf.DUMMYFUNCTION("""COMPUTED_VALUE"""),44707.66666666667)</f>
        <v>44707.66667</v>
      </c>
      <c r="B1686" s="13">
        <f>IFERROR(__xludf.DUMMYFUNCTION("""COMPUTED_VALUE"""),4057.84)</f>
        <v>4057.84</v>
      </c>
      <c r="C1686" s="13">
        <f t="shared" si="1"/>
        <v>3993.96</v>
      </c>
      <c r="D1686" s="13">
        <f t="shared" si="2"/>
        <v>4227.645</v>
      </c>
      <c r="E1686" s="13" t="str">
        <f t="shared" si="3"/>
        <v/>
      </c>
      <c r="F1686" s="3">
        <f t="shared" si="4"/>
        <v>0.01988322907</v>
      </c>
      <c r="G1686" s="4">
        <f t="shared" si="5"/>
        <v>1.951485072</v>
      </c>
      <c r="H1686" s="5">
        <f t="shared" si="6"/>
        <v>0</v>
      </c>
      <c r="I1686" s="5">
        <f t="shared" si="7"/>
        <v>1.390008056</v>
      </c>
    </row>
    <row r="1687">
      <c r="A1687" s="12">
        <f>IFERROR(__xludf.DUMMYFUNCTION("""COMPUTED_VALUE"""),44708.66666666667)</f>
        <v>44708.66667</v>
      </c>
      <c r="B1687" s="13">
        <f>IFERROR(__xludf.DUMMYFUNCTION("""COMPUTED_VALUE"""),4158.24)</f>
        <v>4158.24</v>
      </c>
      <c r="C1687" s="13">
        <f t="shared" si="1"/>
        <v>4091.065</v>
      </c>
      <c r="D1687" s="13">
        <f t="shared" si="2"/>
        <v>4302.415</v>
      </c>
      <c r="E1687" s="13" t="str">
        <f t="shared" si="3"/>
        <v/>
      </c>
      <c r="F1687" s="3">
        <f t="shared" si="4"/>
        <v>0.02474222739</v>
      </c>
      <c r="G1687" s="4">
        <f t="shared" si="5"/>
        <v>1.99976916</v>
      </c>
      <c r="H1687" s="5">
        <f t="shared" si="6"/>
        <v>0</v>
      </c>
      <c r="I1687" s="5">
        <f t="shared" si="7"/>
        <v>1.390008056</v>
      </c>
    </row>
    <row r="1688">
      <c r="A1688" s="12">
        <f>IFERROR(__xludf.DUMMYFUNCTION("""COMPUTED_VALUE"""),44712.66666666667)</f>
        <v>44712.66667</v>
      </c>
      <c r="B1688" s="13">
        <f>IFERROR(__xludf.DUMMYFUNCTION("""COMPUTED_VALUE"""),4132.15)</f>
        <v>4132.15</v>
      </c>
      <c r="C1688" s="13">
        <f t="shared" si="1"/>
        <v>4070.08</v>
      </c>
      <c r="D1688" s="13">
        <f t="shared" si="2"/>
        <v>4262.37</v>
      </c>
      <c r="E1688" s="13" t="str">
        <f t="shared" si="3"/>
        <v/>
      </c>
      <c r="F1688" s="3">
        <f t="shared" si="4"/>
        <v>-0.006274289122</v>
      </c>
      <c r="G1688" s="4">
        <f t="shared" si="5"/>
        <v>1.98722203</v>
      </c>
      <c r="H1688" s="5">
        <f t="shared" si="6"/>
        <v>0</v>
      </c>
      <c r="I1688" s="5">
        <f t="shared" si="7"/>
        <v>1.390008056</v>
      </c>
    </row>
    <row r="1689">
      <c r="A1689" s="12">
        <f>IFERROR(__xludf.DUMMYFUNCTION("""COMPUTED_VALUE"""),44713.66666666667)</f>
        <v>44713.66667</v>
      </c>
      <c r="B1689" s="13">
        <f>IFERROR(__xludf.DUMMYFUNCTION("""COMPUTED_VALUE"""),4101.23)</f>
        <v>4101.23</v>
      </c>
      <c r="C1689" s="13">
        <f t="shared" si="1"/>
        <v>4095.04</v>
      </c>
      <c r="D1689" s="13">
        <f t="shared" si="2"/>
        <v>4246.46</v>
      </c>
      <c r="E1689" s="13" t="str">
        <f t="shared" si="3"/>
        <v/>
      </c>
      <c r="F1689" s="3">
        <f t="shared" si="4"/>
        <v>-0.007482787411</v>
      </c>
      <c r="G1689" s="4">
        <f t="shared" si="5"/>
        <v>1.97235207</v>
      </c>
      <c r="H1689" s="5">
        <f t="shared" si="6"/>
        <v>0</v>
      </c>
      <c r="I1689" s="5">
        <f t="shared" si="7"/>
        <v>1.390008056</v>
      </c>
    </row>
    <row r="1690">
      <c r="A1690" s="12">
        <f>IFERROR(__xludf.DUMMYFUNCTION("""COMPUTED_VALUE"""),44714.66666666667)</f>
        <v>44714.66667</v>
      </c>
      <c r="B1690" s="13">
        <f>IFERROR(__xludf.DUMMYFUNCTION("""COMPUTED_VALUE"""),4176.82)</f>
        <v>4176.82</v>
      </c>
      <c r="C1690" s="13">
        <f t="shared" si="1"/>
        <v>4050.25</v>
      </c>
      <c r="D1690" s="13">
        <f t="shared" si="2"/>
        <v>4319.515</v>
      </c>
      <c r="E1690" s="13" t="str">
        <f t="shared" si="3"/>
        <v/>
      </c>
      <c r="F1690" s="3">
        <f t="shared" si="4"/>
        <v>0.01843105605</v>
      </c>
      <c r="G1690" s="4">
        <f t="shared" si="5"/>
        <v>2.008704601</v>
      </c>
      <c r="H1690" s="5">
        <f t="shared" si="6"/>
        <v>0</v>
      </c>
      <c r="I1690" s="5">
        <f t="shared" si="7"/>
        <v>1.390008056</v>
      </c>
    </row>
    <row r="1691">
      <c r="A1691" s="12">
        <f>IFERROR(__xludf.DUMMYFUNCTION("""COMPUTED_VALUE"""),44715.66666666667)</f>
        <v>44715.66667</v>
      </c>
      <c r="B1691" s="13">
        <f>IFERROR(__xludf.DUMMYFUNCTION("""COMPUTED_VALUE"""),4108.54)</f>
        <v>4108.54</v>
      </c>
      <c r="C1691" s="13">
        <f t="shared" si="1"/>
        <v>4004.665</v>
      </c>
      <c r="D1691" s="13">
        <f t="shared" si="2"/>
        <v>4283.995</v>
      </c>
      <c r="E1691" s="13" t="str">
        <f t="shared" si="3"/>
        <v/>
      </c>
      <c r="F1691" s="3">
        <f t="shared" si="4"/>
        <v>-0.01634736474</v>
      </c>
      <c r="G1691" s="4">
        <f t="shared" si="5"/>
        <v>1.975867575</v>
      </c>
      <c r="H1691" s="5">
        <f t="shared" si="6"/>
        <v>0</v>
      </c>
      <c r="I1691" s="5">
        <f t="shared" si="7"/>
        <v>1.390008056</v>
      </c>
    </row>
    <row r="1692">
      <c r="A1692" s="12">
        <f>IFERROR(__xludf.DUMMYFUNCTION("""COMPUTED_VALUE"""),44718.66666666667)</f>
        <v>44718.66667</v>
      </c>
      <c r="B1692" s="13">
        <f>IFERROR(__xludf.DUMMYFUNCTION("""COMPUTED_VALUE"""),4121.43)</f>
        <v>4121.43</v>
      </c>
      <c r="C1692" s="13">
        <f t="shared" si="1"/>
        <v>4011.395</v>
      </c>
      <c r="D1692" s="13">
        <f t="shared" si="2"/>
        <v>4257.545</v>
      </c>
      <c r="E1692" s="13" t="str">
        <f t="shared" si="3"/>
        <v/>
      </c>
      <c r="F1692" s="3">
        <f t="shared" si="4"/>
        <v>0.003137367532</v>
      </c>
      <c r="G1692" s="4">
        <f t="shared" si="5"/>
        <v>1.982066597</v>
      </c>
      <c r="H1692" s="5">
        <f t="shared" si="6"/>
        <v>0</v>
      </c>
      <c r="I1692" s="5">
        <f t="shared" si="7"/>
        <v>1.390008056</v>
      </c>
    </row>
    <row r="1693">
      <c r="A1693" s="12">
        <f>IFERROR(__xludf.DUMMYFUNCTION("""COMPUTED_VALUE"""),44719.66666666667)</f>
        <v>44719.66667</v>
      </c>
      <c r="B1693" s="13">
        <f>IFERROR(__xludf.DUMMYFUNCTION("""COMPUTED_VALUE"""),4160.68)</f>
        <v>4160.68</v>
      </c>
      <c r="C1693" s="13">
        <f t="shared" si="1"/>
        <v>4067.215</v>
      </c>
      <c r="D1693" s="13">
        <f t="shared" si="2"/>
        <v>4216.23</v>
      </c>
      <c r="E1693" s="13" t="str">
        <f t="shared" si="3"/>
        <v/>
      </c>
      <c r="F1693" s="3">
        <f t="shared" si="4"/>
        <v>0.009523393579</v>
      </c>
      <c r="G1693" s="4">
        <f t="shared" si="5"/>
        <v>2.000942598</v>
      </c>
      <c r="H1693" s="5">
        <f t="shared" si="6"/>
        <v>0</v>
      </c>
      <c r="I1693" s="5">
        <f t="shared" si="7"/>
        <v>1.390008056</v>
      </c>
    </row>
    <row r="1694">
      <c r="A1694" s="12">
        <f>IFERROR(__xludf.DUMMYFUNCTION("""COMPUTED_VALUE"""),44720.66666666667)</f>
        <v>44720.66667</v>
      </c>
      <c r="B1694" s="13">
        <f>IFERROR(__xludf.DUMMYFUNCTION("""COMPUTED_VALUE"""),4115.77)</f>
        <v>4115.77</v>
      </c>
      <c r="C1694" s="13">
        <f t="shared" si="1"/>
        <v>4028.625</v>
      </c>
      <c r="D1694" s="13">
        <f t="shared" si="2"/>
        <v>4205.945</v>
      </c>
      <c r="E1694" s="13" t="str">
        <f t="shared" si="3"/>
        <v/>
      </c>
      <c r="F1694" s="3">
        <f t="shared" si="4"/>
        <v>-0.01079390869</v>
      </c>
      <c r="G1694" s="4">
        <f t="shared" si="5"/>
        <v>1.979344606</v>
      </c>
      <c r="H1694" s="5">
        <f t="shared" si="6"/>
        <v>0</v>
      </c>
      <c r="I1694" s="5">
        <f t="shared" si="7"/>
        <v>1.390008056</v>
      </c>
    </row>
    <row r="1695">
      <c r="A1695" s="12">
        <f>IFERROR(__xludf.DUMMYFUNCTION("""COMPUTED_VALUE"""),44721.66666666667)</f>
        <v>44721.66667</v>
      </c>
      <c r="B1695" s="13">
        <f>IFERROR(__xludf.DUMMYFUNCTION("""COMPUTED_VALUE"""),4017.82)</f>
        <v>4017.82</v>
      </c>
      <c r="C1695" s="13">
        <f t="shared" si="1"/>
        <v>3998.275</v>
      </c>
      <c r="D1695" s="13">
        <f t="shared" si="2"/>
        <v>4096.51</v>
      </c>
      <c r="E1695" s="13" t="str">
        <f t="shared" si="3"/>
        <v/>
      </c>
      <c r="F1695" s="3">
        <f t="shared" si="4"/>
        <v>-0.02379870595</v>
      </c>
      <c r="G1695" s="4">
        <f t="shared" si="5"/>
        <v>1.932238766</v>
      </c>
      <c r="H1695" s="5">
        <f t="shared" si="6"/>
        <v>0</v>
      </c>
      <c r="I1695" s="5">
        <f t="shared" si="7"/>
        <v>1.390008056</v>
      </c>
    </row>
    <row r="1696">
      <c r="A1696" s="12">
        <f>IFERROR(__xludf.DUMMYFUNCTION("""COMPUTED_VALUE"""),44722.66666666667)</f>
        <v>44722.66667</v>
      </c>
      <c r="B1696" s="13">
        <f>IFERROR(__xludf.DUMMYFUNCTION("""COMPUTED_VALUE"""),3900.86)</f>
        <v>3900.86</v>
      </c>
      <c r="C1696" s="13">
        <f t="shared" si="1"/>
        <v>3979.35</v>
      </c>
      <c r="D1696" s="13">
        <f t="shared" si="2"/>
        <v>4042.41</v>
      </c>
      <c r="E1696" s="13" t="str">
        <f t="shared" si="3"/>
        <v/>
      </c>
      <c r="F1696" s="3">
        <f t="shared" si="4"/>
        <v>-0.02911031355</v>
      </c>
      <c r="G1696" s="4">
        <f t="shared" si="5"/>
        <v>1.875990689</v>
      </c>
      <c r="H1696" s="5">
        <f t="shared" si="6"/>
        <v>0</v>
      </c>
      <c r="I1696" s="5">
        <f t="shared" si="7"/>
        <v>1.390008056</v>
      </c>
    </row>
    <row r="1697">
      <c r="A1697" s="12">
        <f>IFERROR(__xludf.DUMMYFUNCTION("""COMPUTED_VALUE"""),44725.66666666667)</f>
        <v>44725.66667</v>
      </c>
      <c r="B1697" s="13">
        <f>IFERROR(__xludf.DUMMYFUNCTION("""COMPUTED_VALUE"""),3749.63)</f>
        <v>3749.63</v>
      </c>
      <c r="C1697" s="13">
        <f t="shared" si="1"/>
        <v>3953.935</v>
      </c>
      <c r="D1697" s="13">
        <f t="shared" si="2"/>
        <v>4018.565</v>
      </c>
      <c r="E1697" s="13" t="str">
        <f t="shared" si="3"/>
        <v/>
      </c>
      <c r="F1697" s="3">
        <f t="shared" si="4"/>
        <v>-0.03876837415</v>
      </c>
      <c r="G1697" s="4">
        <f t="shared" si="5"/>
        <v>1.80326158</v>
      </c>
      <c r="H1697" s="5">
        <f t="shared" si="6"/>
        <v>0</v>
      </c>
      <c r="I1697" s="5">
        <f t="shared" si="7"/>
        <v>1.390008056</v>
      </c>
    </row>
    <row r="1698">
      <c r="A1698" s="12">
        <f>IFERROR(__xludf.DUMMYFUNCTION("""COMPUTED_VALUE"""),44726.66666666667)</f>
        <v>44726.66667</v>
      </c>
      <c r="B1698" s="13">
        <f>IFERROR(__xludf.DUMMYFUNCTION("""COMPUTED_VALUE"""),3735.48)</f>
        <v>3735.48</v>
      </c>
      <c r="C1698" s="13">
        <f t="shared" si="1"/>
        <v>3933.815</v>
      </c>
      <c r="D1698" s="13">
        <f t="shared" si="2"/>
        <v>3933.705</v>
      </c>
      <c r="E1698" s="13" t="str">
        <f t="shared" si="3"/>
        <v>LONG</v>
      </c>
      <c r="F1698" s="3">
        <f t="shared" si="4"/>
        <v>-0.003773705672</v>
      </c>
      <c r="G1698" s="4">
        <f t="shared" si="5"/>
        <v>1.796456602</v>
      </c>
      <c r="H1698" s="3">
        <f t="shared" si="6"/>
        <v>-0.003773705672</v>
      </c>
      <c r="I1698" s="5">
        <f t="shared" si="7"/>
        <v>1.384762575</v>
      </c>
    </row>
    <row r="1699">
      <c r="A1699" s="12">
        <f>IFERROR(__xludf.DUMMYFUNCTION("""COMPUTED_VALUE"""),44727.66666666667)</f>
        <v>44727.66667</v>
      </c>
      <c r="B1699" s="13">
        <f>IFERROR(__xludf.DUMMYFUNCTION("""COMPUTED_VALUE"""),3789.99)</f>
        <v>3789.99</v>
      </c>
      <c r="C1699" s="13">
        <f t="shared" si="1"/>
        <v>3945.61</v>
      </c>
      <c r="D1699" s="13">
        <f t="shared" si="2"/>
        <v>3972.685</v>
      </c>
      <c r="E1699" s="13" t="str">
        <f t="shared" si="3"/>
        <v/>
      </c>
      <c r="F1699" s="3">
        <f t="shared" si="4"/>
        <v>0.01459250217</v>
      </c>
      <c r="G1699" s="4">
        <f t="shared" si="5"/>
        <v>1.822671399</v>
      </c>
      <c r="H1699" s="5">
        <f t="shared" si="6"/>
        <v>0</v>
      </c>
      <c r="I1699" s="5">
        <f t="shared" si="7"/>
        <v>1.384762575</v>
      </c>
    </row>
    <row r="1700">
      <c r="A1700" s="12">
        <f>IFERROR(__xludf.DUMMYFUNCTION("""COMPUTED_VALUE"""),44728.66666666667)</f>
        <v>44728.66667</v>
      </c>
      <c r="B1700" s="13">
        <f>IFERROR(__xludf.DUMMYFUNCTION("""COMPUTED_VALUE"""),3666.77)</f>
        <v>3666.77</v>
      </c>
      <c r="C1700" s="13">
        <f t="shared" si="1"/>
        <v>3921.795</v>
      </c>
      <c r="D1700" s="13">
        <f t="shared" si="2"/>
        <v>3921.125</v>
      </c>
      <c r="E1700" s="13" t="str">
        <f t="shared" si="3"/>
        <v>LONG</v>
      </c>
      <c r="F1700" s="3">
        <f t="shared" si="4"/>
        <v>-0.03251195913</v>
      </c>
      <c r="G1700" s="4">
        <f t="shared" si="5"/>
        <v>1.763412781</v>
      </c>
      <c r="H1700" s="3">
        <f t="shared" si="6"/>
        <v>-0.03251195913</v>
      </c>
      <c r="I1700" s="5">
        <f t="shared" si="7"/>
        <v>1.339741231</v>
      </c>
    </row>
    <row r="1701">
      <c r="A1701" s="12">
        <f>IFERROR(__xludf.DUMMYFUNCTION("""COMPUTED_VALUE"""),44729.66666666667)</f>
        <v>44729.66667</v>
      </c>
      <c r="B1701" s="13">
        <f>IFERROR(__xludf.DUMMYFUNCTION("""COMPUTED_VALUE"""),3674.84)</f>
        <v>3674.84</v>
      </c>
      <c r="C1701" s="13">
        <f t="shared" si="1"/>
        <v>3891.69</v>
      </c>
      <c r="D1701" s="13">
        <f t="shared" si="2"/>
        <v>3987.505</v>
      </c>
      <c r="E1701" s="13" t="str">
        <f t="shared" si="3"/>
        <v/>
      </c>
      <c r="F1701" s="3">
        <f t="shared" si="4"/>
        <v>0.002200847067</v>
      </c>
      <c r="G1701" s="4">
        <f t="shared" si="5"/>
        <v>1.767293783</v>
      </c>
      <c r="H1701" s="5">
        <f t="shared" si="6"/>
        <v>0</v>
      </c>
      <c r="I1701" s="5">
        <f t="shared" si="7"/>
        <v>1.339741231</v>
      </c>
    </row>
    <row r="1702">
      <c r="A1702" s="12">
        <f>IFERROR(__xludf.DUMMYFUNCTION("""COMPUTED_VALUE"""),44733.66666666667)</f>
        <v>44733.66667</v>
      </c>
      <c r="B1702" s="13">
        <f>IFERROR(__xludf.DUMMYFUNCTION("""COMPUTED_VALUE"""),3764.79)</f>
        <v>3764.79</v>
      </c>
      <c r="C1702" s="13">
        <f t="shared" si="1"/>
        <v>3943.11</v>
      </c>
      <c r="D1702" s="13">
        <f t="shared" si="2"/>
        <v>3955.83</v>
      </c>
      <c r="E1702" s="13" t="str">
        <f t="shared" si="3"/>
        <v/>
      </c>
      <c r="F1702" s="3">
        <f t="shared" si="4"/>
        <v>0.02447725615</v>
      </c>
      <c r="G1702" s="4">
        <f t="shared" si="5"/>
        <v>1.810552285</v>
      </c>
      <c r="H1702" s="5">
        <f t="shared" si="6"/>
        <v>0</v>
      </c>
      <c r="I1702" s="5">
        <f t="shared" si="7"/>
        <v>1.339741231</v>
      </c>
    </row>
    <row r="1703">
      <c r="A1703" s="12">
        <f>IFERROR(__xludf.DUMMYFUNCTION("""COMPUTED_VALUE"""),44734.66666666667)</f>
        <v>44734.66667</v>
      </c>
      <c r="B1703" s="13">
        <f>IFERROR(__xludf.DUMMYFUNCTION("""COMPUTED_VALUE"""),3759.89)</f>
        <v>3759.89</v>
      </c>
      <c r="C1703" s="13">
        <f t="shared" si="1"/>
        <v>3960.285</v>
      </c>
      <c r="D1703" s="13">
        <f t="shared" si="2"/>
        <v>3941.615</v>
      </c>
      <c r="E1703" s="13" t="str">
        <f t="shared" si="3"/>
        <v>LONG</v>
      </c>
      <c r="F1703" s="3">
        <f t="shared" si="4"/>
        <v>-0.001301533419</v>
      </c>
      <c r="G1703" s="4">
        <f t="shared" si="5"/>
        <v>1.808195791</v>
      </c>
      <c r="H1703" s="3">
        <f t="shared" si="6"/>
        <v>-0.001301533419</v>
      </c>
      <c r="I1703" s="5">
        <f t="shared" si="7"/>
        <v>1.337997513</v>
      </c>
    </row>
    <row r="1704">
      <c r="A1704" s="12">
        <f>IFERROR(__xludf.DUMMYFUNCTION("""COMPUTED_VALUE"""),44735.66666666667)</f>
        <v>44735.66667</v>
      </c>
      <c r="B1704" s="13">
        <f>IFERROR(__xludf.DUMMYFUNCTION("""COMPUTED_VALUE"""),3795.73)</f>
        <v>3795.73</v>
      </c>
      <c r="C1704" s="13">
        <f t="shared" si="1"/>
        <v>3955.75</v>
      </c>
      <c r="D1704" s="13">
        <f t="shared" si="2"/>
        <v>3893.485</v>
      </c>
      <c r="E1704" s="13" t="str">
        <f t="shared" si="3"/>
        <v>LONG</v>
      </c>
      <c r="F1704" s="3">
        <f t="shared" si="4"/>
        <v>0.009532193761</v>
      </c>
      <c r="G1704" s="4">
        <f t="shared" si="5"/>
        <v>1.825431864</v>
      </c>
      <c r="H1704" s="3">
        <f t="shared" si="6"/>
        <v>0.009532193761</v>
      </c>
      <c r="I1704" s="5">
        <f t="shared" si="7"/>
        <v>1.350751564</v>
      </c>
    </row>
    <row r="1705">
      <c r="A1705" s="12">
        <f>IFERROR(__xludf.DUMMYFUNCTION("""COMPUTED_VALUE"""),44736.66666666667)</f>
        <v>44736.66667</v>
      </c>
      <c r="B1705" s="13">
        <f>IFERROR(__xludf.DUMMYFUNCTION("""COMPUTED_VALUE"""),3911.74)</f>
        <v>3911.74</v>
      </c>
      <c r="C1705" s="13">
        <f t="shared" si="1"/>
        <v>3964.78</v>
      </c>
      <c r="D1705" s="13">
        <f t="shared" si="2"/>
        <v>3956.395</v>
      </c>
      <c r="E1705" s="13" t="str">
        <f t="shared" si="3"/>
        <v>LONG</v>
      </c>
      <c r="F1705" s="3">
        <f t="shared" si="4"/>
        <v>0.03056329086</v>
      </c>
      <c r="G1705" s="4">
        <f t="shared" si="5"/>
        <v>1.881223069</v>
      </c>
      <c r="H1705" s="3">
        <f t="shared" si="6"/>
        <v>0.03056329086</v>
      </c>
      <c r="I1705" s="5">
        <f t="shared" si="7"/>
        <v>1.392034977</v>
      </c>
    </row>
    <row r="1706">
      <c r="A1706" s="12">
        <f>IFERROR(__xludf.DUMMYFUNCTION("""COMPUTED_VALUE"""),44739.66666666667)</f>
        <v>44739.66667</v>
      </c>
      <c r="B1706" s="13">
        <f>IFERROR(__xludf.DUMMYFUNCTION("""COMPUTED_VALUE"""),3900.11)</f>
        <v>3900.11</v>
      </c>
      <c r="C1706" s="13">
        <f t="shared" si="1"/>
        <v>3900.485</v>
      </c>
      <c r="D1706" s="13">
        <f t="shared" si="2"/>
        <v>3917.645</v>
      </c>
      <c r="E1706" s="13" t="str">
        <f t="shared" si="3"/>
        <v/>
      </c>
      <c r="F1706" s="3">
        <f t="shared" si="4"/>
        <v>-0.002973101484</v>
      </c>
      <c r="G1706" s="4">
        <f t="shared" si="5"/>
        <v>1.875630002</v>
      </c>
      <c r="H1706" s="5">
        <f t="shared" si="6"/>
        <v>0</v>
      </c>
      <c r="I1706" s="5">
        <f t="shared" si="7"/>
        <v>1.392034977</v>
      </c>
    </row>
    <row r="1707">
      <c r="A1707" s="12">
        <f>IFERROR(__xludf.DUMMYFUNCTION("""COMPUTED_VALUE"""),44740.66666666667)</f>
        <v>44740.66667</v>
      </c>
      <c r="B1707" s="13">
        <f>IFERROR(__xludf.DUMMYFUNCTION("""COMPUTED_VALUE"""),3821.55)</f>
        <v>3821.55</v>
      </c>
      <c r="C1707" s="13">
        <f t="shared" si="1"/>
        <v>3785.59</v>
      </c>
      <c r="D1707" s="13">
        <f t="shared" si="2"/>
        <v>3875.815</v>
      </c>
      <c r="E1707" s="13" t="str">
        <f t="shared" si="3"/>
        <v/>
      </c>
      <c r="F1707" s="3">
        <f t="shared" si="4"/>
        <v>-0.02014302161</v>
      </c>
      <c r="G1707" s="4">
        <f t="shared" si="5"/>
        <v>1.837849146</v>
      </c>
      <c r="H1707" s="5">
        <f t="shared" si="6"/>
        <v>0</v>
      </c>
      <c r="I1707" s="5">
        <f t="shared" si="7"/>
        <v>1.392034977</v>
      </c>
    </row>
    <row r="1708">
      <c r="A1708" s="12">
        <f>IFERROR(__xludf.DUMMYFUNCTION("""COMPUTED_VALUE"""),44741.66666666667)</f>
        <v>44741.66667</v>
      </c>
      <c r="B1708" s="13">
        <f>IFERROR(__xludf.DUMMYFUNCTION("""COMPUTED_VALUE"""),3818.83)</f>
        <v>3818.83</v>
      </c>
      <c r="C1708" s="13">
        <f t="shared" si="1"/>
        <v>3777.155</v>
      </c>
      <c r="D1708" s="13">
        <f t="shared" si="2"/>
        <v>3921.36</v>
      </c>
      <c r="E1708" s="13" t="str">
        <f t="shared" si="3"/>
        <v/>
      </c>
      <c r="F1708" s="3">
        <f t="shared" si="4"/>
        <v>-0.0007117530845</v>
      </c>
      <c r="G1708" s="4">
        <f t="shared" si="5"/>
        <v>1.836541051</v>
      </c>
      <c r="H1708" s="5">
        <f t="shared" si="6"/>
        <v>0</v>
      </c>
      <c r="I1708" s="5">
        <f t="shared" si="7"/>
        <v>1.392034977</v>
      </c>
    </row>
    <row r="1709">
      <c r="A1709" s="12">
        <f>IFERROR(__xludf.DUMMYFUNCTION("""COMPUTED_VALUE"""),44742.66666666667)</f>
        <v>44742.66667</v>
      </c>
      <c r="B1709" s="13">
        <f>IFERROR(__xludf.DUMMYFUNCTION("""COMPUTED_VALUE"""),3785.38)</f>
        <v>3785.38</v>
      </c>
      <c r="C1709" s="13">
        <f t="shared" si="1"/>
        <v>3787.685</v>
      </c>
      <c r="D1709" s="13">
        <f t="shared" si="2"/>
        <v>3896.695</v>
      </c>
      <c r="E1709" s="13" t="str">
        <f t="shared" si="3"/>
        <v/>
      </c>
      <c r="F1709" s="3">
        <f t="shared" si="4"/>
        <v>-0.008759227303</v>
      </c>
      <c r="G1709" s="4">
        <f t="shared" si="5"/>
        <v>1.820454371</v>
      </c>
      <c r="H1709" s="5">
        <f t="shared" si="6"/>
        <v>0</v>
      </c>
      <c r="I1709" s="5">
        <f t="shared" si="7"/>
        <v>1.392034977</v>
      </c>
    </row>
    <row r="1710">
      <c r="A1710" s="12">
        <f>IFERROR(__xludf.DUMMYFUNCTION("""COMPUTED_VALUE"""),44743.66666666667)</f>
        <v>44743.66667</v>
      </c>
      <c r="B1710" s="13">
        <f>IFERROR(__xludf.DUMMYFUNCTION("""COMPUTED_VALUE"""),3825.33)</f>
        <v>3825.33</v>
      </c>
      <c r="C1710" s="13">
        <f t="shared" si="1"/>
        <v>3746.05</v>
      </c>
      <c r="D1710" s="13">
        <f t="shared" si="2"/>
        <v>3957.09</v>
      </c>
      <c r="E1710" s="13" t="str">
        <f t="shared" si="3"/>
        <v/>
      </c>
      <c r="F1710" s="3">
        <f t="shared" si="4"/>
        <v>0.01055376211</v>
      </c>
      <c r="G1710" s="4">
        <f t="shared" si="5"/>
        <v>1.839667013</v>
      </c>
      <c r="H1710" s="5">
        <f t="shared" si="6"/>
        <v>0</v>
      </c>
      <c r="I1710" s="5">
        <f t="shared" si="7"/>
        <v>1.392034977</v>
      </c>
    </row>
    <row r="1711">
      <c r="A1711" s="12">
        <f>IFERROR(__xludf.DUMMYFUNCTION("""COMPUTED_VALUE"""),44747.66666666667)</f>
        <v>44747.66667</v>
      </c>
      <c r="B1711" s="13">
        <f>IFERROR(__xludf.DUMMYFUNCTION("""COMPUTED_VALUE"""),3831.39)</f>
        <v>3831.39</v>
      </c>
      <c r="C1711" s="13">
        <f t="shared" si="1"/>
        <v>3753.115</v>
      </c>
      <c r="D1711" s="13">
        <f t="shared" si="2"/>
        <v>3877.535</v>
      </c>
      <c r="E1711" s="13" t="str">
        <f t="shared" si="3"/>
        <v/>
      </c>
      <c r="F1711" s="3">
        <f t="shared" si="4"/>
        <v>0.001584177051</v>
      </c>
      <c r="G1711" s="4">
        <f t="shared" si="5"/>
        <v>1.842581371</v>
      </c>
      <c r="H1711" s="5">
        <f t="shared" si="6"/>
        <v>0</v>
      </c>
      <c r="I1711" s="5">
        <f t="shared" si="7"/>
        <v>1.392034977</v>
      </c>
    </row>
    <row r="1712">
      <c r="A1712" s="12">
        <f>IFERROR(__xludf.DUMMYFUNCTION("""COMPUTED_VALUE"""),44748.66666666667)</f>
        <v>44748.66667</v>
      </c>
      <c r="B1712" s="13">
        <f>IFERROR(__xludf.DUMMYFUNCTION("""COMPUTED_VALUE"""),3845.08)</f>
        <v>3845.08</v>
      </c>
      <c r="C1712" s="13">
        <f t="shared" si="1"/>
        <v>3804.935</v>
      </c>
      <c r="D1712" s="13">
        <f t="shared" si="2"/>
        <v>3872.935</v>
      </c>
      <c r="E1712" s="13" t="str">
        <f t="shared" si="3"/>
        <v/>
      </c>
      <c r="F1712" s="3">
        <f t="shared" si="4"/>
        <v>0.003573115762</v>
      </c>
      <c r="G1712" s="4">
        <f t="shared" si="5"/>
        <v>1.849165128</v>
      </c>
      <c r="H1712" s="5">
        <f t="shared" si="6"/>
        <v>0</v>
      </c>
      <c r="I1712" s="5">
        <f t="shared" si="7"/>
        <v>1.392034977</v>
      </c>
    </row>
    <row r="1713">
      <c r="A1713" s="12">
        <f>IFERROR(__xludf.DUMMYFUNCTION("""COMPUTED_VALUE"""),44749.66666666667)</f>
        <v>44749.66667</v>
      </c>
      <c r="B1713" s="13">
        <f>IFERROR(__xludf.DUMMYFUNCTION("""COMPUTED_VALUE"""),3902.62)</f>
        <v>3902.62</v>
      </c>
      <c r="C1713" s="13">
        <f t="shared" si="1"/>
        <v>3831.255</v>
      </c>
      <c r="D1713" s="13">
        <f t="shared" si="2"/>
        <v>3901.99</v>
      </c>
      <c r="E1713" s="13" t="str">
        <f t="shared" si="3"/>
        <v/>
      </c>
      <c r="F1713" s="3">
        <f t="shared" si="4"/>
        <v>0.01496457811</v>
      </c>
      <c r="G1713" s="4">
        <f t="shared" si="5"/>
        <v>1.876837104</v>
      </c>
      <c r="H1713" s="5">
        <f t="shared" si="6"/>
        <v>0</v>
      </c>
      <c r="I1713" s="5">
        <f t="shared" si="7"/>
        <v>1.392034977</v>
      </c>
    </row>
    <row r="1714">
      <c r="A1714" s="12">
        <f>IFERROR(__xludf.DUMMYFUNCTION("""COMPUTED_VALUE"""),44750.66666666667)</f>
        <v>44750.66667</v>
      </c>
      <c r="B1714" s="13">
        <f>IFERROR(__xludf.DUMMYFUNCTION("""COMPUTED_VALUE"""),3899.38)</f>
        <v>3899.38</v>
      </c>
      <c r="C1714" s="13">
        <f t="shared" si="1"/>
        <v>3847.555</v>
      </c>
      <c r="D1714" s="13">
        <f t="shared" si="2"/>
        <v>3936.565</v>
      </c>
      <c r="E1714" s="13" t="str">
        <f t="shared" si="3"/>
        <v/>
      </c>
      <c r="F1714" s="3">
        <f t="shared" si="4"/>
        <v>-0.0008302114989</v>
      </c>
      <c r="G1714" s="4">
        <f t="shared" si="5"/>
        <v>1.875278932</v>
      </c>
      <c r="H1714" s="5">
        <f t="shared" si="6"/>
        <v>0</v>
      </c>
      <c r="I1714" s="5">
        <f t="shared" si="7"/>
        <v>1.392034977</v>
      </c>
    </row>
    <row r="1715">
      <c r="A1715" s="12">
        <f>IFERROR(__xludf.DUMMYFUNCTION("""COMPUTED_VALUE"""),44753.66666666667)</f>
        <v>44753.66667</v>
      </c>
      <c r="B1715" s="13">
        <f>IFERROR(__xludf.DUMMYFUNCTION("""COMPUTED_VALUE"""),3854.43)</f>
        <v>3854.43</v>
      </c>
      <c r="C1715" s="13">
        <f t="shared" si="1"/>
        <v>3883.085</v>
      </c>
      <c r="D1715" s="13">
        <f t="shared" si="2"/>
        <v>3897.955</v>
      </c>
      <c r="E1715" s="13" t="str">
        <f t="shared" si="3"/>
        <v/>
      </c>
      <c r="F1715" s="3">
        <f t="shared" si="4"/>
        <v>-0.0115274736</v>
      </c>
      <c r="G1715" s="4">
        <f t="shared" si="5"/>
        <v>1.853661704</v>
      </c>
      <c r="H1715" s="5">
        <f t="shared" si="6"/>
        <v>0</v>
      </c>
      <c r="I1715" s="5">
        <f t="shared" si="7"/>
        <v>1.392034977</v>
      </c>
    </row>
    <row r="1716">
      <c r="A1716" s="12">
        <f>IFERROR(__xludf.DUMMYFUNCTION("""COMPUTED_VALUE"""),44754.66666666667)</f>
        <v>44754.66667</v>
      </c>
      <c r="B1716" s="13">
        <f>IFERROR(__xludf.DUMMYFUNCTION("""COMPUTED_VALUE"""),3818.8)</f>
        <v>3818.8</v>
      </c>
      <c r="C1716" s="13">
        <f t="shared" si="1"/>
        <v>3859.455</v>
      </c>
      <c r="D1716" s="13">
        <f t="shared" si="2"/>
        <v>3898.765</v>
      </c>
      <c r="E1716" s="13" t="str">
        <f t="shared" si="3"/>
        <v/>
      </c>
      <c r="F1716" s="3">
        <f t="shared" si="4"/>
        <v>-0.009243908957</v>
      </c>
      <c r="G1716" s="4">
        <f t="shared" si="5"/>
        <v>1.836526624</v>
      </c>
      <c r="H1716" s="5">
        <f t="shared" si="6"/>
        <v>0</v>
      </c>
      <c r="I1716" s="5">
        <f t="shared" si="7"/>
        <v>1.392034977</v>
      </c>
    </row>
    <row r="1717">
      <c r="A1717" s="12">
        <f>IFERROR(__xludf.DUMMYFUNCTION("""COMPUTED_VALUE"""),44755.66666666667)</f>
        <v>44755.66667</v>
      </c>
      <c r="B1717" s="13">
        <f>IFERROR(__xludf.DUMMYFUNCTION("""COMPUTED_VALUE"""),3801.78)</f>
        <v>3801.78</v>
      </c>
      <c r="C1717" s="13">
        <f t="shared" si="1"/>
        <v>3811.665</v>
      </c>
      <c r="D1717" s="13">
        <f t="shared" si="2"/>
        <v>3929.81</v>
      </c>
      <c r="E1717" s="13" t="str">
        <f t="shared" si="3"/>
        <v/>
      </c>
      <c r="F1717" s="3">
        <f t="shared" si="4"/>
        <v>-0.004456897455</v>
      </c>
      <c r="G1717" s="4">
        <f t="shared" si="5"/>
        <v>1.828341413</v>
      </c>
      <c r="H1717" s="5">
        <f t="shared" si="6"/>
        <v>0</v>
      </c>
      <c r="I1717" s="5">
        <f t="shared" si="7"/>
        <v>1.392034977</v>
      </c>
    </row>
    <row r="1718">
      <c r="A1718" s="12">
        <f>IFERROR(__xludf.DUMMYFUNCTION("""COMPUTED_VALUE"""),44756.66666666667)</f>
        <v>44756.66667</v>
      </c>
      <c r="B1718" s="13">
        <f>IFERROR(__xludf.DUMMYFUNCTION("""COMPUTED_VALUE"""),3790.38)</f>
        <v>3790.38</v>
      </c>
      <c r="C1718" s="13">
        <f t="shared" si="1"/>
        <v>3804.605</v>
      </c>
      <c r="D1718" s="13">
        <f t="shared" si="2"/>
        <v>3974.31</v>
      </c>
      <c r="E1718" s="13" t="str">
        <f t="shared" si="3"/>
        <v/>
      </c>
      <c r="F1718" s="3">
        <f t="shared" si="4"/>
        <v>-0.002998595395</v>
      </c>
      <c r="G1718" s="4">
        <f t="shared" si="5"/>
        <v>1.822858957</v>
      </c>
      <c r="H1718" s="5">
        <f t="shared" si="6"/>
        <v>0</v>
      </c>
      <c r="I1718" s="5">
        <f t="shared" si="7"/>
        <v>1.392034977</v>
      </c>
    </row>
    <row r="1719">
      <c r="A1719" s="12">
        <f>IFERROR(__xludf.DUMMYFUNCTION("""COMPUTED_VALUE"""),44757.66666666667)</f>
        <v>44757.66667</v>
      </c>
      <c r="B1719" s="13">
        <f>IFERROR(__xludf.DUMMYFUNCTION("""COMPUTED_VALUE"""),3863.16)</f>
        <v>3863.16</v>
      </c>
      <c r="C1719" s="13">
        <f t="shared" si="1"/>
        <v>3824.27</v>
      </c>
      <c r="D1719" s="13">
        <f t="shared" si="2"/>
        <v>3997.655</v>
      </c>
      <c r="E1719" s="13" t="str">
        <f t="shared" si="3"/>
        <v/>
      </c>
      <c r="F1719" s="3">
        <f t="shared" si="4"/>
        <v>0.01920124104</v>
      </c>
      <c r="G1719" s="4">
        <f t="shared" si="5"/>
        <v>1.857860111</v>
      </c>
      <c r="H1719" s="5">
        <f t="shared" si="6"/>
        <v>0</v>
      </c>
      <c r="I1719" s="5">
        <f t="shared" si="7"/>
        <v>1.392034977</v>
      </c>
    </row>
    <row r="1720">
      <c r="A1720" s="12">
        <f>IFERROR(__xludf.DUMMYFUNCTION("""COMPUTED_VALUE"""),44760.66666666667)</f>
        <v>44760.66667</v>
      </c>
      <c r="B1720" s="13">
        <f>IFERROR(__xludf.DUMMYFUNCTION("""COMPUTED_VALUE"""),3830.85)</f>
        <v>3830.85</v>
      </c>
      <c r="C1720" s="13">
        <f t="shared" si="1"/>
        <v>3828.09</v>
      </c>
      <c r="D1720" s="13">
        <f t="shared" si="2"/>
        <v>3966.04</v>
      </c>
      <c r="E1720" s="13" t="str">
        <f t="shared" si="3"/>
        <v/>
      </c>
      <c r="F1720" s="3">
        <f t="shared" si="4"/>
        <v>-0.00836361942</v>
      </c>
      <c r="G1720" s="4">
        <f t="shared" si="5"/>
        <v>1.842321676</v>
      </c>
      <c r="H1720" s="5">
        <f t="shared" si="6"/>
        <v>0</v>
      </c>
      <c r="I1720" s="5">
        <f t="shared" si="7"/>
        <v>1.392034977</v>
      </c>
    </row>
    <row r="1721">
      <c r="A1721" s="12">
        <f>IFERROR(__xludf.DUMMYFUNCTION("""COMPUTED_VALUE"""),44761.66666666667)</f>
        <v>44761.66667</v>
      </c>
      <c r="B1721" s="13">
        <f>IFERROR(__xludf.DUMMYFUNCTION("""COMPUTED_VALUE"""),3936.69)</f>
        <v>3936.69</v>
      </c>
      <c r="C1721" s="13">
        <f t="shared" si="1"/>
        <v>3884.04</v>
      </c>
      <c r="D1721" s="13">
        <f t="shared" si="2"/>
        <v>4056.755</v>
      </c>
      <c r="E1721" s="13" t="str">
        <f t="shared" si="3"/>
        <v/>
      </c>
      <c r="F1721" s="3">
        <f t="shared" si="4"/>
        <v>0.02762833314</v>
      </c>
      <c r="G1721" s="4">
        <f t="shared" si="5"/>
        <v>1.893221953</v>
      </c>
      <c r="H1721" s="5">
        <f t="shared" si="6"/>
        <v>0</v>
      </c>
      <c r="I1721" s="5">
        <f t="shared" si="7"/>
        <v>1.392034977</v>
      </c>
    </row>
    <row r="1722">
      <c r="A1722" s="12">
        <f>IFERROR(__xludf.DUMMYFUNCTION("""COMPUTED_VALUE"""),44762.66666666667)</f>
        <v>44762.66667</v>
      </c>
      <c r="B1722" s="13">
        <f>IFERROR(__xludf.DUMMYFUNCTION("""COMPUTED_VALUE"""),3959.9)</f>
        <v>3959.9</v>
      </c>
      <c r="C1722" s="13">
        <f t="shared" si="1"/>
        <v>3902.49</v>
      </c>
      <c r="D1722" s="13">
        <f t="shared" si="2"/>
        <v>4034.22</v>
      </c>
      <c r="E1722" s="13" t="str">
        <f t="shared" si="3"/>
        <v/>
      </c>
      <c r="F1722" s="3">
        <f t="shared" si="4"/>
        <v>0.005895816028</v>
      </c>
      <c r="G1722" s="4">
        <f t="shared" si="5"/>
        <v>1.904384041</v>
      </c>
      <c r="H1722" s="5">
        <f t="shared" si="6"/>
        <v>0</v>
      </c>
      <c r="I1722" s="5">
        <f t="shared" si="7"/>
        <v>1.392034977</v>
      </c>
    </row>
    <row r="1723">
      <c r="A1723" s="12">
        <f>IFERROR(__xludf.DUMMYFUNCTION("""COMPUTED_VALUE"""),44763.66666666667)</f>
        <v>44763.66667</v>
      </c>
      <c r="B1723" s="13">
        <f>IFERROR(__xludf.DUMMYFUNCTION("""COMPUTED_VALUE"""),3998.95)</f>
        <v>3998.95</v>
      </c>
      <c r="C1723" s="13">
        <f t="shared" si="1"/>
        <v>3950.785</v>
      </c>
      <c r="D1723" s="13">
        <f t="shared" si="2"/>
        <v>4060.19</v>
      </c>
      <c r="E1723" s="13" t="str">
        <f t="shared" si="3"/>
        <v/>
      </c>
      <c r="F1723" s="3">
        <f t="shared" si="4"/>
        <v>0.009861360135</v>
      </c>
      <c r="G1723" s="4">
        <f t="shared" si="5"/>
        <v>1.923163858</v>
      </c>
      <c r="H1723" s="5">
        <f t="shared" si="6"/>
        <v>0</v>
      </c>
      <c r="I1723" s="5">
        <f t="shared" si="7"/>
        <v>1.392034977</v>
      </c>
    </row>
    <row r="1724">
      <c r="A1724" s="12">
        <f>IFERROR(__xludf.DUMMYFUNCTION("""COMPUTED_VALUE"""),44764.66666666667)</f>
        <v>44764.66667</v>
      </c>
      <c r="B1724" s="13">
        <f>IFERROR(__xludf.DUMMYFUNCTION("""COMPUTED_VALUE"""),3961.63)</f>
        <v>3961.63</v>
      </c>
      <c r="C1724" s="13">
        <f t="shared" si="1"/>
        <v>3930.505</v>
      </c>
      <c r="D1724" s="13">
        <f t="shared" si="2"/>
        <v>4061.155</v>
      </c>
      <c r="E1724" s="13" t="str">
        <f t="shared" si="3"/>
        <v/>
      </c>
      <c r="F1724" s="3">
        <f t="shared" si="4"/>
        <v>-0.009332449768</v>
      </c>
      <c r="G1724" s="4">
        <f t="shared" si="5"/>
        <v>1.905216028</v>
      </c>
      <c r="H1724" s="5">
        <f t="shared" si="6"/>
        <v>0</v>
      </c>
      <c r="I1724" s="5">
        <f t="shared" si="7"/>
        <v>1.392034977</v>
      </c>
    </row>
    <row r="1725">
      <c r="A1725" s="12">
        <f>IFERROR(__xludf.DUMMYFUNCTION("""COMPUTED_VALUE"""),44767.66666666667)</f>
        <v>44767.66667</v>
      </c>
      <c r="B1725" s="13">
        <f>IFERROR(__xludf.DUMMYFUNCTION("""COMPUTED_VALUE"""),3966.84)</f>
        <v>3966.84</v>
      </c>
      <c r="C1725" s="13">
        <f t="shared" si="1"/>
        <v>3910.635</v>
      </c>
      <c r="D1725" s="13">
        <f t="shared" si="2"/>
        <v>4041.305</v>
      </c>
      <c r="E1725" s="13" t="str">
        <f t="shared" si="3"/>
        <v/>
      </c>
      <c r="F1725" s="3">
        <f t="shared" si="4"/>
        <v>0.001315115243</v>
      </c>
      <c r="G1725" s="4">
        <f t="shared" si="5"/>
        <v>1.907721607</v>
      </c>
      <c r="H1725" s="5">
        <f t="shared" si="6"/>
        <v>0</v>
      </c>
      <c r="I1725" s="5">
        <f t="shared" si="7"/>
        <v>1.392034977</v>
      </c>
    </row>
    <row r="1726">
      <c r="A1726" s="12">
        <f>IFERROR(__xludf.DUMMYFUNCTION("""COMPUTED_VALUE"""),44768.66666666667)</f>
        <v>44768.66667</v>
      </c>
      <c r="B1726" s="13">
        <f>IFERROR(__xludf.DUMMYFUNCTION("""COMPUTED_VALUE"""),3921.05)</f>
        <v>3921.05</v>
      </c>
      <c r="C1726" s="13">
        <f t="shared" si="1"/>
        <v>3869.925</v>
      </c>
      <c r="D1726" s="13">
        <f t="shared" si="2"/>
        <v>3969.435</v>
      </c>
      <c r="E1726" s="13" t="str">
        <f t="shared" si="3"/>
        <v/>
      </c>
      <c r="F1726" s="3">
        <f t="shared" si="4"/>
        <v>-0.01154319307</v>
      </c>
      <c r="G1726" s="4">
        <f t="shared" si="5"/>
        <v>1.885700408</v>
      </c>
      <c r="H1726" s="5">
        <f t="shared" si="6"/>
        <v>0</v>
      </c>
      <c r="I1726" s="5">
        <f t="shared" si="7"/>
        <v>1.392034977</v>
      </c>
    </row>
    <row r="1727">
      <c r="A1727" s="12">
        <f>IFERROR(__xludf.DUMMYFUNCTION("""COMPUTED_VALUE"""),44769.66666666667)</f>
        <v>44769.66667</v>
      </c>
      <c r="B1727" s="13">
        <f>IFERROR(__xludf.DUMMYFUNCTION("""COMPUTED_VALUE"""),4023.61)</f>
        <v>4023.61</v>
      </c>
      <c r="C1727" s="13">
        <f t="shared" si="1"/>
        <v>3912.695</v>
      </c>
      <c r="D1727" s="13">
        <f t="shared" si="2"/>
        <v>3962.235</v>
      </c>
      <c r="E1727" s="13" t="str">
        <f t="shared" si="3"/>
        <v/>
      </c>
      <c r="F1727" s="3">
        <f t="shared" si="4"/>
        <v>0.02615625917</v>
      </c>
      <c r="G1727" s="4">
        <f t="shared" si="5"/>
        <v>1.935023276</v>
      </c>
      <c r="H1727" s="5">
        <f t="shared" si="6"/>
        <v>0</v>
      </c>
      <c r="I1727" s="5">
        <f t="shared" si="7"/>
        <v>1.392034977</v>
      </c>
    </row>
    <row r="1728">
      <c r="A1728" s="12">
        <f>IFERROR(__xludf.DUMMYFUNCTION("""COMPUTED_VALUE"""),44770.66666666667)</f>
        <v>44770.66667</v>
      </c>
      <c r="B1728" s="13">
        <f>IFERROR(__xludf.DUMMYFUNCTION("""COMPUTED_VALUE"""),4072.43)</f>
        <v>4072.43</v>
      </c>
      <c r="C1728" s="13">
        <f t="shared" si="1"/>
        <v>3931.405</v>
      </c>
      <c r="D1728" s="13">
        <f t="shared" si="2"/>
        <v>3911.03</v>
      </c>
      <c r="E1728" s="13" t="str">
        <f t="shared" si="3"/>
        <v>LONG</v>
      </c>
      <c r="F1728" s="3">
        <f t="shared" si="4"/>
        <v>0.01213338271</v>
      </c>
      <c r="G1728" s="4">
        <f t="shared" si="5"/>
        <v>1.958501654</v>
      </c>
      <c r="H1728" s="3">
        <f t="shared" si="6"/>
        <v>0.01213338271</v>
      </c>
      <c r="I1728" s="5">
        <f t="shared" si="7"/>
        <v>1.408925071</v>
      </c>
    </row>
    <row r="1729">
      <c r="A1729" s="12">
        <f>IFERROR(__xludf.DUMMYFUNCTION("""COMPUTED_VALUE"""),44771.66666666667)</f>
        <v>44771.66667</v>
      </c>
      <c r="B1729" s="13">
        <f>IFERROR(__xludf.DUMMYFUNCTION("""COMPUTED_VALUE"""),4130.29)</f>
        <v>4130.29</v>
      </c>
      <c r="C1729" s="13">
        <f t="shared" si="1"/>
        <v>3996.725</v>
      </c>
      <c r="D1729" s="13">
        <f t="shared" si="2"/>
        <v>3932.885</v>
      </c>
      <c r="E1729" s="13" t="str">
        <f t="shared" si="3"/>
        <v>LONG</v>
      </c>
      <c r="F1729" s="3">
        <f t="shared" si="4"/>
        <v>0.01420773347</v>
      </c>
      <c r="G1729" s="4">
        <f t="shared" si="5"/>
        <v>1.986327524</v>
      </c>
      <c r="H1729" s="3">
        <f t="shared" si="6"/>
        <v>0.01420773347</v>
      </c>
      <c r="I1729" s="5">
        <f t="shared" si="7"/>
        <v>1.428942702</v>
      </c>
    </row>
    <row r="1730">
      <c r="A1730" s="12">
        <f>IFERROR(__xludf.DUMMYFUNCTION("""COMPUTED_VALUE"""),44774.66666666667)</f>
        <v>44774.66667</v>
      </c>
      <c r="B1730" s="13">
        <f>IFERROR(__xludf.DUMMYFUNCTION("""COMPUTED_VALUE"""),4118.63)</f>
        <v>4118.63</v>
      </c>
      <c r="C1730" s="13">
        <f t="shared" si="1"/>
        <v>3974.74</v>
      </c>
      <c r="D1730" s="13">
        <f t="shared" si="2"/>
        <v>3954.31</v>
      </c>
      <c r="E1730" s="13" t="str">
        <f t="shared" si="3"/>
        <v>LONG</v>
      </c>
      <c r="F1730" s="3">
        <f t="shared" si="4"/>
        <v>-0.002823046324</v>
      </c>
      <c r="G1730" s="4">
        <f t="shared" si="5"/>
        <v>1.980720029</v>
      </c>
      <c r="H1730" s="3">
        <f t="shared" si="6"/>
        <v>-0.002823046324</v>
      </c>
      <c r="I1730" s="5">
        <f t="shared" si="7"/>
        <v>1.424908731</v>
      </c>
    </row>
    <row r="1731">
      <c r="A1731" s="12">
        <f>IFERROR(__xludf.DUMMYFUNCTION("""COMPUTED_VALUE"""),44775.66666666667)</f>
        <v>44775.66667</v>
      </c>
      <c r="B1731" s="13">
        <f>IFERROR(__xludf.DUMMYFUNCTION("""COMPUTED_VALUE"""),4091.19)</f>
        <v>4091.19</v>
      </c>
      <c r="C1731" s="13">
        <f t="shared" si="1"/>
        <v>4013.94</v>
      </c>
      <c r="D1731" s="13">
        <f t="shared" si="2"/>
        <v>3878.98</v>
      </c>
      <c r="E1731" s="13" t="str">
        <f t="shared" si="3"/>
        <v>LONG</v>
      </c>
      <c r="F1731" s="3">
        <f t="shared" si="4"/>
        <v>-0.006662409588</v>
      </c>
      <c r="G1731" s="4">
        <f t="shared" si="5"/>
        <v>1.967523661</v>
      </c>
      <c r="H1731" s="3">
        <f t="shared" si="6"/>
        <v>-0.006662409588</v>
      </c>
      <c r="I1731" s="5">
        <f t="shared" si="7"/>
        <v>1.415415405</v>
      </c>
    </row>
    <row r="1732">
      <c r="A1732" s="12">
        <f>IFERROR(__xludf.DUMMYFUNCTION("""COMPUTED_VALUE"""),44776.66666666667)</f>
        <v>44776.66667</v>
      </c>
      <c r="B1732" s="13">
        <f>IFERROR(__xludf.DUMMYFUNCTION("""COMPUTED_VALUE"""),4155.17)</f>
        <v>4155.17</v>
      </c>
      <c r="C1732" s="13">
        <f t="shared" si="1"/>
        <v>4057.535</v>
      </c>
      <c r="D1732" s="13">
        <f t="shared" si="2"/>
        <v>3915.005</v>
      </c>
      <c r="E1732" s="13" t="str">
        <f t="shared" si="3"/>
        <v>LONG</v>
      </c>
      <c r="F1732" s="3">
        <f t="shared" si="4"/>
        <v>0.01563848171</v>
      </c>
      <c r="G1732" s="4">
        <f t="shared" si="5"/>
        <v>1.998292744</v>
      </c>
      <c r="H1732" s="3">
        <f t="shared" si="6"/>
        <v>0.01563848171</v>
      </c>
      <c r="I1732" s="5">
        <f t="shared" si="7"/>
        <v>1.437550353</v>
      </c>
    </row>
    <row r="1733">
      <c r="A1733" s="12">
        <f>IFERROR(__xludf.DUMMYFUNCTION("""COMPUTED_VALUE"""),44777.66666666667)</f>
        <v>44777.66667</v>
      </c>
      <c r="B1733" s="13">
        <f>IFERROR(__xludf.DUMMYFUNCTION("""COMPUTED_VALUE"""),4151.94)</f>
        <v>4151.94</v>
      </c>
      <c r="C1733" s="13">
        <f t="shared" si="1"/>
        <v>4075.445</v>
      </c>
      <c r="D1733" s="13">
        <f t="shared" si="2"/>
        <v>3958.365</v>
      </c>
      <c r="E1733" s="13" t="str">
        <f t="shared" si="3"/>
        <v>LONG</v>
      </c>
      <c r="F1733" s="3">
        <f t="shared" si="4"/>
        <v>-0.0007773448499</v>
      </c>
      <c r="G1733" s="4">
        <f t="shared" si="5"/>
        <v>1.996739381</v>
      </c>
      <c r="H1733" s="3">
        <f t="shared" si="6"/>
        <v>-0.0007773448499</v>
      </c>
      <c r="I1733" s="5">
        <f t="shared" si="7"/>
        <v>1.436432881</v>
      </c>
    </row>
    <row r="1734">
      <c r="A1734" s="12">
        <f>IFERROR(__xludf.DUMMYFUNCTION("""COMPUTED_VALUE"""),44778.66666666667)</f>
        <v>44778.66667</v>
      </c>
      <c r="B1734" s="13">
        <f>IFERROR(__xludf.DUMMYFUNCTION("""COMPUTED_VALUE"""),4145.19)</f>
        <v>4145.19</v>
      </c>
      <c r="C1734" s="13">
        <f t="shared" si="1"/>
        <v>4053.41</v>
      </c>
      <c r="D1734" s="13">
        <f t="shared" si="2"/>
        <v>3952.54</v>
      </c>
      <c r="E1734" s="13" t="str">
        <f t="shared" si="3"/>
        <v>LONG</v>
      </c>
      <c r="F1734" s="3">
        <f t="shared" si="4"/>
        <v>-0.001625746037</v>
      </c>
      <c r="G1734" s="4">
        <f t="shared" si="5"/>
        <v>1.99349319</v>
      </c>
      <c r="H1734" s="3">
        <f t="shared" si="6"/>
        <v>-0.001625746037</v>
      </c>
      <c r="I1734" s="5">
        <f t="shared" si="7"/>
        <v>1.434097606</v>
      </c>
    </row>
    <row r="1735">
      <c r="A1735" s="12">
        <f>IFERROR(__xludf.DUMMYFUNCTION("""COMPUTED_VALUE"""),44781.66666666667)</f>
        <v>44781.66667</v>
      </c>
      <c r="B1735" s="13">
        <f>IFERROR(__xludf.DUMMYFUNCTION("""COMPUTED_VALUE"""),4140.06)</f>
        <v>4140.06</v>
      </c>
      <c r="C1735" s="13">
        <f t="shared" si="1"/>
        <v>4053.45</v>
      </c>
      <c r="D1735" s="13">
        <f t="shared" si="2"/>
        <v>3967.895</v>
      </c>
      <c r="E1735" s="13" t="str">
        <f t="shared" si="3"/>
        <v>LONG</v>
      </c>
      <c r="F1735" s="3">
        <f t="shared" si="4"/>
        <v>-0.001237578977</v>
      </c>
      <c r="G1735" s="4">
        <f t="shared" si="5"/>
        <v>1.991026085</v>
      </c>
      <c r="H1735" s="3">
        <f t="shared" si="6"/>
        <v>-0.001237578977</v>
      </c>
      <c r="I1735" s="5">
        <f t="shared" si="7"/>
        <v>1.432322797</v>
      </c>
    </row>
    <row r="1736">
      <c r="A1736" s="12">
        <f>IFERROR(__xludf.DUMMYFUNCTION("""COMPUTED_VALUE"""),44782.66666666667)</f>
        <v>44782.66667</v>
      </c>
      <c r="B1736" s="13">
        <f>IFERROR(__xludf.DUMMYFUNCTION("""COMPUTED_VALUE"""),4122.47)</f>
        <v>4122.47</v>
      </c>
      <c r="C1736" s="13">
        <f t="shared" si="1"/>
        <v>4021.76</v>
      </c>
      <c r="D1736" s="13">
        <f t="shared" si="2"/>
        <v>4017.105</v>
      </c>
      <c r="E1736" s="13" t="str">
        <f t="shared" si="3"/>
        <v>LONG</v>
      </c>
      <c r="F1736" s="3">
        <f t="shared" si="4"/>
        <v>-0.004248730695</v>
      </c>
      <c r="G1736" s="4">
        <f t="shared" si="5"/>
        <v>1.982566751</v>
      </c>
      <c r="H1736" s="3">
        <f t="shared" si="6"/>
        <v>-0.004248730695</v>
      </c>
      <c r="I1736" s="5">
        <f t="shared" si="7"/>
        <v>1.426237243</v>
      </c>
    </row>
    <row r="1737">
      <c r="A1737" s="12">
        <f>IFERROR(__xludf.DUMMYFUNCTION("""COMPUTED_VALUE"""),44783.66666666667)</f>
        <v>44783.66667</v>
      </c>
      <c r="B1737" s="13">
        <f>IFERROR(__xludf.DUMMYFUNCTION("""COMPUTED_VALUE"""),4210.24)</f>
        <v>4210.24</v>
      </c>
      <c r="C1737" s="13">
        <f t="shared" si="1"/>
        <v>4116.925</v>
      </c>
      <c r="D1737" s="13">
        <f t="shared" si="2"/>
        <v>4055.175</v>
      </c>
      <c r="E1737" s="13" t="str">
        <f t="shared" si="3"/>
        <v>LONG</v>
      </c>
      <c r="F1737" s="3">
        <f t="shared" si="4"/>
        <v>0.02129063401</v>
      </c>
      <c r="G1737" s="4">
        <f t="shared" si="5"/>
        <v>2.024776854</v>
      </c>
      <c r="H1737" s="3">
        <f t="shared" si="6"/>
        <v>0.02129063401</v>
      </c>
      <c r="I1737" s="5">
        <f t="shared" si="7"/>
        <v>1.456602738</v>
      </c>
    </row>
    <row r="1738">
      <c r="A1738" s="12">
        <f>IFERROR(__xludf.DUMMYFUNCTION("""COMPUTED_VALUE"""),44784.66666666667)</f>
        <v>44784.66667</v>
      </c>
      <c r="B1738" s="13">
        <f>IFERROR(__xludf.DUMMYFUNCTION("""COMPUTED_VALUE"""),4207.27)</f>
        <v>4207.27</v>
      </c>
      <c r="C1738" s="13">
        <f t="shared" si="1"/>
        <v>4139.85</v>
      </c>
      <c r="D1738" s="13">
        <f t="shared" si="2"/>
        <v>4014.41</v>
      </c>
      <c r="E1738" s="13" t="str">
        <f t="shared" si="3"/>
        <v>LONG</v>
      </c>
      <c r="F1738" s="3">
        <f t="shared" si="4"/>
        <v>-0.0007054229688</v>
      </c>
      <c r="G1738" s="4">
        <f t="shared" si="5"/>
        <v>2.02334853</v>
      </c>
      <c r="H1738" s="3">
        <f t="shared" si="6"/>
        <v>-0.0007054229688</v>
      </c>
      <c r="I1738" s="5">
        <f t="shared" si="7"/>
        <v>1.455575217</v>
      </c>
    </row>
    <row r="1739">
      <c r="A1739" s="12">
        <f>IFERROR(__xludf.DUMMYFUNCTION("""COMPUTED_VALUE"""),44785.66666666667)</f>
        <v>44785.66667</v>
      </c>
      <c r="B1739" s="13">
        <f>IFERROR(__xludf.DUMMYFUNCTION("""COMPUTED_VALUE"""),4280.15)</f>
        <v>4280.15</v>
      </c>
      <c r="C1739" s="13">
        <f t="shared" si="1"/>
        <v>4205.22</v>
      </c>
      <c r="D1739" s="13">
        <f t="shared" si="2"/>
        <v>4049.49</v>
      </c>
      <c r="E1739" s="13" t="str">
        <f t="shared" si="3"/>
        <v>LONG</v>
      </c>
      <c r="F1739" s="3">
        <f t="shared" si="4"/>
        <v>0.01732239671</v>
      </c>
      <c r="G1739" s="4">
        <f t="shared" si="5"/>
        <v>2.058397776</v>
      </c>
      <c r="H1739" s="3">
        <f t="shared" si="6"/>
        <v>0.01732239671</v>
      </c>
      <c r="I1739" s="5">
        <f t="shared" si="7"/>
        <v>1.480789269</v>
      </c>
    </row>
    <row r="1740">
      <c r="A1740" s="12">
        <f>IFERROR(__xludf.DUMMYFUNCTION("""COMPUTED_VALUE"""),44788.66666666667)</f>
        <v>44788.66667</v>
      </c>
      <c r="B1740" s="13">
        <f>IFERROR(__xludf.DUMMYFUNCTION("""COMPUTED_VALUE"""),4297.14)</f>
        <v>4297.14</v>
      </c>
      <c r="C1740" s="13">
        <f t="shared" si="1"/>
        <v>4207.885</v>
      </c>
      <c r="D1740" s="13">
        <f t="shared" si="2"/>
        <v>4041.26</v>
      </c>
      <c r="E1740" s="13" t="str">
        <f t="shared" si="3"/>
        <v>LONG</v>
      </c>
      <c r="F1740" s="3">
        <f t="shared" si="4"/>
        <v>0.003969487051</v>
      </c>
      <c r="G1740" s="4">
        <f t="shared" si="5"/>
        <v>2.06656856</v>
      </c>
      <c r="H1740" s="3">
        <f t="shared" si="6"/>
        <v>0.003969487051</v>
      </c>
      <c r="I1740" s="5">
        <f t="shared" si="7"/>
        <v>1.486667242</v>
      </c>
    </row>
    <row r="1741">
      <c r="A1741" s="12">
        <f>IFERROR(__xludf.DUMMYFUNCTION("""COMPUTED_VALUE"""),44789.66666666667)</f>
        <v>44789.66667</v>
      </c>
      <c r="B1741" s="13">
        <f>IFERROR(__xludf.DUMMYFUNCTION("""COMPUTED_VALUE"""),4305.2)</f>
        <v>4305.2</v>
      </c>
      <c r="C1741" s="13">
        <f t="shared" si="1"/>
        <v>4198.195</v>
      </c>
      <c r="D1741" s="13">
        <f t="shared" si="2"/>
        <v>4065.265</v>
      </c>
      <c r="E1741" s="13" t="str">
        <f t="shared" si="3"/>
        <v>LONG</v>
      </c>
      <c r="F1741" s="3">
        <f t="shared" si="4"/>
        <v>0.001875666141</v>
      </c>
      <c r="G1741" s="4">
        <f t="shared" si="5"/>
        <v>2.070444752</v>
      </c>
      <c r="H1741" s="3">
        <f t="shared" si="6"/>
        <v>0.001875666141</v>
      </c>
      <c r="I1741" s="5">
        <f t="shared" si="7"/>
        <v>1.489455734</v>
      </c>
    </row>
    <row r="1742">
      <c r="A1742" s="12">
        <f>IFERROR(__xludf.DUMMYFUNCTION("""COMPUTED_VALUE"""),44790.66666666667)</f>
        <v>44790.66667</v>
      </c>
      <c r="B1742" s="13">
        <f>IFERROR(__xludf.DUMMYFUNCTION("""COMPUTED_VALUE"""),4274.04)</f>
        <v>4274.04</v>
      </c>
      <c r="C1742" s="13">
        <f t="shared" si="1"/>
        <v>4214.605</v>
      </c>
      <c r="D1742" s="13">
        <f t="shared" si="2"/>
        <v>4052.715</v>
      </c>
      <c r="E1742" s="13" t="str">
        <f t="shared" si="3"/>
        <v>LONG</v>
      </c>
      <c r="F1742" s="3">
        <f t="shared" si="4"/>
        <v>-0.007237758989</v>
      </c>
      <c r="G1742" s="4">
        <f t="shared" si="5"/>
        <v>2.055459372</v>
      </c>
      <c r="H1742" s="3">
        <f t="shared" si="6"/>
        <v>-0.007237758989</v>
      </c>
      <c r="I1742" s="5">
        <f t="shared" si="7"/>
        <v>1.478675412</v>
      </c>
    </row>
    <row r="1743">
      <c r="A1743" s="12">
        <f>IFERROR(__xludf.DUMMYFUNCTION("""COMPUTED_VALUE"""),44791.66666666667)</f>
        <v>44791.66667</v>
      </c>
      <c r="B1743" s="13">
        <f>IFERROR(__xludf.DUMMYFUNCTION("""COMPUTED_VALUE"""),4283.74)</f>
        <v>4283.74</v>
      </c>
      <c r="C1743" s="13">
        <f t="shared" si="1"/>
        <v>4217.84</v>
      </c>
      <c r="D1743" s="13">
        <f t="shared" si="2"/>
        <v>4064.41</v>
      </c>
      <c r="E1743" s="13" t="str">
        <f t="shared" si="3"/>
        <v>LONG</v>
      </c>
      <c r="F1743" s="3">
        <f t="shared" si="4"/>
        <v>0.002269515494</v>
      </c>
      <c r="G1743" s="4">
        <f t="shared" si="5"/>
        <v>2.060124269</v>
      </c>
      <c r="H1743" s="3">
        <f t="shared" si="6"/>
        <v>0.002269515494</v>
      </c>
      <c r="I1743" s="5">
        <f t="shared" si="7"/>
        <v>1.482031289</v>
      </c>
    </row>
    <row r="1744">
      <c r="A1744" s="12">
        <f>IFERROR(__xludf.DUMMYFUNCTION("""COMPUTED_VALUE"""),44792.66666666667)</f>
        <v>44792.66667</v>
      </c>
      <c r="B1744" s="13">
        <f>IFERROR(__xludf.DUMMYFUNCTION("""COMPUTED_VALUE"""),4228.48)</f>
        <v>4228.48</v>
      </c>
      <c r="C1744" s="13">
        <f t="shared" si="1"/>
        <v>4186.835</v>
      </c>
      <c r="D1744" s="13">
        <f t="shared" si="2"/>
        <v>4065.55</v>
      </c>
      <c r="E1744" s="13" t="str">
        <f t="shared" si="3"/>
        <v>LONG</v>
      </c>
      <c r="F1744" s="3">
        <f t="shared" si="4"/>
        <v>-0.01289994257</v>
      </c>
      <c r="G1744" s="4">
        <f t="shared" si="5"/>
        <v>2.033548784</v>
      </c>
      <c r="H1744" s="3">
        <f t="shared" si="6"/>
        <v>-0.01289994257</v>
      </c>
      <c r="I1744" s="5">
        <f t="shared" si="7"/>
        <v>1.46291317</v>
      </c>
    </row>
    <row r="1745">
      <c r="A1745" s="12">
        <f>IFERROR(__xludf.DUMMYFUNCTION("""COMPUTED_VALUE"""),44795.66666666667)</f>
        <v>44795.66667</v>
      </c>
      <c r="B1745" s="13">
        <f>IFERROR(__xludf.DUMMYFUNCTION("""COMPUTED_VALUE"""),4137.99)</f>
        <v>4137.99</v>
      </c>
      <c r="C1745" s="13">
        <f t="shared" si="1"/>
        <v>4139.025</v>
      </c>
      <c r="D1745" s="13">
        <f t="shared" si="2"/>
        <v>4018.685</v>
      </c>
      <c r="E1745" s="13" t="str">
        <f t="shared" si="3"/>
        <v>LONG</v>
      </c>
      <c r="F1745" s="3">
        <f t="shared" si="4"/>
        <v>-0.02140012487</v>
      </c>
      <c r="G1745" s="4">
        <f t="shared" si="5"/>
        <v>1.990030586</v>
      </c>
      <c r="H1745" s="3">
        <f t="shared" si="6"/>
        <v>-0.02140012487</v>
      </c>
      <c r="I1745" s="5">
        <f t="shared" si="7"/>
        <v>1.431606646</v>
      </c>
    </row>
    <row r="1746">
      <c r="A1746" s="12">
        <f>IFERROR(__xludf.DUMMYFUNCTION("""COMPUTED_VALUE"""),44796.66666666667)</f>
        <v>44796.66667</v>
      </c>
      <c r="B1746" s="13">
        <f>IFERROR(__xludf.DUMMYFUNCTION("""COMPUTED_VALUE"""),4128.73)</f>
        <v>4128.73</v>
      </c>
      <c r="C1746" s="13">
        <f t="shared" si="1"/>
        <v>4125.6</v>
      </c>
      <c r="D1746" s="13">
        <f t="shared" si="2"/>
        <v>3991.58</v>
      </c>
      <c r="E1746" s="13" t="str">
        <f t="shared" si="3"/>
        <v>LONG</v>
      </c>
      <c r="F1746" s="3">
        <f t="shared" si="4"/>
        <v>-0.002237801445</v>
      </c>
      <c r="G1746" s="4">
        <f t="shared" si="5"/>
        <v>1.985577293</v>
      </c>
      <c r="H1746" s="3">
        <f t="shared" si="6"/>
        <v>-0.002237801445</v>
      </c>
      <c r="I1746" s="5">
        <f t="shared" si="7"/>
        <v>1.428402994</v>
      </c>
    </row>
    <row r="1747">
      <c r="A1747" s="12">
        <f>IFERROR(__xludf.DUMMYFUNCTION("""COMPUTED_VALUE"""),44797.66666666667)</f>
        <v>44797.66667</v>
      </c>
      <c r="B1747" s="13">
        <f>IFERROR(__xludf.DUMMYFUNCTION("""COMPUTED_VALUE"""),4140.77)</f>
        <v>4140.77</v>
      </c>
      <c r="C1747" s="13">
        <f t="shared" si="1"/>
        <v>4175.505</v>
      </c>
      <c r="D1747" s="13">
        <f t="shared" si="2"/>
        <v>3979.785</v>
      </c>
      <c r="E1747" s="13" t="str">
        <f t="shared" si="3"/>
        <v>LONG</v>
      </c>
      <c r="F1747" s="3">
        <f t="shared" si="4"/>
        <v>0.002916150971</v>
      </c>
      <c r="G1747" s="4">
        <f t="shared" si="5"/>
        <v>1.991367536</v>
      </c>
      <c r="H1747" s="3">
        <f t="shared" si="6"/>
        <v>0.002916150971</v>
      </c>
      <c r="I1747" s="5">
        <f t="shared" si="7"/>
        <v>1.432568433</v>
      </c>
    </row>
    <row r="1748">
      <c r="A1748" s="12">
        <f>IFERROR(__xludf.DUMMYFUNCTION("""COMPUTED_VALUE"""),44798.66666666667)</f>
        <v>44798.66667</v>
      </c>
      <c r="B1748" s="13">
        <f>IFERROR(__xludf.DUMMYFUNCTION("""COMPUTED_VALUE"""),4199.12)</f>
        <v>4199.12</v>
      </c>
      <c r="C1748" s="13">
        <f t="shared" si="1"/>
        <v>4203.195</v>
      </c>
      <c r="D1748" s="13">
        <f t="shared" si="2"/>
        <v>4000.45</v>
      </c>
      <c r="E1748" s="13" t="str">
        <f t="shared" si="3"/>
        <v>LONG</v>
      </c>
      <c r="F1748" s="3">
        <f t="shared" si="4"/>
        <v>0.014091582</v>
      </c>
      <c r="G1748" s="4">
        <f t="shared" si="5"/>
        <v>2.019429055</v>
      </c>
      <c r="H1748" s="3">
        <f t="shared" si="6"/>
        <v>0.014091582</v>
      </c>
      <c r="I1748" s="5">
        <f t="shared" si="7"/>
        <v>1.452755589</v>
      </c>
    </row>
    <row r="1749">
      <c r="A1749" s="12">
        <f>IFERROR(__xludf.DUMMYFUNCTION("""COMPUTED_VALUE"""),44799.66666666667)</f>
        <v>44799.66667</v>
      </c>
      <c r="B1749" s="13">
        <f>IFERROR(__xludf.DUMMYFUNCTION("""COMPUTED_VALUE"""),4057.66)</f>
        <v>4057.66</v>
      </c>
      <c r="C1749" s="13">
        <f t="shared" si="1"/>
        <v>4168.905</v>
      </c>
      <c r="D1749" s="13">
        <f t="shared" si="2"/>
        <v>3924.02</v>
      </c>
      <c r="E1749" s="13" t="str">
        <f t="shared" si="3"/>
        <v>LONG</v>
      </c>
      <c r="F1749" s="3">
        <f t="shared" si="4"/>
        <v>-0.03368801082</v>
      </c>
      <c r="G1749" s="4">
        <f t="shared" si="5"/>
        <v>1.951398507</v>
      </c>
      <c r="H1749" s="3">
        <f t="shared" si="6"/>
        <v>-0.03368801082</v>
      </c>
      <c r="I1749" s="5">
        <f t="shared" si="7"/>
        <v>1.403815143</v>
      </c>
    </row>
    <row r="1750">
      <c r="A1750" s="12">
        <f>IFERROR(__xludf.DUMMYFUNCTION("""COMPUTED_VALUE"""),44802.66666666667)</f>
        <v>44802.66667</v>
      </c>
      <c r="B1750" s="13">
        <f>IFERROR(__xludf.DUMMYFUNCTION("""COMPUTED_VALUE"""),4030.61)</f>
        <v>4030.61</v>
      </c>
      <c r="C1750" s="13">
        <f t="shared" si="1"/>
        <v>4163.875</v>
      </c>
      <c r="D1750" s="13">
        <f t="shared" si="2"/>
        <v>3946.885</v>
      </c>
      <c r="E1750" s="13" t="str">
        <f t="shared" si="3"/>
        <v>LONG</v>
      </c>
      <c r="F1750" s="3">
        <f t="shared" si="4"/>
        <v>-0.006666403789</v>
      </c>
      <c r="G1750" s="4">
        <f t="shared" si="5"/>
        <v>1.938389697</v>
      </c>
      <c r="H1750" s="3">
        <f t="shared" si="6"/>
        <v>-0.006666403789</v>
      </c>
      <c r="I1750" s="5">
        <f t="shared" si="7"/>
        <v>1.394456744</v>
      </c>
    </row>
    <row r="1751">
      <c r="A1751" s="12">
        <f>IFERROR(__xludf.DUMMYFUNCTION("""COMPUTED_VALUE"""),44803.66666666667)</f>
        <v>44803.66667</v>
      </c>
      <c r="B1751" s="13">
        <f>IFERROR(__xludf.DUMMYFUNCTION("""COMPUTED_VALUE"""),3986.16)</f>
        <v>3986.16</v>
      </c>
      <c r="C1751" s="13">
        <f t="shared" si="1"/>
        <v>4145.68</v>
      </c>
      <c r="D1751" s="13">
        <f t="shared" si="2"/>
        <v>3908.505</v>
      </c>
      <c r="E1751" s="13" t="str">
        <f t="shared" si="3"/>
        <v>LONG</v>
      </c>
      <c r="F1751" s="3">
        <f t="shared" si="4"/>
        <v>-0.01102810741</v>
      </c>
      <c r="G1751" s="4">
        <f t="shared" si="5"/>
        <v>1.917012927</v>
      </c>
      <c r="H1751" s="3">
        <f t="shared" si="6"/>
        <v>-0.01102810741</v>
      </c>
      <c r="I1751" s="5">
        <f t="shared" si="7"/>
        <v>1.379078525</v>
      </c>
    </row>
    <row r="1752">
      <c r="A1752" s="12">
        <f>IFERROR(__xludf.DUMMYFUNCTION("""COMPUTED_VALUE"""),44804.66666666667)</f>
        <v>44804.66667</v>
      </c>
      <c r="B1752" s="13">
        <f>IFERROR(__xludf.DUMMYFUNCTION("""COMPUTED_VALUE"""),3955.0)</f>
        <v>3955</v>
      </c>
      <c r="C1752" s="13">
        <f t="shared" si="1"/>
        <v>4114.52</v>
      </c>
      <c r="D1752" s="13">
        <f t="shared" si="2"/>
        <v>3945.845</v>
      </c>
      <c r="E1752" s="13" t="str">
        <f t="shared" si="3"/>
        <v>LONG</v>
      </c>
      <c r="F1752" s="3">
        <f t="shared" si="4"/>
        <v>-0.007817046983</v>
      </c>
      <c r="G1752" s="4">
        <f t="shared" si="5"/>
        <v>1.902027547</v>
      </c>
      <c r="H1752" s="3">
        <f t="shared" si="6"/>
        <v>-0.007817046983</v>
      </c>
      <c r="I1752" s="5">
        <f t="shared" si="7"/>
        <v>1.368298204</v>
      </c>
    </row>
    <row r="1753">
      <c r="A1753" s="12">
        <f>IFERROR(__xludf.DUMMYFUNCTION("""COMPUTED_VALUE"""),44805.66666666667)</f>
        <v>44805.66667</v>
      </c>
      <c r="B1753" s="13">
        <f>IFERROR(__xludf.DUMMYFUNCTION("""COMPUTED_VALUE"""),3966.85)</f>
        <v>3966.85</v>
      </c>
      <c r="C1753" s="13">
        <f t="shared" si="1"/>
        <v>4125.295</v>
      </c>
      <c r="D1753" s="13">
        <f t="shared" si="2"/>
        <v>3963.375</v>
      </c>
      <c r="E1753" s="13" t="str">
        <f t="shared" si="3"/>
        <v>LONG</v>
      </c>
      <c r="F1753" s="3">
        <f t="shared" si="4"/>
        <v>0.002996207332</v>
      </c>
      <c r="G1753" s="4">
        <f t="shared" si="5"/>
        <v>1.907726416</v>
      </c>
      <c r="H1753" s="3">
        <f t="shared" si="6"/>
        <v>0.002996207332</v>
      </c>
      <c r="I1753" s="5">
        <f t="shared" si="7"/>
        <v>1.372397909</v>
      </c>
    </row>
    <row r="1754">
      <c r="A1754" s="12">
        <f>IFERROR(__xludf.DUMMYFUNCTION("""COMPUTED_VALUE"""),44806.66666666667)</f>
        <v>44806.66667</v>
      </c>
      <c r="B1754" s="13">
        <f>IFERROR(__xludf.DUMMYFUNCTION("""COMPUTED_VALUE"""),3924.26)</f>
        <v>3924.26</v>
      </c>
      <c r="C1754" s="13">
        <f t="shared" si="1"/>
        <v>4076.37</v>
      </c>
      <c r="D1754" s="13">
        <f t="shared" si="2"/>
        <v>3961.605</v>
      </c>
      <c r="E1754" s="13" t="str">
        <f t="shared" si="3"/>
        <v>LONG</v>
      </c>
      <c r="F1754" s="3">
        <f t="shared" si="4"/>
        <v>-0.01073647857</v>
      </c>
      <c r="G1754" s="4">
        <f t="shared" si="5"/>
        <v>1.887244152</v>
      </c>
      <c r="H1754" s="3">
        <f t="shared" si="6"/>
        <v>-0.01073647857</v>
      </c>
      <c r="I1754" s="5">
        <f t="shared" si="7"/>
        <v>1.357663188</v>
      </c>
    </row>
    <row r="1755">
      <c r="A1755" s="12">
        <f>IFERROR(__xludf.DUMMYFUNCTION("""COMPUTED_VALUE"""),44810.66666666667)</f>
        <v>44810.66667</v>
      </c>
      <c r="B1755" s="13">
        <f>IFERROR(__xludf.DUMMYFUNCTION("""COMPUTED_VALUE"""),3908.19)</f>
        <v>3908.19</v>
      </c>
      <c r="C1755" s="13">
        <f t="shared" si="1"/>
        <v>4023.09</v>
      </c>
      <c r="D1755" s="13">
        <f t="shared" si="2"/>
        <v>3934.91</v>
      </c>
      <c r="E1755" s="13" t="str">
        <f t="shared" si="3"/>
        <v>LONG</v>
      </c>
      <c r="F1755" s="3">
        <f t="shared" si="4"/>
        <v>-0.004095039574</v>
      </c>
      <c r="G1755" s="4">
        <f t="shared" si="5"/>
        <v>1.879515813</v>
      </c>
      <c r="H1755" s="3">
        <f t="shared" si="6"/>
        <v>-0.004095039574</v>
      </c>
      <c r="I1755" s="5">
        <f t="shared" si="7"/>
        <v>1.352103504</v>
      </c>
    </row>
    <row r="1756">
      <c r="A1756" s="12">
        <f>IFERROR(__xludf.DUMMYFUNCTION("""COMPUTED_VALUE"""),44811.66666666667)</f>
        <v>44811.66667</v>
      </c>
      <c r="B1756" s="13">
        <f>IFERROR(__xludf.DUMMYFUNCTION("""COMPUTED_VALUE"""),3979.87)</f>
        <v>3979.87</v>
      </c>
      <c r="C1756" s="13">
        <f t="shared" si="1"/>
        <v>4054.3</v>
      </c>
      <c r="D1756" s="13">
        <f t="shared" si="2"/>
        <v>3973.355</v>
      </c>
      <c r="E1756" s="13" t="str">
        <f t="shared" si="3"/>
        <v>LONG</v>
      </c>
      <c r="F1756" s="3">
        <f t="shared" si="4"/>
        <v>0.01834097114</v>
      </c>
      <c r="G1756" s="4">
        <f t="shared" si="5"/>
        <v>1.913987958</v>
      </c>
      <c r="H1756" s="3">
        <f t="shared" si="6"/>
        <v>0.01834097114</v>
      </c>
      <c r="I1756" s="5">
        <f t="shared" si="7"/>
        <v>1.376902395</v>
      </c>
    </row>
    <row r="1757">
      <c r="A1757" s="12">
        <f>IFERROR(__xludf.DUMMYFUNCTION("""COMPUTED_VALUE"""),44812.66666666667)</f>
        <v>44812.66667</v>
      </c>
      <c r="B1757" s="13">
        <f>IFERROR(__xludf.DUMMYFUNCTION("""COMPUTED_VALUE"""),4006.18)</f>
        <v>4006.18</v>
      </c>
      <c r="C1757" s="13">
        <f t="shared" si="1"/>
        <v>4073.475</v>
      </c>
      <c r="D1757" s="13">
        <f t="shared" si="2"/>
        <v>3963.615</v>
      </c>
      <c r="E1757" s="13" t="str">
        <f t="shared" si="3"/>
        <v>LONG</v>
      </c>
      <c r="F1757" s="3">
        <f t="shared" si="4"/>
        <v>0.006610768693</v>
      </c>
      <c r="G1757" s="4">
        <f t="shared" si="5"/>
        <v>1.92664089</v>
      </c>
      <c r="H1757" s="3">
        <f t="shared" si="6"/>
        <v>0.006610768693</v>
      </c>
      <c r="I1757" s="5">
        <f t="shared" si="7"/>
        <v>1.386004778</v>
      </c>
    </row>
    <row r="1758">
      <c r="A1758" s="12">
        <f>IFERROR(__xludf.DUMMYFUNCTION("""COMPUTED_VALUE"""),44813.66666666667)</f>
        <v>44813.66667</v>
      </c>
      <c r="B1758" s="13">
        <f>IFERROR(__xludf.DUMMYFUNCTION("""COMPUTED_VALUE"""),4067.36)</f>
        <v>4067.36</v>
      </c>
      <c r="C1758" s="13">
        <f t="shared" si="1"/>
        <v>4133.24</v>
      </c>
      <c r="D1758" s="13">
        <f t="shared" si="2"/>
        <v>4045.485</v>
      </c>
      <c r="E1758" s="13" t="str">
        <f t="shared" si="3"/>
        <v>LONG</v>
      </c>
      <c r="F1758" s="3">
        <f t="shared" si="4"/>
        <v>0.01527140568</v>
      </c>
      <c r="G1758" s="4">
        <f t="shared" si="5"/>
        <v>1.956063404</v>
      </c>
      <c r="H1758" s="3">
        <f t="shared" si="6"/>
        <v>0.01527140568</v>
      </c>
      <c r="I1758" s="5">
        <f t="shared" si="7"/>
        <v>1.40717102</v>
      </c>
    </row>
    <row r="1759">
      <c r="A1759" s="12">
        <f>IFERROR(__xludf.DUMMYFUNCTION("""COMPUTED_VALUE"""),44816.66666666667)</f>
        <v>44816.66667</v>
      </c>
      <c r="B1759" s="13">
        <f>IFERROR(__xludf.DUMMYFUNCTION("""COMPUTED_VALUE"""),4110.41)</f>
        <v>4110.41</v>
      </c>
      <c r="C1759" s="13">
        <f t="shared" si="1"/>
        <v>4084.035</v>
      </c>
      <c r="D1759" s="13">
        <f t="shared" si="2"/>
        <v>4091.42</v>
      </c>
      <c r="E1759" s="13" t="str">
        <f t="shared" si="3"/>
        <v/>
      </c>
      <c r="F1759" s="3">
        <f t="shared" si="4"/>
        <v>0.01058426104</v>
      </c>
      <c r="G1759" s="4">
        <f t="shared" si="5"/>
        <v>1.97676689</v>
      </c>
      <c r="H1759" s="5">
        <f t="shared" si="6"/>
        <v>0</v>
      </c>
      <c r="I1759" s="5">
        <f t="shared" si="7"/>
        <v>1.40717102</v>
      </c>
    </row>
    <row r="1760">
      <c r="A1760" s="12">
        <f>IFERROR(__xludf.DUMMYFUNCTION("""COMPUTED_VALUE"""),44817.66666666667)</f>
        <v>44817.66667</v>
      </c>
      <c r="B1760" s="13">
        <f>IFERROR(__xludf.DUMMYFUNCTION("""COMPUTED_VALUE"""),3932.69)</f>
        <v>3932.69</v>
      </c>
      <c r="C1760" s="13">
        <f t="shared" si="1"/>
        <v>3981.65</v>
      </c>
      <c r="D1760" s="13">
        <f t="shared" si="2"/>
        <v>4031.49</v>
      </c>
      <c r="E1760" s="13" t="str">
        <f t="shared" si="3"/>
        <v/>
      </c>
      <c r="F1760" s="3">
        <f t="shared" si="4"/>
        <v>-0.04323656278</v>
      </c>
      <c r="G1760" s="4">
        <f t="shared" si="5"/>
        <v>1.891298284</v>
      </c>
      <c r="H1760" s="5">
        <f t="shared" si="6"/>
        <v>0</v>
      </c>
      <c r="I1760" s="5">
        <f t="shared" si="7"/>
        <v>1.40717102</v>
      </c>
    </row>
    <row r="1761">
      <c r="A1761" s="12">
        <f>IFERROR(__xludf.DUMMYFUNCTION("""COMPUTED_VALUE"""),44818.66666666667)</f>
        <v>44818.66667</v>
      </c>
      <c r="B1761" s="13">
        <f>IFERROR(__xludf.DUMMYFUNCTION("""COMPUTED_VALUE"""),3946.01)</f>
        <v>3946.01</v>
      </c>
      <c r="C1761" s="13">
        <f t="shared" si="1"/>
        <v>3966.085</v>
      </c>
      <c r="D1761" s="13">
        <f t="shared" si="2"/>
        <v>4032.32</v>
      </c>
      <c r="E1761" s="13" t="str">
        <f t="shared" si="3"/>
        <v/>
      </c>
      <c r="F1761" s="3">
        <f t="shared" si="4"/>
        <v>0.003386994653</v>
      </c>
      <c r="G1761" s="4">
        <f t="shared" si="5"/>
        <v>1.897704101</v>
      </c>
      <c r="H1761" s="5">
        <f t="shared" si="6"/>
        <v>0</v>
      </c>
      <c r="I1761" s="5">
        <f t="shared" si="7"/>
        <v>1.40717102</v>
      </c>
    </row>
    <row r="1762">
      <c r="A1762" s="12">
        <f>IFERROR(__xludf.DUMMYFUNCTION("""COMPUTED_VALUE"""),44819.66666666667)</f>
        <v>44819.66667</v>
      </c>
      <c r="B1762" s="13">
        <f>IFERROR(__xludf.DUMMYFUNCTION("""COMPUTED_VALUE"""),3901.35)</f>
        <v>3901.35</v>
      </c>
      <c r="C1762" s="13">
        <f t="shared" si="1"/>
        <v>3928.175</v>
      </c>
      <c r="D1762" s="13">
        <f t="shared" si="2"/>
        <v>3996.27</v>
      </c>
      <c r="E1762" s="13" t="str">
        <f t="shared" si="3"/>
        <v/>
      </c>
      <c r="F1762" s="3">
        <f t="shared" si="4"/>
        <v>-0.01131776149</v>
      </c>
      <c r="G1762" s="4">
        <f t="shared" si="5"/>
        <v>1.876226339</v>
      </c>
      <c r="H1762" s="5">
        <f t="shared" si="6"/>
        <v>0</v>
      </c>
      <c r="I1762" s="5">
        <f t="shared" si="7"/>
        <v>1.40717102</v>
      </c>
    </row>
    <row r="1763">
      <c r="A1763" s="12">
        <f>IFERROR(__xludf.DUMMYFUNCTION("""COMPUTED_VALUE"""),44820.66666666667)</f>
        <v>44820.66667</v>
      </c>
      <c r="B1763" s="13">
        <f>IFERROR(__xludf.DUMMYFUNCTION("""COMPUTED_VALUE"""),3873.33)</f>
        <v>3873.33</v>
      </c>
      <c r="C1763" s="13">
        <f t="shared" si="1"/>
        <v>3920.09</v>
      </c>
      <c r="D1763" s="13">
        <f t="shared" si="2"/>
        <v>4014.25</v>
      </c>
      <c r="E1763" s="13" t="str">
        <f t="shared" si="3"/>
        <v/>
      </c>
      <c r="F1763" s="3">
        <f t="shared" si="4"/>
        <v>-0.007182129263</v>
      </c>
      <c r="G1763" s="4">
        <f t="shared" si="5"/>
        <v>1.862751039</v>
      </c>
      <c r="H1763" s="5">
        <f t="shared" si="6"/>
        <v>0</v>
      </c>
      <c r="I1763" s="5">
        <f t="shared" si="7"/>
        <v>1.40717102</v>
      </c>
    </row>
    <row r="1764">
      <c r="A1764" s="12">
        <f>IFERROR(__xludf.DUMMYFUNCTION("""COMPUTED_VALUE"""),44823.66666666667)</f>
        <v>44823.66667</v>
      </c>
      <c r="B1764" s="13">
        <f>IFERROR(__xludf.DUMMYFUNCTION("""COMPUTED_VALUE"""),3899.89)</f>
        <v>3899.89</v>
      </c>
      <c r="C1764" s="13">
        <f t="shared" si="1"/>
        <v>3912.075</v>
      </c>
      <c r="D1764" s="13">
        <f t="shared" si="2"/>
        <v>4025.915</v>
      </c>
      <c r="E1764" s="13" t="str">
        <f t="shared" si="3"/>
        <v/>
      </c>
      <c r="F1764" s="3">
        <f t="shared" si="4"/>
        <v>0.006857148758</v>
      </c>
      <c r="G1764" s="4">
        <f t="shared" si="5"/>
        <v>1.8755242</v>
      </c>
      <c r="H1764" s="5">
        <f t="shared" si="6"/>
        <v>0</v>
      </c>
      <c r="I1764" s="5">
        <f t="shared" si="7"/>
        <v>1.40717102</v>
      </c>
    </row>
    <row r="1765">
      <c r="A1765" s="12">
        <f>IFERROR(__xludf.DUMMYFUNCTION("""COMPUTED_VALUE"""),44824.66666666667)</f>
        <v>44824.66667</v>
      </c>
      <c r="B1765" s="13">
        <f>IFERROR(__xludf.DUMMYFUNCTION("""COMPUTED_VALUE"""),3855.93)</f>
        <v>3855.93</v>
      </c>
      <c r="C1765" s="13">
        <f t="shared" si="1"/>
        <v>3882.06</v>
      </c>
      <c r="D1765" s="13">
        <f t="shared" si="2"/>
        <v>4000.56</v>
      </c>
      <c r="E1765" s="13" t="str">
        <f t="shared" si="3"/>
        <v/>
      </c>
      <c r="F1765" s="3">
        <f t="shared" si="4"/>
        <v>-0.0112721128</v>
      </c>
      <c r="G1765" s="4">
        <f t="shared" si="5"/>
        <v>1.854383079</v>
      </c>
      <c r="H1765" s="5">
        <f t="shared" si="6"/>
        <v>0</v>
      </c>
      <c r="I1765" s="5">
        <f t="shared" si="7"/>
        <v>1.40717102</v>
      </c>
    </row>
    <row r="1766">
      <c r="A1766" s="12">
        <f>IFERROR(__xludf.DUMMYFUNCTION("""COMPUTED_VALUE"""),44825.66666666667)</f>
        <v>44825.66667</v>
      </c>
      <c r="B1766" s="13">
        <f>IFERROR(__xludf.DUMMYFUNCTION("""COMPUTED_VALUE"""),3789.93)</f>
        <v>3789.93</v>
      </c>
      <c r="C1766" s="13">
        <f t="shared" si="1"/>
        <v>3884.9</v>
      </c>
      <c r="D1766" s="13">
        <f t="shared" si="2"/>
        <v>3964.995</v>
      </c>
      <c r="E1766" s="13" t="str">
        <f t="shared" si="3"/>
        <v/>
      </c>
      <c r="F1766" s="3">
        <f t="shared" si="4"/>
        <v>-0.0171164933</v>
      </c>
      <c r="G1766" s="4">
        <f t="shared" si="5"/>
        <v>1.822642544</v>
      </c>
      <c r="H1766" s="5">
        <f t="shared" si="6"/>
        <v>0</v>
      </c>
      <c r="I1766" s="5">
        <f t="shared" si="7"/>
        <v>1.40717102</v>
      </c>
    </row>
    <row r="1767">
      <c r="A1767" s="12">
        <f>IFERROR(__xludf.DUMMYFUNCTION("""COMPUTED_VALUE"""),44826.66666666667)</f>
        <v>44826.66667</v>
      </c>
      <c r="B1767" s="13">
        <f>IFERROR(__xludf.DUMMYFUNCTION("""COMPUTED_VALUE"""),3757.99)</f>
        <v>3757.99</v>
      </c>
      <c r="C1767" s="13">
        <f t="shared" si="1"/>
        <v>3882.085</v>
      </c>
      <c r="D1767" s="13">
        <f t="shared" si="2"/>
        <v>3940.23</v>
      </c>
      <c r="E1767" s="13" t="str">
        <f t="shared" si="3"/>
        <v/>
      </c>
      <c r="F1767" s="3">
        <f t="shared" si="4"/>
        <v>-0.008427596288</v>
      </c>
      <c r="G1767" s="4">
        <f t="shared" si="5"/>
        <v>1.807282048</v>
      </c>
      <c r="H1767" s="5">
        <f t="shared" si="6"/>
        <v>0</v>
      </c>
      <c r="I1767" s="5">
        <f t="shared" si="7"/>
        <v>1.40717102</v>
      </c>
    </row>
    <row r="1768">
      <c r="A1768" s="12">
        <f>IFERROR(__xludf.DUMMYFUNCTION("""COMPUTED_VALUE"""),44827.66666666667)</f>
        <v>44827.66667</v>
      </c>
      <c r="B1768" s="13">
        <f>IFERROR(__xludf.DUMMYFUNCTION("""COMPUTED_VALUE"""),3693.23)</f>
        <v>3693.23</v>
      </c>
      <c r="C1768" s="13">
        <f t="shared" si="1"/>
        <v>3880.295</v>
      </c>
      <c r="D1768" s="13">
        <f t="shared" si="2"/>
        <v>3951.735</v>
      </c>
      <c r="E1768" s="13" t="str">
        <f t="shared" si="3"/>
        <v/>
      </c>
      <c r="F1768" s="3">
        <f t="shared" si="4"/>
        <v>-0.01723261637</v>
      </c>
      <c r="G1768" s="4">
        <f t="shared" si="5"/>
        <v>1.77613785</v>
      </c>
      <c r="H1768" s="5">
        <f t="shared" si="6"/>
        <v>0</v>
      </c>
      <c r="I1768" s="5">
        <f t="shared" si="7"/>
        <v>1.40717102</v>
      </c>
    </row>
    <row r="1769">
      <c r="A1769" s="12">
        <f>IFERROR(__xludf.DUMMYFUNCTION("""COMPUTED_VALUE"""),44830.66666666667)</f>
        <v>44830.66667</v>
      </c>
      <c r="B1769" s="13">
        <f>IFERROR(__xludf.DUMMYFUNCTION("""COMPUTED_VALUE"""),3655.04)</f>
        <v>3655.04</v>
      </c>
      <c r="C1769" s="13">
        <f t="shared" si="1"/>
        <v>3882.725</v>
      </c>
      <c r="D1769" s="13">
        <f t="shared" si="2"/>
        <v>3931.155</v>
      </c>
      <c r="E1769" s="13" t="str">
        <f t="shared" si="3"/>
        <v/>
      </c>
      <c r="F1769" s="3">
        <f t="shared" si="4"/>
        <v>-0.01034054202</v>
      </c>
      <c r="G1769" s="4">
        <f t="shared" si="5"/>
        <v>1.757771622</v>
      </c>
      <c r="H1769" s="5">
        <f t="shared" si="6"/>
        <v>0</v>
      </c>
      <c r="I1769" s="5">
        <f t="shared" si="7"/>
        <v>1.40717102</v>
      </c>
    </row>
    <row r="1770">
      <c r="A1770" s="12">
        <f>IFERROR(__xludf.DUMMYFUNCTION("""COMPUTED_VALUE"""),44831.66666666667)</f>
        <v>44831.66667</v>
      </c>
      <c r="B1770" s="13">
        <f>IFERROR(__xludf.DUMMYFUNCTION("""COMPUTED_VALUE"""),3647.29)</f>
        <v>3647.29</v>
      </c>
      <c r="C1770" s="13">
        <f t="shared" si="1"/>
        <v>3789.99</v>
      </c>
      <c r="D1770" s="13">
        <f t="shared" si="2"/>
        <v>3963.72</v>
      </c>
      <c r="E1770" s="13" t="str">
        <f t="shared" si="3"/>
        <v/>
      </c>
      <c r="F1770" s="3">
        <f t="shared" si="4"/>
        <v>-0.002120359832</v>
      </c>
      <c r="G1770" s="4">
        <f t="shared" si="5"/>
        <v>1.754044514</v>
      </c>
      <c r="H1770" s="5">
        <f t="shared" si="6"/>
        <v>0</v>
      </c>
      <c r="I1770" s="5">
        <f t="shared" si="7"/>
        <v>1.40717102</v>
      </c>
    </row>
    <row r="1771">
      <c r="A1771" s="12">
        <f>IFERROR(__xludf.DUMMYFUNCTION("""COMPUTED_VALUE"""),44832.66666666667)</f>
        <v>44832.66667</v>
      </c>
      <c r="B1771" s="13">
        <f>IFERROR(__xludf.DUMMYFUNCTION("""COMPUTED_VALUE"""),3719.04)</f>
        <v>3719.04</v>
      </c>
      <c r="C1771" s="13">
        <f t="shared" si="1"/>
        <v>3832.525</v>
      </c>
      <c r="D1771" s="13">
        <f t="shared" si="2"/>
        <v>4008.09</v>
      </c>
      <c r="E1771" s="13" t="str">
        <f t="shared" si="3"/>
        <v/>
      </c>
      <c r="F1771" s="3">
        <f t="shared" si="4"/>
        <v>0.01967214014</v>
      </c>
      <c r="G1771" s="4">
        <f t="shared" si="5"/>
        <v>1.788550323</v>
      </c>
      <c r="H1771" s="5">
        <f t="shared" si="6"/>
        <v>0</v>
      </c>
      <c r="I1771" s="5">
        <f t="shared" si="7"/>
        <v>1.40717102</v>
      </c>
    </row>
    <row r="1772">
      <c r="A1772" s="12">
        <f>IFERROR(__xludf.DUMMYFUNCTION("""COMPUTED_VALUE"""),44833.66666666667)</f>
        <v>44833.66667</v>
      </c>
      <c r="B1772" s="13">
        <f>IFERROR(__xludf.DUMMYFUNCTION("""COMPUTED_VALUE"""),3640.47)</f>
        <v>3640.47</v>
      </c>
      <c r="C1772" s="13">
        <f t="shared" si="1"/>
        <v>3770.91</v>
      </c>
      <c r="D1772" s="13">
        <f t="shared" si="2"/>
        <v>3972.835</v>
      </c>
      <c r="E1772" s="13" t="str">
        <f t="shared" si="3"/>
        <v/>
      </c>
      <c r="F1772" s="3">
        <f t="shared" si="4"/>
        <v>-0.02112641972</v>
      </c>
      <c r="G1772" s="4">
        <f t="shared" si="5"/>
        <v>1.750764658</v>
      </c>
      <c r="H1772" s="5">
        <f t="shared" si="6"/>
        <v>0</v>
      </c>
      <c r="I1772" s="5">
        <f t="shared" si="7"/>
        <v>1.40717102</v>
      </c>
    </row>
    <row r="1773">
      <c r="A1773" s="12">
        <f>IFERROR(__xludf.DUMMYFUNCTION("""COMPUTED_VALUE"""),44834.66666666667)</f>
        <v>44834.66667</v>
      </c>
      <c r="B1773" s="13">
        <f>IFERROR(__xludf.DUMMYFUNCTION("""COMPUTED_VALUE"""),3585.62)</f>
        <v>3585.62</v>
      </c>
      <c r="C1773" s="13">
        <f t="shared" si="1"/>
        <v>3729.475</v>
      </c>
      <c r="D1773" s="13">
        <f t="shared" si="2"/>
        <v>3929.83</v>
      </c>
      <c r="E1773" s="13" t="str">
        <f t="shared" si="3"/>
        <v/>
      </c>
      <c r="F1773" s="3">
        <f t="shared" si="4"/>
        <v>-0.01506673589</v>
      </c>
      <c r="G1773" s="4">
        <f t="shared" si="5"/>
        <v>1.72438635</v>
      </c>
      <c r="H1773" s="5">
        <f t="shared" si="6"/>
        <v>0</v>
      </c>
      <c r="I1773" s="5">
        <f t="shared" si="7"/>
        <v>1.40717102</v>
      </c>
    </row>
    <row r="1774">
      <c r="A1774" s="12">
        <f>IFERROR(__xludf.DUMMYFUNCTION("""COMPUTED_VALUE"""),44837.66666666667)</f>
        <v>44837.66667</v>
      </c>
      <c r="B1774" s="13">
        <f>IFERROR(__xludf.DUMMYFUNCTION("""COMPUTED_VALUE"""),3678.43)</f>
        <v>3678.43</v>
      </c>
      <c r="C1774" s="13">
        <f t="shared" si="1"/>
        <v>3789.16</v>
      </c>
      <c r="D1774" s="13">
        <f t="shared" si="2"/>
        <v>3981.085</v>
      </c>
      <c r="E1774" s="13" t="str">
        <f t="shared" si="3"/>
        <v/>
      </c>
      <c r="F1774" s="3">
        <f t="shared" si="4"/>
        <v>0.02588394755</v>
      </c>
      <c r="G1774" s="4">
        <f t="shared" si="5"/>
        <v>1.769020275</v>
      </c>
      <c r="H1774" s="5">
        <f t="shared" si="6"/>
        <v>0</v>
      </c>
      <c r="I1774" s="5">
        <f t="shared" si="7"/>
        <v>1.40717102</v>
      </c>
    </row>
    <row r="1775">
      <c r="A1775" s="12">
        <f>IFERROR(__xludf.DUMMYFUNCTION("""COMPUTED_VALUE"""),44838.66666666667)</f>
        <v>44838.66667</v>
      </c>
      <c r="B1775" s="13">
        <f>IFERROR(__xludf.DUMMYFUNCTION("""COMPUTED_VALUE"""),3790.93)</f>
        <v>3790.93</v>
      </c>
      <c r="C1775" s="13">
        <f t="shared" si="1"/>
        <v>3823.43</v>
      </c>
      <c r="D1775" s="13">
        <f t="shared" si="2"/>
        <v>4009.705</v>
      </c>
      <c r="E1775" s="13" t="str">
        <f t="shared" si="3"/>
        <v/>
      </c>
      <c r="F1775" s="3">
        <f t="shared" si="4"/>
        <v>0.03058370011</v>
      </c>
      <c r="G1775" s="4">
        <f t="shared" si="5"/>
        <v>1.823123461</v>
      </c>
      <c r="H1775" s="5">
        <f t="shared" si="6"/>
        <v>0</v>
      </c>
      <c r="I1775" s="5">
        <f t="shared" si="7"/>
        <v>1.40717102</v>
      </c>
    </row>
    <row r="1776">
      <c r="A1776" s="12">
        <f>IFERROR(__xludf.DUMMYFUNCTION("""COMPUTED_VALUE"""),44839.66666666667)</f>
        <v>44839.66667</v>
      </c>
      <c r="B1776" s="13">
        <f>IFERROR(__xludf.DUMMYFUNCTION("""COMPUTED_VALUE"""),3783.28)</f>
        <v>3783.28</v>
      </c>
      <c r="C1776" s="13">
        <f t="shared" si="1"/>
        <v>3786.605</v>
      </c>
      <c r="D1776" s="13">
        <f t="shared" si="2"/>
        <v>3960.635</v>
      </c>
      <c r="E1776" s="13" t="str">
        <f t="shared" si="3"/>
        <v/>
      </c>
      <c r="F1776" s="3">
        <f t="shared" si="4"/>
        <v>-0.002017974481</v>
      </c>
      <c r="G1776" s="4">
        <f t="shared" si="5"/>
        <v>1.819444444</v>
      </c>
      <c r="H1776" s="5">
        <f t="shared" si="6"/>
        <v>0</v>
      </c>
      <c r="I1776" s="5">
        <f t="shared" si="7"/>
        <v>1.40717102</v>
      </c>
    </row>
    <row r="1777">
      <c r="A1777" s="12">
        <f>IFERROR(__xludf.DUMMYFUNCTION("""COMPUTED_VALUE"""),44840.66666666667)</f>
        <v>44840.66667</v>
      </c>
      <c r="B1777" s="13">
        <f>IFERROR(__xludf.DUMMYFUNCTION("""COMPUTED_VALUE"""),3744.52)</f>
        <v>3744.52</v>
      </c>
      <c r="C1777" s="13">
        <f t="shared" si="1"/>
        <v>3751.255</v>
      </c>
      <c r="D1777" s="13">
        <f t="shared" si="2"/>
        <v>3936.625</v>
      </c>
      <c r="E1777" s="13" t="str">
        <f t="shared" si="3"/>
        <v/>
      </c>
      <c r="F1777" s="3">
        <f t="shared" si="4"/>
        <v>-0.01024507834</v>
      </c>
      <c r="G1777" s="4">
        <f t="shared" si="5"/>
        <v>1.800804094</v>
      </c>
      <c r="H1777" s="5">
        <f t="shared" si="6"/>
        <v>0</v>
      </c>
      <c r="I1777" s="5">
        <f t="shared" si="7"/>
        <v>1.40717102</v>
      </c>
    </row>
    <row r="1778">
      <c r="A1778" s="12">
        <f>IFERROR(__xludf.DUMMYFUNCTION("""COMPUTED_VALUE"""),44841.66666666667)</f>
        <v>44841.66667</v>
      </c>
      <c r="B1778" s="13">
        <f>IFERROR(__xludf.DUMMYFUNCTION("""COMPUTED_VALUE"""),3639.66)</f>
        <v>3639.66</v>
      </c>
      <c r="C1778" s="13">
        <f t="shared" si="1"/>
        <v>3666.445</v>
      </c>
      <c r="D1778" s="13">
        <f t="shared" si="2"/>
        <v>3890.215</v>
      </c>
      <c r="E1778" s="13" t="str">
        <f t="shared" si="3"/>
        <v/>
      </c>
      <c r="F1778" s="3">
        <f t="shared" si="4"/>
        <v>-0.02800358925</v>
      </c>
      <c r="G1778" s="4">
        <f t="shared" si="5"/>
        <v>1.750375115</v>
      </c>
      <c r="H1778" s="5">
        <f t="shared" si="6"/>
        <v>0</v>
      </c>
      <c r="I1778" s="5">
        <f t="shared" si="7"/>
        <v>1.40717102</v>
      </c>
    </row>
    <row r="1779">
      <c r="A1779" s="12">
        <f>IFERROR(__xludf.DUMMYFUNCTION("""COMPUTED_VALUE"""),44844.66666666667)</f>
        <v>44844.66667</v>
      </c>
      <c r="B1779" s="13">
        <f>IFERROR(__xludf.DUMMYFUNCTION("""COMPUTED_VALUE"""),3612.39)</f>
        <v>3612.39</v>
      </c>
      <c r="C1779" s="13">
        <f t="shared" si="1"/>
        <v>3633.715</v>
      </c>
      <c r="D1779" s="13">
        <f t="shared" si="2"/>
        <v>3905.755</v>
      </c>
      <c r="E1779" s="13" t="str">
        <f t="shared" si="3"/>
        <v/>
      </c>
      <c r="F1779" s="3">
        <f t="shared" si="4"/>
        <v>-0.007492458087</v>
      </c>
      <c r="G1779" s="4">
        <f t="shared" si="5"/>
        <v>1.737260503</v>
      </c>
      <c r="H1779" s="5">
        <f t="shared" si="6"/>
        <v>0</v>
      </c>
      <c r="I1779" s="5">
        <f t="shared" si="7"/>
        <v>1.40717102</v>
      </c>
    </row>
    <row r="1780">
      <c r="A1780" s="12">
        <f>IFERROR(__xludf.DUMMYFUNCTION("""COMPUTED_VALUE"""),44845.66666666667)</f>
        <v>44845.66667</v>
      </c>
      <c r="B1780" s="13">
        <f>IFERROR(__xludf.DUMMYFUNCTION("""COMPUTED_VALUE"""),3588.84)</f>
        <v>3588.84</v>
      </c>
      <c r="C1780" s="13">
        <f t="shared" si="1"/>
        <v>3618.065</v>
      </c>
      <c r="D1780" s="13">
        <f t="shared" si="2"/>
        <v>3823.25</v>
      </c>
      <c r="E1780" s="13" t="str">
        <f t="shared" si="3"/>
        <v/>
      </c>
      <c r="F1780" s="3">
        <f t="shared" si="4"/>
        <v>-0.006519229651</v>
      </c>
      <c r="G1780" s="4">
        <f t="shared" si="5"/>
        <v>1.725934903</v>
      </c>
      <c r="H1780" s="5">
        <f t="shared" si="6"/>
        <v>0</v>
      </c>
      <c r="I1780" s="5">
        <f t="shared" si="7"/>
        <v>1.40717102</v>
      </c>
    </row>
    <row r="1781">
      <c r="A1781" s="12">
        <f>IFERROR(__xludf.DUMMYFUNCTION("""COMPUTED_VALUE"""),44846.66666666667)</f>
        <v>44846.66667</v>
      </c>
      <c r="B1781" s="13">
        <f>IFERROR(__xludf.DUMMYFUNCTION("""COMPUTED_VALUE"""),3577.03)</f>
        <v>3577.03</v>
      </c>
      <c r="C1781" s="13">
        <f t="shared" si="1"/>
        <v>3648.035</v>
      </c>
      <c r="D1781" s="13">
        <f t="shared" si="2"/>
        <v>3803.82</v>
      </c>
      <c r="E1781" s="13" t="str">
        <f t="shared" si="3"/>
        <v/>
      </c>
      <c r="F1781" s="3">
        <f t="shared" si="4"/>
        <v>-0.003290756902</v>
      </c>
      <c r="G1781" s="4">
        <f t="shared" si="5"/>
        <v>1.720255271</v>
      </c>
      <c r="H1781" s="5">
        <f t="shared" si="6"/>
        <v>0</v>
      </c>
      <c r="I1781" s="5">
        <f t="shared" si="7"/>
        <v>1.40717102</v>
      </c>
    </row>
    <row r="1782">
      <c r="A1782" s="12">
        <f>IFERROR(__xludf.DUMMYFUNCTION("""COMPUTED_VALUE"""),44847.66666666667)</f>
        <v>44847.66667</v>
      </c>
      <c r="B1782" s="13">
        <f>IFERROR(__xludf.DUMMYFUNCTION("""COMPUTED_VALUE"""),3669.91)</f>
        <v>3669.91</v>
      </c>
      <c r="C1782" s="13">
        <f t="shared" si="1"/>
        <v>3655.19</v>
      </c>
      <c r="D1782" s="13">
        <f t="shared" si="2"/>
        <v>3828.035</v>
      </c>
      <c r="E1782" s="13" t="str">
        <f t="shared" si="3"/>
        <v/>
      </c>
      <c r="F1782" s="3">
        <f t="shared" si="4"/>
        <v>0.02596567543</v>
      </c>
      <c r="G1782" s="4">
        <f t="shared" si="5"/>
        <v>1.764922861</v>
      </c>
      <c r="H1782" s="5">
        <f t="shared" si="6"/>
        <v>0</v>
      </c>
      <c r="I1782" s="5">
        <f t="shared" si="7"/>
        <v>1.40717102</v>
      </c>
    </row>
    <row r="1783">
      <c r="A1783" s="12">
        <f>IFERROR(__xludf.DUMMYFUNCTION("""COMPUTED_VALUE"""),44848.66666666667)</f>
        <v>44848.66667</v>
      </c>
      <c r="B1783" s="13">
        <f>IFERROR(__xludf.DUMMYFUNCTION("""COMPUTED_VALUE"""),3583.07)</f>
        <v>3583.07</v>
      </c>
      <c r="C1783" s="13">
        <f t="shared" si="1"/>
        <v>3584.345</v>
      </c>
      <c r="D1783" s="13">
        <f t="shared" si="2"/>
        <v>3769.035</v>
      </c>
      <c r="E1783" s="13" t="str">
        <f t="shared" si="3"/>
        <v/>
      </c>
      <c r="F1783" s="3">
        <f t="shared" si="4"/>
        <v>-0.02366270562</v>
      </c>
      <c r="G1783" s="4">
        <f t="shared" si="5"/>
        <v>1.723160011</v>
      </c>
      <c r="H1783" s="5">
        <f t="shared" si="6"/>
        <v>0</v>
      </c>
      <c r="I1783" s="5">
        <f t="shared" si="7"/>
        <v>1.40717102</v>
      </c>
    </row>
    <row r="1784">
      <c r="A1784" s="12">
        <f>IFERROR(__xludf.DUMMYFUNCTION("""COMPUTED_VALUE"""),44851.66666666667)</f>
        <v>44851.66667</v>
      </c>
      <c r="B1784" s="13">
        <f>IFERROR(__xludf.DUMMYFUNCTION("""COMPUTED_VALUE"""),3677.95)</f>
        <v>3677.95</v>
      </c>
      <c r="C1784" s="13">
        <f t="shared" si="1"/>
        <v>3678.19</v>
      </c>
      <c r="D1784" s="13">
        <f t="shared" si="2"/>
        <v>3822.4</v>
      </c>
      <c r="E1784" s="13" t="str">
        <f t="shared" si="3"/>
        <v/>
      </c>
      <c r="F1784" s="3">
        <f t="shared" si="4"/>
        <v>0.02648008551</v>
      </c>
      <c r="G1784" s="4">
        <f t="shared" si="5"/>
        <v>1.768789435</v>
      </c>
      <c r="H1784" s="5">
        <f t="shared" si="6"/>
        <v>0</v>
      </c>
      <c r="I1784" s="5">
        <f t="shared" si="7"/>
        <v>1.40717102</v>
      </c>
    </row>
    <row r="1785">
      <c r="A1785" s="12">
        <f>IFERROR(__xludf.DUMMYFUNCTION("""COMPUTED_VALUE"""),44852.66666666667)</f>
        <v>44852.66667</v>
      </c>
      <c r="B1785" s="13">
        <f>IFERROR(__xludf.DUMMYFUNCTION("""COMPUTED_VALUE"""),3719.98)</f>
        <v>3719.98</v>
      </c>
      <c r="C1785" s="13">
        <f t="shared" si="1"/>
        <v>3755.455</v>
      </c>
      <c r="D1785" s="13">
        <f t="shared" si="2"/>
        <v>3822.12</v>
      </c>
      <c r="E1785" s="13" t="str">
        <f t="shared" si="3"/>
        <v/>
      </c>
      <c r="F1785" s="3">
        <f t="shared" si="4"/>
        <v>0.01142756155</v>
      </c>
      <c r="G1785" s="4">
        <f t="shared" si="5"/>
        <v>1.789002385</v>
      </c>
      <c r="H1785" s="5">
        <f t="shared" si="6"/>
        <v>0</v>
      </c>
      <c r="I1785" s="5">
        <f t="shared" si="7"/>
        <v>1.40717102</v>
      </c>
    </row>
    <row r="1786">
      <c r="A1786" s="12">
        <f>IFERROR(__xludf.DUMMYFUNCTION("""COMPUTED_VALUE"""),44853.66666666667)</f>
        <v>44853.66667</v>
      </c>
      <c r="B1786" s="13">
        <f>IFERROR(__xludf.DUMMYFUNCTION("""COMPUTED_VALUE"""),3695.16)</f>
        <v>3695.16</v>
      </c>
      <c r="C1786" s="13">
        <f t="shared" si="1"/>
        <v>3739.22</v>
      </c>
      <c r="D1786" s="13">
        <f t="shared" si="2"/>
        <v>3801.675</v>
      </c>
      <c r="E1786" s="13" t="str">
        <f t="shared" si="3"/>
        <v/>
      </c>
      <c r="F1786" s="3">
        <f t="shared" si="4"/>
        <v>-0.006672078882</v>
      </c>
      <c r="G1786" s="4">
        <f t="shared" si="5"/>
        <v>1.77706602</v>
      </c>
      <c r="H1786" s="5">
        <f t="shared" si="6"/>
        <v>0</v>
      </c>
      <c r="I1786" s="5">
        <f t="shared" si="7"/>
        <v>1.40717102</v>
      </c>
    </row>
    <row r="1787">
      <c r="A1787" s="12">
        <f>IFERROR(__xludf.DUMMYFUNCTION("""COMPUTED_VALUE"""),44854.66666666667)</f>
        <v>44854.66667</v>
      </c>
      <c r="B1787" s="13">
        <f>IFERROR(__xludf.DUMMYFUNCTION("""COMPUTED_VALUE"""),3665.78)</f>
        <v>3665.78</v>
      </c>
      <c r="C1787" s="13">
        <f t="shared" si="1"/>
        <v>3705.15</v>
      </c>
      <c r="D1787" s="13">
        <f t="shared" si="2"/>
        <v>3822.825</v>
      </c>
      <c r="E1787" s="13" t="str">
        <f t="shared" si="3"/>
        <v/>
      </c>
      <c r="F1787" s="3">
        <f t="shared" si="4"/>
        <v>-0.007950941231</v>
      </c>
      <c r="G1787" s="4">
        <f t="shared" si="5"/>
        <v>1.762936673</v>
      </c>
      <c r="H1787" s="5">
        <f t="shared" si="6"/>
        <v>0</v>
      </c>
      <c r="I1787" s="5">
        <f t="shared" si="7"/>
        <v>1.40717102</v>
      </c>
    </row>
    <row r="1788">
      <c r="A1788" s="12">
        <f>IFERROR(__xludf.DUMMYFUNCTION("""COMPUTED_VALUE"""),44855.66666666667)</f>
        <v>44855.66667</v>
      </c>
      <c r="B1788" s="13">
        <f>IFERROR(__xludf.DUMMYFUNCTION("""COMPUTED_VALUE"""),3752.75)</f>
        <v>3752.75</v>
      </c>
      <c r="C1788" s="13">
        <f t="shared" si="1"/>
        <v>3696.205</v>
      </c>
      <c r="D1788" s="13">
        <f t="shared" si="2"/>
        <v>3879.465</v>
      </c>
      <c r="E1788" s="13" t="str">
        <f t="shared" si="3"/>
        <v/>
      </c>
      <c r="F1788" s="3">
        <f t="shared" si="4"/>
        <v>0.023724828</v>
      </c>
      <c r="G1788" s="4">
        <f t="shared" si="5"/>
        <v>1.804762042</v>
      </c>
      <c r="H1788" s="5">
        <f t="shared" si="6"/>
        <v>0</v>
      </c>
      <c r="I1788" s="5">
        <f t="shared" si="7"/>
        <v>1.40717102</v>
      </c>
    </row>
    <row r="1789">
      <c r="A1789" s="12">
        <f>IFERROR(__xludf.DUMMYFUNCTION("""COMPUTED_VALUE"""),44858.66666666667)</f>
        <v>44858.66667</v>
      </c>
      <c r="B1789" s="13">
        <f>IFERROR(__xludf.DUMMYFUNCTION("""COMPUTED_VALUE"""),3797.34)</f>
        <v>3797.34</v>
      </c>
      <c r="C1789" s="13">
        <f t="shared" si="1"/>
        <v>3704.865</v>
      </c>
      <c r="D1789" s="13">
        <f t="shared" si="2"/>
        <v>3932.35</v>
      </c>
      <c r="E1789" s="13" t="str">
        <f t="shared" si="3"/>
        <v/>
      </c>
      <c r="F1789" s="3">
        <f t="shared" si="4"/>
        <v>0.01188195323</v>
      </c>
      <c r="G1789" s="4">
        <f t="shared" si="5"/>
        <v>1.82620614</v>
      </c>
      <c r="H1789" s="5">
        <f t="shared" si="6"/>
        <v>0</v>
      </c>
      <c r="I1789" s="5">
        <f t="shared" si="7"/>
        <v>1.40717102</v>
      </c>
    </row>
    <row r="1790">
      <c r="A1790" s="12">
        <f>IFERROR(__xludf.DUMMYFUNCTION("""COMPUTED_VALUE"""),44859.66666666667)</f>
        <v>44859.66667</v>
      </c>
      <c r="B1790" s="13">
        <f>IFERROR(__xludf.DUMMYFUNCTION("""COMPUTED_VALUE"""),3859.11)</f>
        <v>3859.11</v>
      </c>
      <c r="C1790" s="13">
        <f t="shared" si="1"/>
        <v>3723.975</v>
      </c>
      <c r="D1790" s="13">
        <f t="shared" si="2"/>
        <v>3984.76</v>
      </c>
      <c r="E1790" s="13" t="str">
        <f t="shared" si="3"/>
        <v/>
      </c>
      <c r="F1790" s="3">
        <f t="shared" si="4"/>
        <v>0.01626664981</v>
      </c>
      <c r="G1790" s="4">
        <f t="shared" si="5"/>
        <v>1.855912396</v>
      </c>
      <c r="H1790" s="5">
        <f t="shared" si="6"/>
        <v>0</v>
      </c>
      <c r="I1790" s="5">
        <f t="shared" si="7"/>
        <v>1.40717102</v>
      </c>
    </row>
    <row r="1791">
      <c r="A1791" s="12">
        <f>IFERROR(__xludf.DUMMYFUNCTION("""COMPUTED_VALUE"""),44860.66666666667)</f>
        <v>44860.66667</v>
      </c>
      <c r="B1791" s="13">
        <f>IFERROR(__xludf.DUMMYFUNCTION("""COMPUTED_VALUE"""),3830.6)</f>
        <v>3830.6</v>
      </c>
      <c r="C1791" s="13">
        <f t="shared" si="1"/>
        <v>3703.815</v>
      </c>
      <c r="D1791" s="13">
        <f t="shared" si="2"/>
        <v>3881.645</v>
      </c>
      <c r="E1791" s="13" t="str">
        <f t="shared" si="3"/>
        <v/>
      </c>
      <c r="F1791" s="3">
        <f t="shared" si="4"/>
        <v>-0.007387713747</v>
      </c>
      <c r="G1791" s="4">
        <f t="shared" si="5"/>
        <v>1.842201447</v>
      </c>
      <c r="H1791" s="5">
        <f t="shared" si="6"/>
        <v>0</v>
      </c>
      <c r="I1791" s="5">
        <f t="shared" si="7"/>
        <v>1.40717102</v>
      </c>
    </row>
    <row r="1792">
      <c r="A1792" s="12">
        <f>IFERROR(__xludf.DUMMYFUNCTION("""COMPUTED_VALUE"""),44861.66666666667)</f>
        <v>44861.66667</v>
      </c>
      <c r="B1792" s="13">
        <f>IFERROR(__xludf.DUMMYFUNCTION("""COMPUTED_VALUE"""),3807.3)</f>
        <v>3807.3</v>
      </c>
      <c r="C1792" s="13">
        <f t="shared" si="1"/>
        <v>3738.605</v>
      </c>
      <c r="D1792" s="13">
        <f t="shared" si="2"/>
        <v>3876.655</v>
      </c>
      <c r="E1792" s="13" t="str">
        <f t="shared" si="3"/>
        <v/>
      </c>
      <c r="F1792" s="3">
        <f t="shared" si="4"/>
        <v>-0.006082598026</v>
      </c>
      <c r="G1792" s="4">
        <f t="shared" si="5"/>
        <v>1.830996076</v>
      </c>
      <c r="H1792" s="5">
        <f t="shared" si="6"/>
        <v>0</v>
      </c>
      <c r="I1792" s="5">
        <f t="shared" si="7"/>
        <v>1.40717102</v>
      </c>
    </row>
    <row r="1793">
      <c r="A1793" s="12">
        <f>IFERROR(__xludf.DUMMYFUNCTION("""COMPUTED_VALUE"""),44862.66666666667)</f>
        <v>44862.66667</v>
      </c>
      <c r="B1793" s="13">
        <f>IFERROR(__xludf.DUMMYFUNCTION("""COMPUTED_VALUE"""),3901.06)</f>
        <v>3901.06</v>
      </c>
      <c r="C1793" s="13">
        <f t="shared" si="1"/>
        <v>3742.065</v>
      </c>
      <c r="D1793" s="13">
        <f t="shared" si="2"/>
        <v>3901.205</v>
      </c>
      <c r="E1793" s="13" t="str">
        <f t="shared" si="3"/>
        <v/>
      </c>
      <c r="F1793" s="3">
        <f t="shared" si="4"/>
        <v>0.02462637565</v>
      </c>
      <c r="G1793" s="4">
        <f t="shared" si="5"/>
        <v>1.876086873</v>
      </c>
      <c r="H1793" s="5">
        <f t="shared" si="6"/>
        <v>0</v>
      </c>
      <c r="I1793" s="5">
        <f t="shared" si="7"/>
        <v>1.40717102</v>
      </c>
    </row>
    <row r="1794">
      <c r="A1794" s="12">
        <f>IFERROR(__xludf.DUMMYFUNCTION("""COMPUTED_VALUE"""),44865.66666666667)</f>
        <v>44865.66667</v>
      </c>
      <c r="B1794" s="13">
        <f>IFERROR(__xludf.DUMMYFUNCTION("""COMPUTED_VALUE"""),3871.98)</f>
        <v>3871.98</v>
      </c>
      <c r="C1794" s="13">
        <f t="shared" si="1"/>
        <v>3774.965</v>
      </c>
      <c r="D1794" s="13">
        <f t="shared" si="2"/>
        <v>3872.655</v>
      </c>
      <c r="E1794" s="13" t="str">
        <f t="shared" si="3"/>
        <v/>
      </c>
      <c r="F1794" s="3">
        <f t="shared" si="4"/>
        <v>-0.007454384193</v>
      </c>
      <c r="G1794" s="4">
        <f t="shared" si="5"/>
        <v>1.862101801</v>
      </c>
      <c r="H1794" s="5">
        <f t="shared" si="6"/>
        <v>0</v>
      </c>
      <c r="I1794" s="5">
        <f t="shared" si="7"/>
        <v>1.40717102</v>
      </c>
    </row>
    <row r="1795">
      <c r="A1795" s="12">
        <f>IFERROR(__xludf.DUMMYFUNCTION("""COMPUTED_VALUE"""),44866.66666666667)</f>
        <v>44866.66667</v>
      </c>
      <c r="B1795" s="13">
        <f>IFERROR(__xludf.DUMMYFUNCTION("""COMPUTED_VALUE"""),3856.1)</f>
        <v>3856.1</v>
      </c>
      <c r="C1795" s="13">
        <f t="shared" si="1"/>
        <v>3788.04</v>
      </c>
      <c r="D1795" s="13">
        <f t="shared" si="2"/>
        <v>3877.995</v>
      </c>
      <c r="E1795" s="13" t="str">
        <f t="shared" si="3"/>
        <v/>
      </c>
      <c r="F1795" s="3">
        <f t="shared" si="4"/>
        <v>-0.004101260854</v>
      </c>
      <c r="G1795" s="4">
        <f t="shared" si="5"/>
        <v>1.854464835</v>
      </c>
      <c r="H1795" s="5">
        <f t="shared" si="6"/>
        <v>0</v>
      </c>
      <c r="I1795" s="5">
        <f t="shared" si="7"/>
        <v>1.40717102</v>
      </c>
    </row>
    <row r="1796">
      <c r="A1796" s="12">
        <f>IFERROR(__xludf.DUMMYFUNCTION("""COMPUTED_VALUE"""),44867.66666666667)</f>
        <v>44867.66667</v>
      </c>
      <c r="B1796" s="13">
        <f>IFERROR(__xludf.DUMMYFUNCTION("""COMPUTED_VALUE"""),3759.69)</f>
        <v>3759.69</v>
      </c>
      <c r="C1796" s="13">
        <f t="shared" si="1"/>
        <v>3727.425</v>
      </c>
      <c r="D1796" s="13">
        <f t="shared" si="2"/>
        <v>3807.81</v>
      </c>
      <c r="E1796" s="13" t="str">
        <f t="shared" si="3"/>
        <v/>
      </c>
      <c r="F1796" s="3">
        <f t="shared" si="4"/>
        <v>-0.02500194497</v>
      </c>
      <c r="G1796" s="4">
        <f t="shared" si="5"/>
        <v>1.808099608</v>
      </c>
      <c r="H1796" s="5">
        <f t="shared" si="6"/>
        <v>0</v>
      </c>
      <c r="I1796" s="5">
        <f t="shared" si="7"/>
        <v>1.40717102</v>
      </c>
    </row>
    <row r="1797">
      <c r="A1797" s="12">
        <f>IFERROR(__xludf.DUMMYFUNCTION("""COMPUTED_VALUE"""),44868.66666666667)</f>
        <v>44868.66667</v>
      </c>
      <c r="B1797" s="13">
        <f>IFERROR(__xludf.DUMMYFUNCTION("""COMPUTED_VALUE"""),3719.89)</f>
        <v>3719.89</v>
      </c>
      <c r="C1797" s="13">
        <f t="shared" si="1"/>
        <v>3692.835</v>
      </c>
      <c r="D1797" s="13">
        <f t="shared" si="2"/>
        <v>3754.91</v>
      </c>
      <c r="E1797" s="13" t="str">
        <f t="shared" si="3"/>
        <v/>
      </c>
      <c r="F1797" s="3">
        <f t="shared" si="4"/>
        <v>-0.01058597916</v>
      </c>
      <c r="G1797" s="4">
        <f t="shared" si="5"/>
        <v>1.788959103</v>
      </c>
      <c r="H1797" s="5">
        <f t="shared" si="6"/>
        <v>0</v>
      </c>
      <c r="I1797" s="5">
        <f t="shared" si="7"/>
        <v>1.40717102</v>
      </c>
    </row>
    <row r="1798">
      <c r="A1798" s="12">
        <f>IFERROR(__xludf.DUMMYFUNCTION("""COMPUTED_VALUE"""),44869.66666666667)</f>
        <v>44869.66667</v>
      </c>
      <c r="B1798" s="13">
        <f>IFERROR(__xludf.DUMMYFUNCTION("""COMPUTED_VALUE"""),3770.55)</f>
        <v>3770.55</v>
      </c>
      <c r="C1798" s="13">
        <f t="shared" si="1"/>
        <v>3761.65</v>
      </c>
      <c r="D1798" s="13">
        <f t="shared" si="2"/>
        <v>3764.27</v>
      </c>
      <c r="E1798" s="13" t="str">
        <f t="shared" si="3"/>
        <v/>
      </c>
      <c r="F1798" s="3">
        <f t="shared" si="4"/>
        <v>0.01361868227</v>
      </c>
      <c r="G1798" s="4">
        <f t="shared" si="5"/>
        <v>1.813322368</v>
      </c>
      <c r="H1798" s="5">
        <f t="shared" si="6"/>
        <v>0</v>
      </c>
      <c r="I1798" s="5">
        <f t="shared" si="7"/>
        <v>1.40717102</v>
      </c>
    </row>
    <row r="1799">
      <c r="A1799" s="12">
        <f>IFERROR(__xludf.DUMMYFUNCTION("""COMPUTED_VALUE"""),44872.66666666667)</f>
        <v>44872.66667</v>
      </c>
      <c r="B1799" s="13">
        <f>IFERROR(__xludf.DUMMYFUNCTION("""COMPUTED_VALUE"""),3806.8)</f>
        <v>3806.8</v>
      </c>
      <c r="C1799" s="13">
        <f t="shared" si="1"/>
        <v>3802.07</v>
      </c>
      <c r="D1799" s="13">
        <f t="shared" si="2"/>
        <v>3750.015</v>
      </c>
      <c r="E1799" s="13" t="str">
        <f t="shared" si="3"/>
        <v>LONG</v>
      </c>
      <c r="F1799" s="3">
        <f t="shared" si="4"/>
        <v>0.009613982045</v>
      </c>
      <c r="G1799" s="4">
        <f t="shared" si="5"/>
        <v>1.830755617</v>
      </c>
      <c r="H1799" s="3">
        <f t="shared" si="6"/>
        <v>0.009613982045</v>
      </c>
      <c r="I1799" s="5">
        <f t="shared" si="7"/>
        <v>1.420699536</v>
      </c>
    </row>
    <row r="1800">
      <c r="A1800" s="12">
        <f>IFERROR(__xludf.DUMMYFUNCTION("""COMPUTED_VALUE"""),44873.66666666667)</f>
        <v>44873.66667</v>
      </c>
      <c r="B1800" s="13">
        <f>IFERROR(__xludf.DUMMYFUNCTION("""COMPUTED_VALUE"""),3828.11)</f>
        <v>3828.11</v>
      </c>
      <c r="C1800" s="13">
        <f t="shared" si="1"/>
        <v>3843.61</v>
      </c>
      <c r="D1800" s="13">
        <f t="shared" si="2"/>
        <v>3741.575</v>
      </c>
      <c r="E1800" s="13" t="str">
        <f t="shared" si="3"/>
        <v>LONG</v>
      </c>
      <c r="F1800" s="3">
        <f t="shared" si="4"/>
        <v>0.005597877482</v>
      </c>
      <c r="G1800" s="4">
        <f t="shared" si="5"/>
        <v>1.841003963</v>
      </c>
      <c r="H1800" s="3">
        <f t="shared" si="6"/>
        <v>0.005597877482</v>
      </c>
      <c r="I1800" s="5">
        <f t="shared" si="7"/>
        <v>1.428652438</v>
      </c>
    </row>
    <row r="1801">
      <c r="A1801" s="12">
        <f>IFERROR(__xludf.DUMMYFUNCTION("""COMPUTED_VALUE"""),44874.66666666667)</f>
        <v>44874.66667</v>
      </c>
      <c r="B1801" s="13">
        <f>IFERROR(__xludf.DUMMYFUNCTION("""COMPUTED_VALUE"""),3748.57)</f>
        <v>3748.57</v>
      </c>
      <c r="C1801" s="13">
        <f t="shared" si="1"/>
        <v>3789.585</v>
      </c>
      <c r="D1801" s="13">
        <f t="shared" si="2"/>
        <v>3697.93</v>
      </c>
      <c r="E1801" s="13" t="str">
        <f t="shared" si="3"/>
        <v>LONG</v>
      </c>
      <c r="F1801" s="3">
        <f t="shared" si="4"/>
        <v>-0.02077787733</v>
      </c>
      <c r="G1801" s="4">
        <f t="shared" si="5"/>
        <v>1.802751808</v>
      </c>
      <c r="H1801" s="3">
        <f t="shared" si="6"/>
        <v>-0.02077787733</v>
      </c>
      <c r="I1801" s="5">
        <f t="shared" si="7"/>
        <v>1.398968073</v>
      </c>
    </row>
    <row r="1802">
      <c r="A1802" s="12">
        <f>IFERROR(__xludf.DUMMYFUNCTION("""COMPUTED_VALUE"""),44875.66666666667)</f>
        <v>44875.66667</v>
      </c>
      <c r="B1802" s="13">
        <f>IFERROR(__xludf.DUMMYFUNCTION("""COMPUTED_VALUE"""),3956.37)</f>
        <v>3956.37</v>
      </c>
      <c r="C1802" s="13">
        <f t="shared" si="1"/>
        <v>3881.835</v>
      </c>
      <c r="D1802" s="13">
        <f t="shared" si="2"/>
        <v>3837.705</v>
      </c>
      <c r="E1802" s="13" t="str">
        <f t="shared" si="3"/>
        <v>LONG</v>
      </c>
      <c r="F1802" s="3">
        <f t="shared" si="4"/>
        <v>0.05543447235</v>
      </c>
      <c r="G1802" s="4">
        <f t="shared" si="5"/>
        <v>1.902686404</v>
      </c>
      <c r="H1802" s="3">
        <f t="shared" si="6"/>
        <v>0.05543447235</v>
      </c>
      <c r="I1802" s="5">
        <f t="shared" si="7"/>
        <v>1.47651913</v>
      </c>
    </row>
    <row r="1803">
      <c r="A1803" s="12">
        <f>IFERROR(__xludf.DUMMYFUNCTION("""COMPUTED_VALUE"""),44876.66666666667)</f>
        <v>44876.66667</v>
      </c>
      <c r="B1803" s="13">
        <f>IFERROR(__xludf.DUMMYFUNCTION("""COMPUTED_VALUE"""),3992.93)</f>
        <v>3992.93</v>
      </c>
      <c r="C1803" s="13">
        <f t="shared" si="1"/>
        <v>3946.995</v>
      </c>
      <c r="D1803" s="13">
        <f t="shared" si="2"/>
        <v>3816.7</v>
      </c>
      <c r="E1803" s="13" t="str">
        <f t="shared" si="3"/>
        <v>LONG</v>
      </c>
      <c r="F1803" s="3">
        <f t="shared" si="4"/>
        <v>0.00924079396</v>
      </c>
      <c r="G1803" s="4">
        <f t="shared" si="5"/>
        <v>1.920268737</v>
      </c>
      <c r="H1803" s="3">
        <f t="shared" si="6"/>
        <v>0.00924079396</v>
      </c>
      <c r="I1803" s="5">
        <f t="shared" si="7"/>
        <v>1.490163339</v>
      </c>
    </row>
    <row r="1804">
      <c r="A1804" s="12">
        <f>IFERROR(__xludf.DUMMYFUNCTION("""COMPUTED_VALUE"""),44879.66666666667)</f>
        <v>44879.66667</v>
      </c>
      <c r="B1804" s="13">
        <f>IFERROR(__xludf.DUMMYFUNCTION("""COMPUTED_VALUE"""),3957.25)</f>
        <v>3957.25</v>
      </c>
      <c r="C1804" s="13">
        <f t="shared" si="1"/>
        <v>3914.615</v>
      </c>
      <c r="D1804" s="13">
        <f t="shared" si="2"/>
        <v>3771.435</v>
      </c>
      <c r="E1804" s="13" t="str">
        <f t="shared" si="3"/>
        <v>LONG</v>
      </c>
      <c r="F1804" s="3">
        <f t="shared" si="4"/>
        <v>-0.008935794016</v>
      </c>
      <c r="G1804" s="4">
        <f t="shared" si="5"/>
        <v>1.903109611</v>
      </c>
      <c r="H1804" s="3">
        <f t="shared" si="6"/>
        <v>-0.008935794016</v>
      </c>
      <c r="I1804" s="5">
        <f t="shared" si="7"/>
        <v>1.476847547</v>
      </c>
    </row>
    <row r="1805">
      <c r="A1805" s="12">
        <f>IFERROR(__xludf.DUMMYFUNCTION("""COMPUTED_VALUE"""),44880.66666666667)</f>
        <v>44880.66667</v>
      </c>
      <c r="B1805" s="13">
        <f>IFERROR(__xludf.DUMMYFUNCTION("""COMPUTED_VALUE"""),3991.73)</f>
        <v>3991.73</v>
      </c>
      <c r="C1805" s="13">
        <f t="shared" si="1"/>
        <v>3923.915</v>
      </c>
      <c r="D1805" s="13">
        <f t="shared" si="2"/>
        <v>3835.08</v>
      </c>
      <c r="E1805" s="13" t="str">
        <f t="shared" si="3"/>
        <v>LONG</v>
      </c>
      <c r="F1805" s="3">
        <f t="shared" si="4"/>
        <v>0.008713121486</v>
      </c>
      <c r="G1805" s="4">
        <f t="shared" si="5"/>
        <v>1.919691636</v>
      </c>
      <c r="H1805" s="3">
        <f t="shared" si="6"/>
        <v>0.008713121486</v>
      </c>
      <c r="I1805" s="5">
        <f t="shared" si="7"/>
        <v>1.489715499</v>
      </c>
    </row>
    <row r="1806">
      <c r="A1806" s="12">
        <f>IFERROR(__xludf.DUMMYFUNCTION("""COMPUTED_VALUE"""),44881.66666666667)</f>
        <v>44881.66667</v>
      </c>
      <c r="B1806" s="13">
        <f>IFERROR(__xludf.DUMMYFUNCTION("""COMPUTED_VALUE"""),3958.79)</f>
        <v>3958.79</v>
      </c>
      <c r="C1806" s="13">
        <f t="shared" si="1"/>
        <v>3859.24</v>
      </c>
      <c r="D1806" s="13">
        <f t="shared" si="2"/>
        <v>3874.86</v>
      </c>
      <c r="E1806" s="13" t="str">
        <f t="shared" si="3"/>
        <v/>
      </c>
      <c r="F1806" s="3">
        <f t="shared" si="4"/>
        <v>-0.008252061136</v>
      </c>
      <c r="G1806" s="4">
        <f t="shared" si="5"/>
        <v>1.903850223</v>
      </c>
      <c r="H1806" s="5">
        <f t="shared" si="6"/>
        <v>0</v>
      </c>
      <c r="I1806" s="5">
        <f t="shared" si="7"/>
        <v>1.489715499</v>
      </c>
    </row>
    <row r="1807">
      <c r="A1807" s="12">
        <f>IFERROR(__xludf.DUMMYFUNCTION("""COMPUTED_VALUE"""),44882.66666666667)</f>
        <v>44882.66667</v>
      </c>
      <c r="B1807" s="13">
        <f>IFERROR(__xludf.DUMMYFUNCTION("""COMPUTED_VALUE"""),3946.56)</f>
        <v>3946.56</v>
      </c>
      <c r="C1807" s="13">
        <f t="shared" si="1"/>
        <v>3833.225</v>
      </c>
      <c r="D1807" s="13">
        <f t="shared" si="2"/>
        <v>3864.92</v>
      </c>
      <c r="E1807" s="13" t="str">
        <f t="shared" si="3"/>
        <v/>
      </c>
      <c r="F1807" s="3">
        <f t="shared" si="4"/>
        <v>-0.0030893278</v>
      </c>
      <c r="G1807" s="4">
        <f t="shared" si="5"/>
        <v>1.897968606</v>
      </c>
      <c r="H1807" s="5">
        <f t="shared" si="6"/>
        <v>0</v>
      </c>
      <c r="I1807" s="5">
        <f t="shared" si="7"/>
        <v>1.489715499</v>
      </c>
    </row>
    <row r="1808">
      <c r="A1808" s="12">
        <f>IFERROR(__xludf.DUMMYFUNCTION("""COMPUTED_VALUE"""),44883.66666666667)</f>
        <v>44883.66667</v>
      </c>
      <c r="B1808" s="13">
        <f>IFERROR(__xludf.DUMMYFUNCTION("""COMPUTED_VALUE"""),3965.34)</f>
        <v>3965.34</v>
      </c>
      <c r="C1808" s="13">
        <f t="shared" si="1"/>
        <v>3867.945</v>
      </c>
      <c r="D1808" s="13">
        <f t="shared" si="2"/>
        <v>3854.93</v>
      </c>
      <c r="E1808" s="13" t="str">
        <f t="shared" si="3"/>
        <v>LONG</v>
      </c>
      <c r="F1808" s="3">
        <f t="shared" si="4"/>
        <v>0.004758574556</v>
      </c>
      <c r="G1808" s="4">
        <f t="shared" si="5"/>
        <v>1.907000231</v>
      </c>
      <c r="H1808" s="3">
        <f t="shared" si="6"/>
        <v>0.004758574556</v>
      </c>
      <c r="I1808" s="5">
        <f t="shared" si="7"/>
        <v>1.496804421</v>
      </c>
    </row>
    <row r="1809">
      <c r="A1809" s="12">
        <f>IFERROR(__xludf.DUMMYFUNCTION("""COMPUTED_VALUE"""),44886.66666666667)</f>
        <v>44886.66667</v>
      </c>
      <c r="B1809" s="13">
        <f>IFERROR(__xludf.DUMMYFUNCTION("""COMPUTED_VALUE"""),3949.94)</f>
        <v>3949.94</v>
      </c>
      <c r="C1809" s="13">
        <f t="shared" si="1"/>
        <v>3878.37</v>
      </c>
      <c r="D1809" s="13">
        <f t="shared" si="2"/>
        <v>3794.8</v>
      </c>
      <c r="E1809" s="13" t="str">
        <f t="shared" si="3"/>
        <v>LONG</v>
      </c>
      <c r="F1809" s="3">
        <f t="shared" si="4"/>
        <v>-0.003883651843</v>
      </c>
      <c r="G1809" s="4">
        <f t="shared" si="5"/>
        <v>1.899594106</v>
      </c>
      <c r="H1809" s="3">
        <f t="shared" si="6"/>
        <v>-0.003883651843</v>
      </c>
      <c r="I1809" s="5">
        <f t="shared" si="7"/>
        <v>1.490991354</v>
      </c>
    </row>
    <row r="1810">
      <c r="A1810" s="12">
        <f>IFERROR(__xludf.DUMMYFUNCTION("""COMPUTED_VALUE"""),44887.66666666667)</f>
        <v>44887.66667</v>
      </c>
      <c r="B1810" s="13">
        <f>IFERROR(__xludf.DUMMYFUNCTION("""COMPUTED_VALUE"""),4003.58)</f>
        <v>4003.58</v>
      </c>
      <c r="C1810" s="13">
        <f t="shared" si="1"/>
        <v>3915.845</v>
      </c>
      <c r="D1810" s="13">
        <f t="shared" si="2"/>
        <v>3807.985</v>
      </c>
      <c r="E1810" s="13" t="str">
        <f t="shared" si="3"/>
        <v>LONG</v>
      </c>
      <c r="F1810" s="3">
        <f t="shared" si="4"/>
        <v>0.01357995311</v>
      </c>
      <c r="G1810" s="4">
        <f t="shared" si="5"/>
        <v>1.925390505</v>
      </c>
      <c r="H1810" s="3">
        <f t="shared" si="6"/>
        <v>0.01357995311</v>
      </c>
      <c r="I1810" s="5">
        <f t="shared" si="7"/>
        <v>1.511238946</v>
      </c>
    </row>
    <row r="1811">
      <c r="A1811" s="12">
        <f>IFERROR(__xludf.DUMMYFUNCTION("""COMPUTED_VALUE"""),44890.54166666667)</f>
        <v>44890.54167</v>
      </c>
      <c r="B1811" s="13">
        <f>IFERROR(__xludf.DUMMYFUNCTION("""COMPUTED_VALUE"""),4026.12)</f>
        <v>4026.12</v>
      </c>
      <c r="C1811" s="13">
        <f t="shared" si="1"/>
        <v>3887.345</v>
      </c>
      <c r="D1811" s="13">
        <f t="shared" si="2"/>
        <v>3807.48</v>
      </c>
      <c r="E1811" s="13" t="str">
        <f t="shared" si="3"/>
        <v>LONG</v>
      </c>
      <c r="F1811" s="3">
        <f t="shared" si="4"/>
        <v>0.005629961185</v>
      </c>
      <c r="G1811" s="4">
        <f t="shared" si="5"/>
        <v>1.936230379</v>
      </c>
      <c r="H1811" s="3">
        <f t="shared" si="6"/>
        <v>0.005629961185</v>
      </c>
      <c r="I1811" s="5">
        <f t="shared" si="7"/>
        <v>1.519747163</v>
      </c>
    </row>
    <row r="1812">
      <c r="A1812" s="12">
        <f>IFERROR(__xludf.DUMMYFUNCTION("""COMPUTED_VALUE"""),44893.66666666667)</f>
        <v>44893.66667</v>
      </c>
      <c r="B1812" s="13">
        <f>IFERROR(__xludf.DUMMYFUNCTION("""COMPUTED_VALUE"""),3963.94)</f>
        <v>3963.94</v>
      </c>
      <c r="C1812" s="13">
        <f t="shared" si="1"/>
        <v>3960.155</v>
      </c>
      <c r="D1812" s="13">
        <f t="shared" si="2"/>
        <v>3770.485</v>
      </c>
      <c r="E1812" s="13" t="str">
        <f t="shared" si="3"/>
        <v>LONG</v>
      </c>
      <c r="F1812" s="3">
        <f t="shared" si="4"/>
        <v>-0.0154441497</v>
      </c>
      <c r="G1812" s="4">
        <f t="shared" si="5"/>
        <v>1.906326947</v>
      </c>
      <c r="H1812" s="3">
        <f t="shared" si="6"/>
        <v>-0.0154441497</v>
      </c>
      <c r="I1812" s="5">
        <f t="shared" si="7"/>
        <v>1.49627596</v>
      </c>
    </row>
    <row r="1813">
      <c r="A1813" s="12">
        <f>IFERROR(__xludf.DUMMYFUNCTION("""COMPUTED_VALUE"""),44894.66666666667)</f>
        <v>44894.66667</v>
      </c>
      <c r="B1813" s="13">
        <f>IFERROR(__xludf.DUMMYFUNCTION("""COMPUTED_VALUE"""),3957.63)</f>
        <v>3957.63</v>
      </c>
      <c r="C1813" s="13">
        <f t="shared" si="1"/>
        <v>3975.28</v>
      </c>
      <c r="D1813" s="13">
        <f t="shared" si="2"/>
        <v>3813.77</v>
      </c>
      <c r="E1813" s="13" t="str">
        <f t="shared" si="3"/>
        <v>LONG</v>
      </c>
      <c r="F1813" s="3">
        <f t="shared" si="4"/>
        <v>-0.001591850533</v>
      </c>
      <c r="G1813" s="4">
        <f t="shared" si="5"/>
        <v>1.903292359</v>
      </c>
      <c r="H1813" s="3">
        <f t="shared" si="6"/>
        <v>-0.001591850533</v>
      </c>
      <c r="I1813" s="5">
        <f t="shared" si="7"/>
        <v>1.493894113</v>
      </c>
    </row>
    <row r="1814">
      <c r="A1814" s="12">
        <f>IFERROR(__xludf.DUMMYFUNCTION("""COMPUTED_VALUE"""),44895.66666666667)</f>
        <v>44895.66667</v>
      </c>
      <c r="B1814" s="13">
        <f>IFERROR(__xludf.DUMMYFUNCTION("""COMPUTED_VALUE"""),4080.11)</f>
        <v>4080.11</v>
      </c>
      <c r="C1814" s="13">
        <f t="shared" si="1"/>
        <v>4018.68</v>
      </c>
      <c r="D1814" s="13">
        <f t="shared" si="2"/>
        <v>3831.59</v>
      </c>
      <c r="E1814" s="13" t="str">
        <f t="shared" si="3"/>
        <v>LONG</v>
      </c>
      <c r="F1814" s="3">
        <f t="shared" si="4"/>
        <v>0.03094781473</v>
      </c>
      <c r="G1814" s="4">
        <f t="shared" si="5"/>
        <v>1.962195098</v>
      </c>
      <c r="H1814" s="3">
        <f t="shared" si="6"/>
        <v>0.03094781473</v>
      </c>
      <c r="I1814" s="5">
        <f t="shared" si="7"/>
        <v>1.540126871</v>
      </c>
    </row>
    <row r="1815">
      <c r="A1815" s="12">
        <f>IFERROR(__xludf.DUMMYFUNCTION("""COMPUTED_VALUE"""),44896.66666666667)</f>
        <v>44896.66667</v>
      </c>
      <c r="B1815" s="13">
        <f>IFERROR(__xludf.DUMMYFUNCTION("""COMPUTED_VALUE"""),4076.57)</f>
        <v>4076.57</v>
      </c>
      <c r="C1815" s="13">
        <f t="shared" si="1"/>
        <v>4034.15</v>
      </c>
      <c r="D1815" s="13">
        <f t="shared" si="2"/>
        <v>3877.26</v>
      </c>
      <c r="E1815" s="13" t="str">
        <f t="shared" si="3"/>
        <v>LONG</v>
      </c>
      <c r="F1815" s="3">
        <f t="shared" si="4"/>
        <v>-0.000867623667</v>
      </c>
      <c r="G1815" s="4">
        <f t="shared" si="5"/>
        <v>1.960492652</v>
      </c>
      <c r="H1815" s="3">
        <f t="shared" si="6"/>
        <v>-0.000867623667</v>
      </c>
      <c r="I1815" s="5">
        <f t="shared" si="7"/>
        <v>1.53879062</v>
      </c>
    </row>
    <row r="1816">
      <c r="A1816" s="12">
        <f>IFERROR(__xludf.DUMMYFUNCTION("""COMPUTED_VALUE"""),44897.66666666667)</f>
        <v>44897.66667</v>
      </c>
      <c r="B1816" s="13">
        <f>IFERROR(__xludf.DUMMYFUNCTION("""COMPUTED_VALUE"""),4071.7)</f>
        <v>4071.7</v>
      </c>
      <c r="C1816" s="13">
        <f t="shared" si="1"/>
        <v>4015.245</v>
      </c>
      <c r="D1816" s="13">
        <f t="shared" si="2"/>
        <v>3895.84</v>
      </c>
      <c r="E1816" s="13" t="str">
        <f t="shared" si="3"/>
        <v>LONG</v>
      </c>
      <c r="F1816" s="3">
        <f t="shared" si="4"/>
        <v>-0.001194631762</v>
      </c>
      <c r="G1816" s="4">
        <f t="shared" si="5"/>
        <v>1.958150585</v>
      </c>
      <c r="H1816" s="3">
        <f t="shared" si="6"/>
        <v>-0.001194631762</v>
      </c>
      <c r="I1816" s="5">
        <f t="shared" si="7"/>
        <v>1.536952332</v>
      </c>
    </row>
    <row r="1817">
      <c r="A1817" s="12">
        <f>IFERROR(__xludf.DUMMYFUNCTION("""COMPUTED_VALUE"""),44900.66666666667)</f>
        <v>44900.66667</v>
      </c>
      <c r="B1817" s="13">
        <f>IFERROR(__xludf.DUMMYFUNCTION("""COMPUTED_VALUE"""),3998.84)</f>
        <v>3998.84</v>
      </c>
      <c r="C1817" s="13">
        <f t="shared" si="1"/>
        <v>3972.7</v>
      </c>
      <c r="D1817" s="13">
        <f t="shared" si="2"/>
        <v>3847</v>
      </c>
      <c r="E1817" s="13" t="str">
        <f t="shared" si="3"/>
        <v>LONG</v>
      </c>
      <c r="F1817" s="3">
        <f t="shared" si="4"/>
        <v>-0.01789424565</v>
      </c>
      <c r="G1817" s="4">
        <f t="shared" si="5"/>
        <v>1.923110957</v>
      </c>
      <c r="H1817" s="3">
        <f t="shared" si="6"/>
        <v>-0.01789424565</v>
      </c>
      <c r="I1817" s="5">
        <f t="shared" si="7"/>
        <v>1.50944973</v>
      </c>
    </row>
    <row r="1818">
      <c r="A1818" s="12">
        <f>IFERROR(__xludf.DUMMYFUNCTION("""COMPUTED_VALUE"""),44901.66666666667)</f>
        <v>44901.66667</v>
      </c>
      <c r="B1818" s="13">
        <f>IFERROR(__xludf.DUMMYFUNCTION("""COMPUTED_VALUE"""),3941.26)</f>
        <v>3941.26</v>
      </c>
      <c r="C1818" s="13">
        <f t="shared" si="1"/>
        <v>3953.3</v>
      </c>
      <c r="D1818" s="13">
        <f t="shared" si="2"/>
        <v>3803.52</v>
      </c>
      <c r="E1818" s="13" t="str">
        <f t="shared" si="3"/>
        <v>LONG</v>
      </c>
      <c r="F1818" s="3">
        <f t="shared" si="4"/>
        <v>-0.01439917576</v>
      </c>
      <c r="G1818" s="4">
        <f t="shared" si="5"/>
        <v>1.895419745</v>
      </c>
      <c r="H1818" s="3">
        <f t="shared" si="6"/>
        <v>-0.01439917576</v>
      </c>
      <c r="I1818" s="5">
        <f t="shared" si="7"/>
        <v>1.487714898</v>
      </c>
    </row>
    <row r="1819">
      <c r="A1819" s="12">
        <f>IFERROR(__xludf.DUMMYFUNCTION("""COMPUTED_VALUE"""),44902.66666666667)</f>
        <v>44902.66667</v>
      </c>
      <c r="B1819" s="13">
        <f>IFERROR(__xludf.DUMMYFUNCTION("""COMPUTED_VALUE"""),3933.92)</f>
        <v>3933.92</v>
      </c>
      <c r="C1819" s="13">
        <f t="shared" si="1"/>
        <v>3941.93</v>
      </c>
      <c r="D1819" s="13">
        <f t="shared" si="2"/>
        <v>3843.335</v>
      </c>
      <c r="E1819" s="13" t="str">
        <f t="shared" si="3"/>
        <v>LONG</v>
      </c>
      <c r="F1819" s="3">
        <f t="shared" si="4"/>
        <v>-0.001862348589</v>
      </c>
      <c r="G1819" s="4">
        <f t="shared" si="5"/>
        <v>1.891889812</v>
      </c>
      <c r="H1819" s="3">
        <f t="shared" si="6"/>
        <v>-0.001862348589</v>
      </c>
      <c r="I1819" s="5">
        <f t="shared" si="7"/>
        <v>1.484944254</v>
      </c>
    </row>
    <row r="1820">
      <c r="A1820" s="12">
        <f>IFERROR(__xludf.DUMMYFUNCTION("""COMPUTED_VALUE"""),44903.66666666667)</f>
        <v>44903.66667</v>
      </c>
      <c r="B1820" s="13">
        <f>IFERROR(__xludf.DUMMYFUNCTION("""COMPUTED_VALUE"""),3963.51)</f>
        <v>3963.51</v>
      </c>
      <c r="C1820" s="13">
        <f t="shared" si="1"/>
        <v>3983.545</v>
      </c>
      <c r="D1820" s="13">
        <f t="shared" si="2"/>
        <v>3880.425</v>
      </c>
      <c r="E1820" s="13" t="str">
        <f t="shared" si="3"/>
        <v>LONG</v>
      </c>
      <c r="F1820" s="3">
        <f t="shared" si="4"/>
        <v>0.007521759466</v>
      </c>
      <c r="G1820" s="4">
        <f t="shared" si="5"/>
        <v>1.906120152</v>
      </c>
      <c r="H1820" s="3">
        <f t="shared" si="6"/>
        <v>0.007521759466</v>
      </c>
      <c r="I1820" s="5">
        <f t="shared" si="7"/>
        <v>1.496113647</v>
      </c>
    </row>
    <row r="1821">
      <c r="A1821" s="12">
        <f>IFERROR(__xludf.DUMMYFUNCTION("""COMPUTED_VALUE"""),44904.66666666667)</f>
        <v>44904.66667</v>
      </c>
      <c r="B1821" s="13">
        <f>IFERROR(__xludf.DUMMYFUNCTION("""COMPUTED_VALUE"""),3934.38)</f>
        <v>3934.38</v>
      </c>
      <c r="C1821" s="13">
        <f t="shared" si="1"/>
        <v>3980.25</v>
      </c>
      <c r="D1821" s="13">
        <f t="shared" si="2"/>
        <v>3896.745</v>
      </c>
      <c r="E1821" s="13" t="str">
        <f t="shared" si="3"/>
        <v>LONG</v>
      </c>
      <c r="F1821" s="3">
        <f t="shared" si="4"/>
        <v>-0.007349546236</v>
      </c>
      <c r="G1821" s="4">
        <f t="shared" si="5"/>
        <v>1.892111034</v>
      </c>
      <c r="H1821" s="3">
        <f t="shared" si="6"/>
        <v>-0.007349546236</v>
      </c>
      <c r="I1821" s="5">
        <f t="shared" si="7"/>
        <v>1.485117891</v>
      </c>
    </row>
    <row r="1822">
      <c r="A1822" s="12">
        <f>IFERROR(__xludf.DUMMYFUNCTION("""COMPUTED_VALUE"""),44907.66666666667)</f>
        <v>44907.66667</v>
      </c>
      <c r="B1822" s="13">
        <f>IFERROR(__xludf.DUMMYFUNCTION("""COMPUTED_VALUE"""),3990.56)</f>
        <v>3990.56</v>
      </c>
      <c r="C1822" s="13">
        <f t="shared" si="1"/>
        <v>3977.25</v>
      </c>
      <c r="D1822" s="13">
        <f t="shared" si="2"/>
        <v>3910.58</v>
      </c>
      <c r="E1822" s="13" t="str">
        <f t="shared" si="3"/>
        <v>LONG</v>
      </c>
      <c r="F1822" s="3">
        <f t="shared" si="4"/>
        <v>0.01427925111</v>
      </c>
      <c r="G1822" s="4">
        <f t="shared" si="5"/>
        <v>1.919128963</v>
      </c>
      <c r="H1822" s="3">
        <f t="shared" si="6"/>
        <v>0.01427925111</v>
      </c>
      <c r="I1822" s="5">
        <f t="shared" si="7"/>
        <v>1.506324262</v>
      </c>
    </row>
    <row r="1823">
      <c r="A1823" s="12">
        <f>IFERROR(__xludf.DUMMYFUNCTION("""COMPUTED_VALUE"""),44908.66666666667)</f>
        <v>44908.66667</v>
      </c>
      <c r="B1823" s="13">
        <f>IFERROR(__xludf.DUMMYFUNCTION("""COMPUTED_VALUE"""),4019.65)</f>
        <v>4019.65</v>
      </c>
      <c r="C1823" s="13">
        <f t="shared" si="1"/>
        <v>3988.64</v>
      </c>
      <c r="D1823" s="13">
        <f t="shared" si="2"/>
        <v>3913.475</v>
      </c>
      <c r="E1823" s="13" t="str">
        <f t="shared" si="3"/>
        <v>LONG</v>
      </c>
      <c r="F1823" s="3">
        <f t="shared" si="4"/>
        <v>0.007289703701</v>
      </c>
      <c r="G1823" s="4">
        <f t="shared" si="5"/>
        <v>1.933118844</v>
      </c>
      <c r="H1823" s="3">
        <f t="shared" si="6"/>
        <v>0.007289703701</v>
      </c>
      <c r="I1823" s="5">
        <f t="shared" si="7"/>
        <v>1.51730492</v>
      </c>
    </row>
    <row r="1824">
      <c r="A1824" s="12">
        <f>IFERROR(__xludf.DUMMYFUNCTION("""COMPUTED_VALUE"""),44909.66666666667)</f>
        <v>44909.66667</v>
      </c>
      <c r="B1824" s="13">
        <f>IFERROR(__xludf.DUMMYFUNCTION("""COMPUTED_VALUE"""),3995.32)</f>
        <v>3995.32</v>
      </c>
      <c r="C1824" s="13">
        <f t="shared" si="1"/>
        <v>4037.715</v>
      </c>
      <c r="D1824" s="13">
        <f t="shared" si="2"/>
        <v>3948.19</v>
      </c>
      <c r="E1824" s="13" t="str">
        <f t="shared" si="3"/>
        <v>LONG</v>
      </c>
      <c r="F1824" s="3">
        <f t="shared" si="4"/>
        <v>-0.006052765788</v>
      </c>
      <c r="G1824" s="4">
        <f t="shared" si="5"/>
        <v>1.921418129</v>
      </c>
      <c r="H1824" s="3">
        <f t="shared" si="6"/>
        <v>-0.006052765788</v>
      </c>
      <c r="I1824" s="5">
        <f t="shared" si="7"/>
        <v>1.508121029</v>
      </c>
    </row>
    <row r="1825">
      <c r="A1825" s="12">
        <f>IFERROR(__xludf.DUMMYFUNCTION("""COMPUTED_VALUE"""),44910.66666666667)</f>
        <v>44910.66667</v>
      </c>
      <c r="B1825" s="13">
        <f>IFERROR(__xludf.DUMMYFUNCTION("""COMPUTED_VALUE"""),3895.75)</f>
        <v>3895.75</v>
      </c>
      <c r="C1825" s="13">
        <f t="shared" si="1"/>
        <v>3986.16</v>
      </c>
      <c r="D1825" s="13">
        <f t="shared" si="2"/>
        <v>3883.865</v>
      </c>
      <c r="E1825" s="13" t="str">
        <f t="shared" si="3"/>
        <v>LONG</v>
      </c>
      <c r="F1825" s="3">
        <f t="shared" si="4"/>
        <v>-0.02492165834</v>
      </c>
      <c r="G1825" s="4">
        <f t="shared" si="5"/>
        <v>1.873533203</v>
      </c>
      <c r="H1825" s="3">
        <f t="shared" si="6"/>
        <v>-0.02492165834</v>
      </c>
      <c r="I1825" s="5">
        <f t="shared" si="7"/>
        <v>1.470536152</v>
      </c>
    </row>
    <row r="1826">
      <c r="A1826" s="12">
        <f>IFERROR(__xludf.DUMMYFUNCTION("""COMPUTED_VALUE"""),44911.66666666667)</f>
        <v>44911.66667</v>
      </c>
      <c r="B1826" s="13">
        <f>IFERROR(__xludf.DUMMYFUNCTION("""COMPUTED_VALUE"""),3852.36)</f>
        <v>3852.36</v>
      </c>
      <c r="C1826" s="13">
        <f t="shared" si="1"/>
        <v>3962.03</v>
      </c>
      <c r="D1826" s="13">
        <f t="shared" si="2"/>
        <v>3854.23</v>
      </c>
      <c r="E1826" s="13" t="str">
        <f t="shared" si="3"/>
        <v>LONG</v>
      </c>
      <c r="F1826" s="3">
        <f t="shared" si="4"/>
        <v>-0.01113777835</v>
      </c>
      <c r="G1826" s="4">
        <f t="shared" si="5"/>
        <v>1.852666205</v>
      </c>
      <c r="H1826" s="3">
        <f t="shared" si="6"/>
        <v>-0.01113777835</v>
      </c>
      <c r="I1826" s="5">
        <f t="shared" si="7"/>
        <v>1.454157646</v>
      </c>
    </row>
    <row r="1827">
      <c r="A1827" s="12">
        <f>IFERROR(__xludf.DUMMYFUNCTION("""COMPUTED_VALUE"""),44914.66666666667)</f>
        <v>44914.66667</v>
      </c>
      <c r="B1827" s="13">
        <f>IFERROR(__xludf.DUMMYFUNCTION("""COMPUTED_VALUE"""),3817.66)</f>
        <v>3817.66</v>
      </c>
      <c r="C1827" s="13">
        <f t="shared" si="1"/>
        <v>3908.25</v>
      </c>
      <c r="D1827" s="13">
        <f t="shared" si="2"/>
        <v>3788.675</v>
      </c>
      <c r="E1827" s="13" t="str">
        <f t="shared" si="3"/>
        <v>LONG</v>
      </c>
      <c r="F1827" s="3">
        <f t="shared" si="4"/>
        <v>-0.009007465554</v>
      </c>
      <c r="G1827" s="4">
        <f t="shared" si="5"/>
        <v>1.835978378</v>
      </c>
      <c r="H1827" s="3">
        <f t="shared" si="6"/>
        <v>-0.009007465554</v>
      </c>
      <c r="I1827" s="5">
        <f t="shared" si="7"/>
        <v>1.441059371</v>
      </c>
    </row>
    <row r="1828">
      <c r="A1828" s="12">
        <f>IFERROR(__xludf.DUMMYFUNCTION("""COMPUTED_VALUE"""),44915.66666666667)</f>
        <v>44915.66667</v>
      </c>
      <c r="B1828" s="13">
        <f>IFERROR(__xludf.DUMMYFUNCTION("""COMPUTED_VALUE"""),3821.62)</f>
        <v>3821.62</v>
      </c>
      <c r="C1828" s="13">
        <f t="shared" si="1"/>
        <v>3881.44</v>
      </c>
      <c r="D1828" s="13">
        <f t="shared" si="2"/>
        <v>3770.755</v>
      </c>
      <c r="E1828" s="13" t="str">
        <f t="shared" si="3"/>
        <v>LONG</v>
      </c>
      <c r="F1828" s="3">
        <f t="shared" si="4"/>
        <v>0.001037284619</v>
      </c>
      <c r="G1828" s="4">
        <f t="shared" si="5"/>
        <v>1.83788281</v>
      </c>
      <c r="H1828" s="3">
        <f t="shared" si="6"/>
        <v>0.001037284619</v>
      </c>
      <c r="I1828" s="5">
        <f t="shared" si="7"/>
        <v>1.44255416</v>
      </c>
    </row>
    <row r="1829">
      <c r="A1829" s="12">
        <f>IFERROR(__xludf.DUMMYFUNCTION("""COMPUTED_VALUE"""),44916.66666666667)</f>
        <v>44916.66667</v>
      </c>
      <c r="B1829" s="13">
        <f>IFERROR(__xludf.DUMMYFUNCTION("""COMPUTED_VALUE"""),3878.44)</f>
        <v>3878.44</v>
      </c>
      <c r="C1829" s="13">
        <f t="shared" si="1"/>
        <v>3906.18</v>
      </c>
      <c r="D1829" s="13">
        <f t="shared" si="2"/>
        <v>3824.495</v>
      </c>
      <c r="E1829" s="13" t="str">
        <f t="shared" si="3"/>
        <v>LONG</v>
      </c>
      <c r="F1829" s="3">
        <f t="shared" si="4"/>
        <v>0.01486804026</v>
      </c>
      <c r="G1829" s="4">
        <f t="shared" si="5"/>
        <v>1.865208526</v>
      </c>
      <c r="H1829" s="3">
        <f t="shared" si="6"/>
        <v>0.01486804026</v>
      </c>
      <c r="I1829" s="5">
        <f t="shared" si="7"/>
        <v>1.464002113</v>
      </c>
    </row>
    <row r="1830">
      <c r="A1830" s="12">
        <f>IFERROR(__xludf.DUMMYFUNCTION("""COMPUTED_VALUE"""),44917.66666666667)</f>
        <v>44917.66667</v>
      </c>
      <c r="B1830" s="13">
        <f>IFERROR(__xludf.DUMMYFUNCTION("""COMPUTED_VALUE"""),3822.39)</f>
        <v>3822.39</v>
      </c>
      <c r="C1830" s="13">
        <f t="shared" si="1"/>
        <v>3892.95</v>
      </c>
      <c r="D1830" s="13">
        <f t="shared" si="2"/>
        <v>3814.595</v>
      </c>
      <c r="E1830" s="13" t="str">
        <f t="shared" si="3"/>
        <v>LONG</v>
      </c>
      <c r="F1830" s="3">
        <f t="shared" si="4"/>
        <v>-0.01445168676</v>
      </c>
      <c r="G1830" s="4">
        <f t="shared" si="5"/>
        <v>1.838253116</v>
      </c>
      <c r="H1830" s="3">
        <f t="shared" si="6"/>
        <v>-0.01445168676</v>
      </c>
      <c r="I1830" s="5">
        <f t="shared" si="7"/>
        <v>1.442844813</v>
      </c>
    </row>
    <row r="1831">
      <c r="A1831" s="12">
        <f>IFERROR(__xludf.DUMMYFUNCTION("""COMPUTED_VALUE"""),44918.66666666667)</f>
        <v>44918.66667</v>
      </c>
      <c r="B1831" s="13">
        <f>IFERROR(__xludf.DUMMYFUNCTION("""COMPUTED_VALUE"""),3844.82)</f>
        <v>3844.82</v>
      </c>
      <c r="C1831" s="13">
        <f t="shared" si="1"/>
        <v>3889.6</v>
      </c>
      <c r="D1831" s="13">
        <f t="shared" si="2"/>
        <v>3836.465</v>
      </c>
      <c r="E1831" s="13" t="str">
        <f t="shared" si="3"/>
        <v>LONG</v>
      </c>
      <c r="F1831" s="3">
        <f t="shared" si="4"/>
        <v>0.005868056373</v>
      </c>
      <c r="G1831" s="4">
        <f t="shared" si="5"/>
        <v>1.849040089</v>
      </c>
      <c r="H1831" s="3">
        <f t="shared" si="6"/>
        <v>0.005868056373</v>
      </c>
      <c r="I1831" s="5">
        <f t="shared" si="7"/>
        <v>1.451311508</v>
      </c>
    </row>
    <row r="1832">
      <c r="A1832" s="12">
        <f>IFERROR(__xludf.DUMMYFUNCTION("""COMPUTED_VALUE"""),44922.66666666667)</f>
        <v>44922.66667</v>
      </c>
      <c r="B1832" s="13">
        <f>IFERROR(__xludf.DUMMYFUNCTION("""COMPUTED_VALUE"""),3829.25)</f>
        <v>3829.25</v>
      </c>
      <c r="C1832" s="13">
        <f t="shared" si="1"/>
        <v>3909.905</v>
      </c>
      <c r="D1832" s="13">
        <f t="shared" si="2"/>
        <v>3788.91</v>
      </c>
      <c r="E1832" s="13" t="str">
        <f t="shared" si="3"/>
        <v>LONG</v>
      </c>
      <c r="F1832" s="3">
        <f t="shared" si="4"/>
        <v>-0.004049604403</v>
      </c>
      <c r="G1832" s="4">
        <f t="shared" si="5"/>
        <v>1.841552208</v>
      </c>
      <c r="H1832" s="3">
        <f t="shared" si="6"/>
        <v>-0.004049604403</v>
      </c>
      <c r="I1832" s="5">
        <f t="shared" si="7"/>
        <v>1.44543427</v>
      </c>
    </row>
    <row r="1833">
      <c r="A1833" s="12">
        <f>IFERROR(__xludf.DUMMYFUNCTION("""COMPUTED_VALUE"""),44923.66666666667)</f>
        <v>44923.66667</v>
      </c>
      <c r="B1833" s="13">
        <f>IFERROR(__xludf.DUMMYFUNCTION("""COMPUTED_VALUE"""),3783.22)</f>
        <v>3783.22</v>
      </c>
      <c r="C1833" s="13">
        <f t="shared" si="1"/>
        <v>3901.435</v>
      </c>
      <c r="D1833" s="13">
        <f t="shared" si="2"/>
        <v>3869.795</v>
      </c>
      <c r="E1833" s="13" t="str">
        <f t="shared" si="3"/>
        <v>LONG</v>
      </c>
      <c r="F1833" s="3">
        <f t="shared" si="4"/>
        <v>-0.01202063067</v>
      </c>
      <c r="G1833" s="4">
        <f t="shared" si="5"/>
        <v>1.819415589</v>
      </c>
      <c r="H1833" s="3">
        <f t="shared" si="6"/>
        <v>-0.01202063067</v>
      </c>
      <c r="I1833" s="5">
        <f t="shared" si="7"/>
        <v>1.428059239</v>
      </c>
    </row>
    <row r="1834">
      <c r="A1834" s="12">
        <f>IFERROR(__xludf.DUMMYFUNCTION("""COMPUTED_VALUE"""),44924.66666666667)</f>
        <v>44924.66667</v>
      </c>
      <c r="B1834" s="13">
        <f>IFERROR(__xludf.DUMMYFUNCTION("""COMPUTED_VALUE"""),3849.28)</f>
        <v>3849.28</v>
      </c>
      <c r="C1834" s="13">
        <f t="shared" si="1"/>
        <v>3922.3</v>
      </c>
      <c r="D1834" s="13">
        <f t="shared" si="2"/>
        <v>3921.105</v>
      </c>
      <c r="E1834" s="13" t="str">
        <f t="shared" si="3"/>
        <v>LONG</v>
      </c>
      <c r="F1834" s="3">
        <f t="shared" si="4"/>
        <v>0.01746131602</v>
      </c>
      <c r="G1834" s="4">
        <f t="shared" si="5"/>
        <v>1.85118498</v>
      </c>
      <c r="H1834" s="3">
        <f t="shared" si="6"/>
        <v>0.01746131602</v>
      </c>
      <c r="I1834" s="5">
        <f t="shared" si="7"/>
        <v>1.452995032</v>
      </c>
    </row>
    <row r="1835">
      <c r="A1835" s="12">
        <f>IFERROR(__xludf.DUMMYFUNCTION("""COMPUTED_VALUE"""),44925.66666666667)</f>
        <v>44925.66667</v>
      </c>
      <c r="B1835" s="13">
        <f>IFERROR(__xludf.DUMMYFUNCTION("""COMPUTED_VALUE"""),3839.5)</f>
        <v>3839.5</v>
      </c>
      <c r="C1835" s="13">
        <f t="shared" si="1"/>
        <v>3867.625</v>
      </c>
      <c r="D1835" s="13">
        <f t="shared" si="2"/>
        <v>3898.375</v>
      </c>
      <c r="E1835" s="13" t="str">
        <f t="shared" si="3"/>
        <v/>
      </c>
      <c r="F1835" s="3">
        <f t="shared" si="4"/>
        <v>-0.002540734891</v>
      </c>
      <c r="G1835" s="4">
        <f t="shared" si="5"/>
        <v>1.84648161</v>
      </c>
      <c r="H1835" s="5">
        <f t="shared" si="6"/>
        <v>0</v>
      </c>
      <c r="I1835" s="5">
        <f t="shared" si="7"/>
        <v>1.452995032</v>
      </c>
    </row>
    <row r="1836">
      <c r="A1836" s="12">
        <f>IFERROR(__xludf.DUMMYFUNCTION("""COMPUTED_VALUE"""),44929.66666666667)</f>
        <v>44929.66667</v>
      </c>
      <c r="B1836" s="13">
        <f>IFERROR(__xludf.DUMMYFUNCTION("""COMPUTED_VALUE"""),3824.14)</f>
        <v>3824.14</v>
      </c>
      <c r="C1836" s="13">
        <f t="shared" si="1"/>
        <v>3838.25</v>
      </c>
      <c r="D1836" s="13">
        <f t="shared" si="2"/>
        <v>3907.935</v>
      </c>
      <c r="E1836" s="13" t="str">
        <f t="shared" si="3"/>
        <v/>
      </c>
      <c r="F1836" s="3">
        <f t="shared" si="4"/>
        <v>-0.004000520901</v>
      </c>
      <c r="G1836" s="4">
        <f t="shared" si="5"/>
        <v>1.839094721</v>
      </c>
      <c r="H1836" s="5">
        <f t="shared" si="6"/>
        <v>0</v>
      </c>
      <c r="I1836" s="5">
        <f t="shared" si="7"/>
        <v>1.452995032</v>
      </c>
    </row>
    <row r="1837">
      <c r="A1837" s="12">
        <f>IFERROR(__xludf.DUMMYFUNCTION("""COMPUTED_VALUE"""),44930.66666666667)</f>
        <v>44930.66667</v>
      </c>
      <c r="B1837" s="13">
        <f>IFERROR(__xludf.DUMMYFUNCTION("""COMPUTED_VALUE"""),3852.97)</f>
        <v>3852.97</v>
      </c>
      <c r="C1837" s="13">
        <f t="shared" si="1"/>
        <v>3835.315</v>
      </c>
      <c r="D1837" s="13">
        <f t="shared" si="2"/>
        <v>3905.88</v>
      </c>
      <c r="E1837" s="13" t="str">
        <f t="shared" si="3"/>
        <v/>
      </c>
      <c r="F1837" s="3">
        <f t="shared" si="4"/>
        <v>0.007538949934</v>
      </c>
      <c r="G1837" s="4">
        <f t="shared" si="5"/>
        <v>1.852959564</v>
      </c>
      <c r="H1837" s="5">
        <f t="shared" si="6"/>
        <v>0</v>
      </c>
      <c r="I1837" s="5">
        <f t="shared" si="7"/>
        <v>1.452995032</v>
      </c>
    </row>
    <row r="1838">
      <c r="A1838" s="12">
        <f>IFERROR(__xludf.DUMMYFUNCTION("""COMPUTED_VALUE"""),44931.66666666667)</f>
        <v>44931.66667</v>
      </c>
      <c r="B1838" s="13">
        <f>IFERROR(__xludf.DUMMYFUNCTION("""COMPUTED_VALUE"""),3808.1)</f>
        <v>3808.1</v>
      </c>
      <c r="C1838" s="13">
        <f t="shared" si="1"/>
        <v>3814.86</v>
      </c>
      <c r="D1838" s="13">
        <f t="shared" si="2"/>
        <v>3877.33</v>
      </c>
      <c r="E1838" s="13" t="str">
        <f t="shared" si="3"/>
        <v/>
      </c>
      <c r="F1838" s="3">
        <f t="shared" si="4"/>
        <v>-0.01164556174</v>
      </c>
      <c r="G1838" s="4">
        <f t="shared" si="5"/>
        <v>1.831380809</v>
      </c>
      <c r="H1838" s="5">
        <f t="shared" si="6"/>
        <v>0</v>
      </c>
      <c r="I1838" s="5">
        <f t="shared" si="7"/>
        <v>1.452995032</v>
      </c>
    </row>
    <row r="1839">
      <c r="A1839" s="12">
        <f>IFERROR(__xludf.DUMMYFUNCTION("""COMPUTED_VALUE"""),44932.66666666667)</f>
        <v>44932.66667</v>
      </c>
      <c r="B1839" s="13">
        <f>IFERROR(__xludf.DUMMYFUNCTION("""COMPUTED_VALUE"""),3895.08)</f>
        <v>3895.08</v>
      </c>
      <c r="C1839" s="13">
        <f t="shared" si="1"/>
        <v>3886.76</v>
      </c>
      <c r="D1839" s="13">
        <f t="shared" si="2"/>
        <v>3930.21</v>
      </c>
      <c r="E1839" s="13" t="str">
        <f t="shared" si="3"/>
        <v/>
      </c>
      <c r="F1839" s="3">
        <f t="shared" si="4"/>
        <v>0.02284078674</v>
      </c>
      <c r="G1839" s="4">
        <f t="shared" si="5"/>
        <v>1.873210988</v>
      </c>
      <c r="H1839" s="5">
        <f t="shared" si="6"/>
        <v>0</v>
      </c>
      <c r="I1839" s="5">
        <f t="shared" si="7"/>
        <v>1.452995032</v>
      </c>
    </row>
    <row r="1840">
      <c r="A1840" s="12">
        <f>IFERROR(__xludf.DUMMYFUNCTION("""COMPUTED_VALUE"""),44935.66666666667)</f>
        <v>44935.66667</v>
      </c>
      <c r="B1840" s="13">
        <f>IFERROR(__xludf.DUMMYFUNCTION("""COMPUTED_VALUE"""),3892.09)</f>
        <v>3892.09</v>
      </c>
      <c r="C1840" s="13">
        <f t="shared" si="1"/>
        <v>3857.24</v>
      </c>
      <c r="D1840" s="13">
        <f t="shared" si="2"/>
        <v>3921.015</v>
      </c>
      <c r="E1840" s="13" t="str">
        <f t="shared" si="3"/>
        <v/>
      </c>
      <c r="F1840" s="3">
        <f t="shared" si="4"/>
        <v>-0.0007676350678</v>
      </c>
      <c r="G1840" s="4">
        <f t="shared" si="5"/>
        <v>1.871773046</v>
      </c>
      <c r="H1840" s="5">
        <f t="shared" si="6"/>
        <v>0</v>
      </c>
      <c r="I1840" s="5">
        <f t="shared" si="7"/>
        <v>1.452995032</v>
      </c>
    </row>
    <row r="1841">
      <c r="A1841" s="12">
        <f>IFERROR(__xludf.DUMMYFUNCTION("""COMPUTED_VALUE"""),44936.66666666667)</f>
        <v>44936.66667</v>
      </c>
      <c r="B1841" s="13">
        <f>IFERROR(__xludf.DUMMYFUNCTION("""COMPUTED_VALUE"""),3919.25)</f>
        <v>3919.25</v>
      </c>
      <c r="C1841" s="13">
        <f t="shared" si="1"/>
        <v>3882.035</v>
      </c>
      <c r="D1841" s="13">
        <f t="shared" si="2"/>
        <v>3961.415</v>
      </c>
      <c r="E1841" s="13" t="str">
        <f t="shared" si="3"/>
        <v/>
      </c>
      <c r="F1841" s="3">
        <f t="shared" si="4"/>
        <v>0.006978255899</v>
      </c>
      <c r="G1841" s="4">
        <f t="shared" si="5"/>
        <v>1.884834757</v>
      </c>
      <c r="H1841" s="5">
        <f t="shared" si="6"/>
        <v>0</v>
      </c>
      <c r="I1841" s="5">
        <f t="shared" si="7"/>
        <v>1.452995032</v>
      </c>
    </row>
    <row r="1842">
      <c r="A1842" s="12">
        <f>IFERROR(__xludf.DUMMYFUNCTION("""COMPUTED_VALUE"""),44937.66666666667)</f>
        <v>44937.66667</v>
      </c>
      <c r="B1842" s="13">
        <f>IFERROR(__xludf.DUMMYFUNCTION("""COMPUTED_VALUE"""),3969.61)</f>
        <v>3969.61</v>
      </c>
      <c r="C1842" s="13">
        <f t="shared" si="1"/>
        <v>3899.43</v>
      </c>
      <c r="D1842" s="13">
        <f t="shared" si="2"/>
        <v>3997.865</v>
      </c>
      <c r="E1842" s="13" t="str">
        <f t="shared" si="3"/>
        <v/>
      </c>
      <c r="F1842" s="3">
        <f t="shared" si="4"/>
        <v>0.01284939721</v>
      </c>
      <c r="G1842" s="4">
        <f t="shared" si="5"/>
        <v>1.909053747</v>
      </c>
      <c r="H1842" s="5">
        <f t="shared" si="6"/>
        <v>0</v>
      </c>
      <c r="I1842" s="5">
        <f t="shared" si="7"/>
        <v>1.452995032</v>
      </c>
    </row>
    <row r="1843">
      <c r="A1843" s="12">
        <f>IFERROR(__xludf.DUMMYFUNCTION("""COMPUTED_VALUE"""),44938.66666666667)</f>
        <v>44938.66667</v>
      </c>
      <c r="B1843" s="13">
        <f>IFERROR(__xludf.DUMMYFUNCTION("""COMPUTED_VALUE"""),3983.17)</f>
        <v>3983.17</v>
      </c>
      <c r="C1843" s="13">
        <f t="shared" si="1"/>
        <v>3883.195</v>
      </c>
      <c r="D1843" s="13">
        <f t="shared" si="2"/>
        <v>3973.555</v>
      </c>
      <c r="E1843" s="13" t="str">
        <f t="shared" si="3"/>
        <v/>
      </c>
      <c r="F1843" s="3">
        <f t="shared" si="4"/>
        <v>0.003415952701</v>
      </c>
      <c r="G1843" s="4">
        <f t="shared" si="5"/>
        <v>1.915574985</v>
      </c>
      <c r="H1843" s="5">
        <f t="shared" si="6"/>
        <v>0</v>
      </c>
      <c r="I1843" s="5">
        <f t="shared" si="7"/>
        <v>1.452995032</v>
      </c>
    </row>
    <row r="1844">
      <c r="A1844" s="12">
        <f>IFERROR(__xludf.DUMMYFUNCTION("""COMPUTED_VALUE"""),44939.66666666667)</f>
        <v>44939.66667</v>
      </c>
      <c r="B1844" s="13">
        <f>IFERROR(__xludf.DUMMYFUNCTION("""COMPUTED_VALUE"""),3999.09)</f>
        <v>3999.09</v>
      </c>
      <c r="C1844" s="13">
        <f t="shared" si="1"/>
        <v>3924.185</v>
      </c>
      <c r="D1844" s="13">
        <f t="shared" si="2"/>
        <v>3978.36</v>
      </c>
      <c r="E1844" s="13" t="str">
        <f t="shared" si="3"/>
        <v/>
      </c>
      <c r="F1844" s="3">
        <f t="shared" si="4"/>
        <v>0.003996816606</v>
      </c>
      <c r="G1844" s="4">
        <f t="shared" si="5"/>
        <v>1.923231187</v>
      </c>
      <c r="H1844" s="5">
        <f t="shared" si="6"/>
        <v>0</v>
      </c>
      <c r="I1844" s="5">
        <f t="shared" si="7"/>
        <v>1.452995032</v>
      </c>
    </row>
    <row r="1845">
      <c r="A1845" s="12">
        <f>IFERROR(__xludf.DUMMYFUNCTION("""COMPUTED_VALUE"""),44943.66666666667)</f>
        <v>44943.66667</v>
      </c>
      <c r="B1845" s="13">
        <f>IFERROR(__xludf.DUMMYFUNCTION("""COMPUTED_VALUE"""),3990.97)</f>
        <v>3990.97</v>
      </c>
      <c r="C1845" s="13">
        <f t="shared" si="1"/>
        <v>3915.235</v>
      </c>
      <c r="D1845" s="13">
        <f t="shared" si="2"/>
        <v>4035.54</v>
      </c>
      <c r="E1845" s="13" t="str">
        <f t="shared" si="3"/>
        <v/>
      </c>
      <c r="F1845" s="3">
        <f t="shared" si="4"/>
        <v>-0.00203046193</v>
      </c>
      <c r="G1845" s="4">
        <f t="shared" si="5"/>
        <v>1.919326139</v>
      </c>
      <c r="H1845" s="5">
        <f t="shared" si="6"/>
        <v>0</v>
      </c>
      <c r="I1845" s="5">
        <f t="shared" si="7"/>
        <v>1.452995032</v>
      </c>
    </row>
    <row r="1846">
      <c r="A1846" s="12">
        <f>IFERROR(__xludf.DUMMYFUNCTION("""COMPUTED_VALUE"""),44944.66666666667)</f>
        <v>44944.66667</v>
      </c>
      <c r="B1846" s="13">
        <f>IFERROR(__xludf.DUMMYFUNCTION("""COMPUTED_VALUE"""),3928.86)</f>
        <v>3928.86</v>
      </c>
      <c r="C1846" s="13">
        <f t="shared" si="1"/>
        <v>3876.5</v>
      </c>
      <c r="D1846" s="13">
        <f t="shared" si="2"/>
        <v>4002.715</v>
      </c>
      <c r="E1846" s="13" t="str">
        <f t="shared" si="3"/>
        <v/>
      </c>
      <c r="F1846" s="3">
        <f t="shared" si="4"/>
        <v>-0.01556263264</v>
      </c>
      <c r="G1846" s="4">
        <f t="shared" si="5"/>
        <v>1.889456371</v>
      </c>
      <c r="H1846" s="5">
        <f t="shared" si="6"/>
        <v>0</v>
      </c>
      <c r="I1846" s="5">
        <f t="shared" si="7"/>
        <v>1.452995032</v>
      </c>
    </row>
    <row r="1847">
      <c r="A1847" s="12">
        <f>IFERROR(__xludf.DUMMYFUNCTION("""COMPUTED_VALUE"""),44945.66666666667)</f>
        <v>44945.66667</v>
      </c>
      <c r="B1847" s="13">
        <f>IFERROR(__xludf.DUMMYFUNCTION("""COMPUTED_VALUE"""),3898.85)</f>
        <v>3898.85</v>
      </c>
      <c r="C1847" s="13">
        <f t="shared" si="1"/>
        <v>3875.91</v>
      </c>
      <c r="D1847" s="13">
        <f t="shared" si="2"/>
        <v>3985.275</v>
      </c>
      <c r="E1847" s="13" t="str">
        <f t="shared" si="3"/>
        <v/>
      </c>
      <c r="F1847" s="3">
        <f t="shared" si="4"/>
        <v>-0.00763834802</v>
      </c>
      <c r="G1847" s="4">
        <f t="shared" si="5"/>
        <v>1.875024046</v>
      </c>
      <c r="H1847" s="5">
        <f t="shared" si="6"/>
        <v>0</v>
      </c>
      <c r="I1847" s="5">
        <f t="shared" si="7"/>
        <v>1.452995032</v>
      </c>
    </row>
    <row r="1848">
      <c r="A1848" s="12">
        <f>IFERROR(__xludf.DUMMYFUNCTION("""COMPUTED_VALUE"""),44946.66666666667)</f>
        <v>44946.66667</v>
      </c>
      <c r="B1848" s="13">
        <f>IFERROR(__xludf.DUMMYFUNCTION("""COMPUTED_VALUE"""),3972.61)</f>
        <v>3972.61</v>
      </c>
      <c r="C1848" s="13">
        <f t="shared" si="1"/>
        <v>3890.355</v>
      </c>
      <c r="D1848" s="13">
        <f t="shared" si="2"/>
        <v>3985.725</v>
      </c>
      <c r="E1848" s="13" t="str">
        <f t="shared" si="3"/>
        <v/>
      </c>
      <c r="F1848" s="3">
        <f t="shared" si="4"/>
        <v>0.01891839902</v>
      </c>
      <c r="G1848" s="4">
        <f t="shared" si="5"/>
        <v>1.910496499</v>
      </c>
      <c r="H1848" s="5">
        <f t="shared" si="6"/>
        <v>0</v>
      </c>
      <c r="I1848" s="5">
        <f t="shared" si="7"/>
        <v>1.452995032</v>
      </c>
    </row>
    <row r="1849">
      <c r="A1849" s="12">
        <f>IFERROR(__xludf.DUMMYFUNCTION("""COMPUTED_VALUE"""),44949.66666666667)</f>
        <v>44949.66667</v>
      </c>
      <c r="B1849" s="13">
        <f>IFERROR(__xludf.DUMMYFUNCTION("""COMPUTED_VALUE"""),4019.81)</f>
        <v>4019.81</v>
      </c>
      <c r="C1849" s="13">
        <f t="shared" si="1"/>
        <v>3957.445</v>
      </c>
      <c r="D1849" s="13">
        <f t="shared" si="2"/>
        <v>3980.535</v>
      </c>
      <c r="E1849" s="13" t="str">
        <f t="shared" si="3"/>
        <v/>
      </c>
      <c r="F1849" s="3">
        <f t="shared" si="4"/>
        <v>0.0118813576</v>
      </c>
      <c r="G1849" s="4">
        <f t="shared" si="5"/>
        <v>1.933195791</v>
      </c>
      <c r="H1849" s="5">
        <f t="shared" si="6"/>
        <v>0</v>
      </c>
      <c r="I1849" s="5">
        <f t="shared" si="7"/>
        <v>1.452995032</v>
      </c>
    </row>
    <row r="1850">
      <c r="A1850" s="12">
        <f>IFERROR(__xludf.DUMMYFUNCTION("""COMPUTED_VALUE"""),44950.66666666667)</f>
        <v>44950.66667</v>
      </c>
      <c r="B1850" s="13">
        <f>IFERROR(__xludf.DUMMYFUNCTION("""COMPUTED_VALUE"""),4016.95)</f>
        <v>4016.95</v>
      </c>
      <c r="C1850" s="13">
        <f t="shared" si="1"/>
        <v>3954.52</v>
      </c>
      <c r="D1850" s="13">
        <f t="shared" si="2"/>
        <v>3975.435</v>
      </c>
      <c r="E1850" s="13" t="str">
        <f t="shared" si="3"/>
        <v/>
      </c>
      <c r="F1850" s="3">
        <f t="shared" si="4"/>
        <v>-0.0007114764131</v>
      </c>
      <c r="G1850" s="4">
        <f t="shared" si="5"/>
        <v>1.931820368</v>
      </c>
      <c r="H1850" s="5">
        <f t="shared" si="6"/>
        <v>0</v>
      </c>
      <c r="I1850" s="5">
        <f t="shared" si="7"/>
        <v>1.452995032</v>
      </c>
    </row>
    <row r="1851">
      <c r="A1851" s="12">
        <f>IFERROR(__xludf.DUMMYFUNCTION("""COMPUTED_VALUE"""),44951.66666666667)</f>
        <v>44951.66667</v>
      </c>
      <c r="B1851" s="13">
        <f>IFERROR(__xludf.DUMMYFUNCTION("""COMPUTED_VALUE"""),4016.22)</f>
        <v>4016.22</v>
      </c>
      <c r="C1851" s="13">
        <f t="shared" si="1"/>
        <v>3967.735</v>
      </c>
      <c r="D1851" s="13">
        <f t="shared" si="2"/>
        <v>3989.865</v>
      </c>
      <c r="E1851" s="13" t="str">
        <f t="shared" si="3"/>
        <v/>
      </c>
      <c r="F1851" s="3">
        <f t="shared" si="4"/>
        <v>-0.0001817299195</v>
      </c>
      <c r="G1851" s="4">
        <f t="shared" si="5"/>
        <v>1.931469298</v>
      </c>
      <c r="H1851" s="5">
        <f t="shared" si="6"/>
        <v>0</v>
      </c>
      <c r="I1851" s="5">
        <f t="shared" si="7"/>
        <v>1.452995032</v>
      </c>
    </row>
    <row r="1852">
      <c r="A1852" s="12">
        <f>IFERROR(__xludf.DUMMYFUNCTION("""COMPUTED_VALUE"""),44952.66666666667)</f>
        <v>44952.66667</v>
      </c>
      <c r="B1852" s="13">
        <f>IFERROR(__xludf.DUMMYFUNCTION("""COMPUTED_VALUE"""),4060.43)</f>
        <v>4060.43</v>
      </c>
      <c r="C1852" s="13">
        <f t="shared" si="1"/>
        <v>4015.02</v>
      </c>
      <c r="D1852" s="13">
        <f t="shared" si="2"/>
        <v>3997.405</v>
      </c>
      <c r="E1852" s="13" t="str">
        <f t="shared" si="3"/>
        <v>LONG</v>
      </c>
      <c r="F1852" s="3">
        <f t="shared" si="4"/>
        <v>0.01100786312</v>
      </c>
      <c r="G1852" s="4">
        <f t="shared" si="5"/>
        <v>1.952730648</v>
      </c>
      <c r="H1852" s="3">
        <f t="shared" si="6"/>
        <v>0.01100786312</v>
      </c>
      <c r="I1852" s="5">
        <f t="shared" si="7"/>
        <v>1.468989403</v>
      </c>
    </row>
    <row r="1853">
      <c r="A1853" s="12">
        <f>IFERROR(__xludf.DUMMYFUNCTION("""COMPUTED_VALUE"""),44953.66666666667)</f>
        <v>44953.66667</v>
      </c>
      <c r="B1853" s="13">
        <f>IFERROR(__xludf.DUMMYFUNCTION("""COMPUTED_VALUE"""),4070.56)</f>
        <v>4070.56</v>
      </c>
      <c r="C1853" s="13">
        <f t="shared" si="1"/>
        <v>4026.865</v>
      </c>
      <c r="D1853" s="13">
        <f t="shared" si="2"/>
        <v>4030.56</v>
      </c>
      <c r="E1853" s="13" t="str">
        <f t="shared" si="3"/>
        <v/>
      </c>
      <c r="F1853" s="3">
        <f t="shared" si="4"/>
        <v>0.002494809663</v>
      </c>
      <c r="G1853" s="4">
        <f t="shared" si="5"/>
        <v>1.957602339</v>
      </c>
      <c r="H1853" s="5">
        <f t="shared" si="6"/>
        <v>0</v>
      </c>
      <c r="I1853" s="5">
        <f t="shared" si="7"/>
        <v>1.468989403</v>
      </c>
    </row>
    <row r="1854">
      <c r="A1854" s="12">
        <f>IFERROR(__xludf.DUMMYFUNCTION("""COMPUTED_VALUE"""),44956.66666666667)</f>
        <v>44956.66667</v>
      </c>
      <c r="B1854" s="13">
        <f>IFERROR(__xludf.DUMMYFUNCTION("""COMPUTED_VALUE"""),4017.77)</f>
        <v>4017.77</v>
      </c>
      <c r="C1854" s="13">
        <f t="shared" si="1"/>
        <v>4008.43</v>
      </c>
      <c r="D1854" s="13">
        <f t="shared" si="2"/>
        <v>4018.71</v>
      </c>
      <c r="E1854" s="13" t="str">
        <f t="shared" si="3"/>
        <v/>
      </c>
      <c r="F1854" s="3">
        <f t="shared" si="4"/>
        <v>-0.01296873158</v>
      </c>
      <c r="G1854" s="4">
        <f t="shared" si="5"/>
        <v>1.93221472</v>
      </c>
      <c r="H1854" s="5">
        <f t="shared" si="6"/>
        <v>0</v>
      </c>
      <c r="I1854" s="5">
        <f t="shared" si="7"/>
        <v>1.468989403</v>
      </c>
    </row>
    <row r="1855">
      <c r="A1855" s="12">
        <f>IFERROR(__xludf.DUMMYFUNCTION("""COMPUTED_VALUE"""),44957.66666666667)</f>
        <v>44957.66667</v>
      </c>
      <c r="B1855" s="13">
        <f>IFERROR(__xludf.DUMMYFUNCTION("""COMPUTED_VALUE"""),4076.6)</f>
        <v>4076.6</v>
      </c>
      <c r="C1855" s="13">
        <f t="shared" si="1"/>
        <v>4033.785</v>
      </c>
      <c r="D1855" s="13">
        <f t="shared" si="2"/>
        <v>4035.96</v>
      </c>
      <c r="E1855" s="13" t="str">
        <f t="shared" si="3"/>
        <v/>
      </c>
      <c r="F1855" s="3">
        <f t="shared" si="4"/>
        <v>0.01464245091</v>
      </c>
      <c r="G1855" s="4">
        <f t="shared" si="5"/>
        <v>1.960507079</v>
      </c>
      <c r="H1855" s="5">
        <f t="shared" si="6"/>
        <v>0</v>
      </c>
      <c r="I1855" s="5">
        <f t="shared" si="7"/>
        <v>1.468989403</v>
      </c>
    </row>
    <row r="1856">
      <c r="A1856" s="12">
        <f>IFERROR(__xludf.DUMMYFUNCTION("""COMPUTED_VALUE"""),44958.66666666667)</f>
        <v>44958.66667</v>
      </c>
      <c r="B1856" s="13">
        <f>IFERROR(__xludf.DUMMYFUNCTION("""COMPUTED_VALUE"""),4119.21)</f>
        <v>4119.21</v>
      </c>
      <c r="C1856" s="13">
        <f t="shared" si="1"/>
        <v>4024.035</v>
      </c>
      <c r="D1856" s="13">
        <f t="shared" si="2"/>
        <v>4007.48</v>
      </c>
      <c r="E1856" s="13" t="str">
        <f t="shared" si="3"/>
        <v>LONG</v>
      </c>
      <c r="F1856" s="3">
        <f t="shared" si="4"/>
        <v>0.01045233773</v>
      </c>
      <c r="G1856" s="4">
        <f t="shared" si="5"/>
        <v>1.980998961</v>
      </c>
      <c r="H1856" s="3">
        <f t="shared" si="6"/>
        <v>0.01045233773</v>
      </c>
      <c r="I1856" s="5">
        <f t="shared" si="7"/>
        <v>1.484343776</v>
      </c>
    </row>
    <row r="1857">
      <c r="A1857" s="12">
        <f>IFERROR(__xludf.DUMMYFUNCTION("""COMPUTED_VALUE"""),44959.66666666667)</f>
        <v>44959.66667</v>
      </c>
      <c r="B1857" s="13">
        <f>IFERROR(__xludf.DUMMYFUNCTION("""COMPUTED_VALUE"""),4179.76)</f>
        <v>4179.76</v>
      </c>
      <c r="C1857" s="13">
        <f t="shared" si="1"/>
        <v>4039.305</v>
      </c>
      <c r="D1857" s="13">
        <f t="shared" si="2"/>
        <v>4016.06</v>
      </c>
      <c r="E1857" s="13" t="str">
        <f t="shared" si="3"/>
        <v>LONG</v>
      </c>
      <c r="F1857" s="3">
        <f t="shared" si="4"/>
        <v>0.01469942052</v>
      </c>
      <c r="G1857" s="4">
        <f t="shared" si="5"/>
        <v>2.010118498</v>
      </c>
      <c r="H1857" s="3">
        <f t="shared" si="6"/>
        <v>0.01469942052</v>
      </c>
      <c r="I1857" s="5">
        <f t="shared" si="7"/>
        <v>1.50616277</v>
      </c>
    </row>
    <row r="1858">
      <c r="A1858" s="12">
        <f>IFERROR(__xludf.DUMMYFUNCTION("""COMPUTED_VALUE"""),44960.66666666667)</f>
        <v>44960.66667</v>
      </c>
      <c r="B1858" s="13">
        <f>IFERROR(__xludf.DUMMYFUNCTION("""COMPUTED_VALUE"""),4136.48)</f>
        <v>4136.48</v>
      </c>
      <c r="C1858" s="13">
        <f t="shared" si="1"/>
        <v>4054.545</v>
      </c>
      <c r="D1858" s="13">
        <f t="shared" si="2"/>
        <v>3977.07</v>
      </c>
      <c r="E1858" s="13" t="str">
        <f t="shared" si="3"/>
        <v>LONG</v>
      </c>
      <c r="F1858" s="3">
        <f t="shared" si="4"/>
        <v>-0.01035466151</v>
      </c>
      <c r="G1858" s="4">
        <f t="shared" si="5"/>
        <v>1.989304401</v>
      </c>
      <c r="H1858" s="3">
        <f t="shared" si="6"/>
        <v>-0.01035466151</v>
      </c>
      <c r="I1858" s="5">
        <f t="shared" si="7"/>
        <v>1.490566964</v>
      </c>
    </row>
    <row r="1859">
      <c r="A1859" s="12">
        <f>IFERROR(__xludf.DUMMYFUNCTION("""COMPUTED_VALUE"""),44963.66666666667)</f>
        <v>44963.66667</v>
      </c>
      <c r="B1859" s="13">
        <f>IFERROR(__xludf.DUMMYFUNCTION("""COMPUTED_VALUE"""),4111.08)</f>
        <v>4111.08</v>
      </c>
      <c r="C1859" s="13">
        <f t="shared" si="1"/>
        <v>4065.445</v>
      </c>
      <c r="D1859" s="13">
        <f t="shared" si="2"/>
        <v>3966.35</v>
      </c>
      <c r="E1859" s="13" t="str">
        <f t="shared" si="3"/>
        <v>LONG</v>
      </c>
      <c r="F1859" s="3">
        <f t="shared" si="4"/>
        <v>-0.006140486597</v>
      </c>
      <c r="G1859" s="4">
        <f t="shared" si="5"/>
        <v>1.977089104</v>
      </c>
      <c r="H1859" s="3">
        <f t="shared" si="6"/>
        <v>-0.006140486597</v>
      </c>
      <c r="I1859" s="5">
        <f t="shared" si="7"/>
        <v>1.481414157</v>
      </c>
    </row>
    <row r="1860">
      <c r="A1860" s="12">
        <f>IFERROR(__xludf.DUMMYFUNCTION("""COMPUTED_VALUE"""),44964.66666666667)</f>
        <v>44964.66667</v>
      </c>
      <c r="B1860" s="13">
        <f>IFERROR(__xludf.DUMMYFUNCTION("""COMPUTED_VALUE"""),4164.0)</f>
        <v>4164</v>
      </c>
      <c r="C1860" s="13">
        <f t="shared" si="1"/>
        <v>4090.475</v>
      </c>
      <c r="D1860" s="13">
        <f t="shared" si="2"/>
        <v>4021.22</v>
      </c>
      <c r="E1860" s="13" t="str">
        <f t="shared" si="3"/>
        <v>LONG</v>
      </c>
      <c r="F1860" s="3">
        <f t="shared" si="4"/>
        <v>0.01287252985</v>
      </c>
      <c r="G1860" s="4">
        <f t="shared" si="5"/>
        <v>2.002539243</v>
      </c>
      <c r="H1860" s="3">
        <f t="shared" si="6"/>
        <v>0.01287252985</v>
      </c>
      <c r="I1860" s="5">
        <f t="shared" si="7"/>
        <v>1.500483705</v>
      </c>
    </row>
    <row r="1861">
      <c r="A1861" s="12">
        <f>IFERROR(__xludf.DUMMYFUNCTION("""COMPUTED_VALUE"""),44965.66666666667)</f>
        <v>44965.66667</v>
      </c>
      <c r="B1861" s="13">
        <f>IFERROR(__xludf.DUMMYFUNCTION("""COMPUTED_VALUE"""),4117.86)</f>
        <v>4117.86</v>
      </c>
      <c r="C1861" s="13">
        <f t="shared" si="1"/>
        <v>4067.04</v>
      </c>
      <c r="D1861" s="13">
        <f t="shared" si="2"/>
        <v>3970.125</v>
      </c>
      <c r="E1861" s="13" t="str">
        <f t="shared" si="3"/>
        <v>LONG</v>
      </c>
      <c r="F1861" s="3">
        <f t="shared" si="4"/>
        <v>-0.01108069164</v>
      </c>
      <c r="G1861" s="4">
        <f t="shared" si="5"/>
        <v>1.980349723</v>
      </c>
      <c r="H1861" s="3">
        <f t="shared" si="6"/>
        <v>-0.01108069164</v>
      </c>
      <c r="I1861" s="5">
        <f t="shared" si="7"/>
        <v>1.483857308</v>
      </c>
    </row>
    <row r="1862">
      <c r="A1862" s="12">
        <f>IFERROR(__xludf.DUMMYFUNCTION("""COMPUTED_VALUE"""),44966.66666666667)</f>
        <v>44966.66667</v>
      </c>
      <c r="B1862" s="13">
        <f>IFERROR(__xludf.DUMMYFUNCTION("""COMPUTED_VALUE"""),4081.5)</f>
        <v>4081.5</v>
      </c>
      <c r="C1862" s="13">
        <f t="shared" si="1"/>
        <v>4070.965</v>
      </c>
      <c r="D1862" s="13">
        <f t="shared" si="2"/>
        <v>3963.16</v>
      </c>
      <c r="E1862" s="13" t="str">
        <f t="shared" si="3"/>
        <v>LONG</v>
      </c>
      <c r="F1862" s="3">
        <f t="shared" si="4"/>
        <v>-0.008829829086</v>
      </c>
      <c r="G1862" s="4">
        <f t="shared" si="5"/>
        <v>1.962863573</v>
      </c>
      <c r="H1862" s="3">
        <f t="shared" si="6"/>
        <v>-0.008829829086</v>
      </c>
      <c r="I1862" s="5">
        <f t="shared" si="7"/>
        <v>1.470755102</v>
      </c>
    </row>
    <row r="1863">
      <c r="A1863" s="12">
        <f>IFERROR(__xludf.DUMMYFUNCTION("""COMPUTED_VALUE"""),44967.66666666667)</f>
        <v>44967.66667</v>
      </c>
      <c r="B1863" s="13">
        <f>IFERROR(__xludf.DUMMYFUNCTION("""COMPUTED_VALUE"""),4090.46)</f>
        <v>4090.46</v>
      </c>
      <c r="C1863" s="13">
        <f t="shared" si="1"/>
        <v>4080.51</v>
      </c>
      <c r="D1863" s="13">
        <f t="shared" si="2"/>
        <v>3959.855</v>
      </c>
      <c r="E1863" s="13" t="str">
        <f t="shared" si="3"/>
        <v>LONG</v>
      </c>
      <c r="F1863" s="3">
        <f t="shared" si="4"/>
        <v>0.002195271346</v>
      </c>
      <c r="G1863" s="4">
        <f t="shared" si="5"/>
        <v>1.967172592</v>
      </c>
      <c r="H1863" s="3">
        <f t="shared" si="6"/>
        <v>0.002195271346</v>
      </c>
      <c r="I1863" s="5">
        <f t="shared" si="7"/>
        <v>1.473983808</v>
      </c>
    </row>
    <row r="1864">
      <c r="A1864" s="12">
        <f>IFERROR(__xludf.DUMMYFUNCTION("""COMPUTED_VALUE"""),44970.66666666667)</f>
        <v>44970.66667</v>
      </c>
      <c r="B1864" s="13">
        <f>IFERROR(__xludf.DUMMYFUNCTION("""COMPUTED_VALUE"""),4137.29)</f>
        <v>4137.29</v>
      </c>
      <c r="C1864" s="13">
        <f t="shared" si="1"/>
        <v>4077.53</v>
      </c>
      <c r="D1864" s="13">
        <f t="shared" si="2"/>
        <v>3960.255</v>
      </c>
      <c r="E1864" s="13" t="str">
        <f t="shared" si="3"/>
        <v>LONG</v>
      </c>
      <c r="F1864" s="3">
        <f t="shared" si="4"/>
        <v>0.01144859013</v>
      </c>
      <c r="G1864" s="4">
        <f t="shared" si="5"/>
        <v>1.989693944</v>
      </c>
      <c r="H1864" s="3">
        <f t="shared" si="6"/>
        <v>0.01144859013</v>
      </c>
      <c r="I1864" s="5">
        <f t="shared" si="7"/>
        <v>1.490858845</v>
      </c>
    </row>
    <row r="1865">
      <c r="A1865" s="12">
        <f>IFERROR(__xludf.DUMMYFUNCTION("""COMPUTED_VALUE"""),44971.66666666667)</f>
        <v>44971.66667</v>
      </c>
      <c r="B1865" s="13">
        <f>IFERROR(__xludf.DUMMYFUNCTION("""COMPUTED_VALUE"""),4136.13)</f>
        <v>4136.13</v>
      </c>
      <c r="C1865" s="13">
        <f t="shared" si="1"/>
        <v>4106.365</v>
      </c>
      <c r="D1865" s="13">
        <f t="shared" si="2"/>
        <v>3992.705</v>
      </c>
      <c r="E1865" s="13" t="str">
        <f t="shared" si="3"/>
        <v>LONG</v>
      </c>
      <c r="F1865" s="3">
        <f t="shared" si="4"/>
        <v>-0.0002803767684</v>
      </c>
      <c r="G1865" s="4">
        <f t="shared" si="5"/>
        <v>1.98913608</v>
      </c>
      <c r="H1865" s="3">
        <f t="shared" si="6"/>
        <v>-0.0002803767684</v>
      </c>
      <c r="I1865" s="5">
        <f t="shared" si="7"/>
        <v>1.490440843</v>
      </c>
    </row>
    <row r="1866">
      <c r="A1866" s="12">
        <f>IFERROR(__xludf.DUMMYFUNCTION("""COMPUTED_VALUE"""),44972.66666666667)</f>
        <v>44972.66667</v>
      </c>
      <c r="B1866" s="13">
        <f>IFERROR(__xludf.DUMMYFUNCTION("""COMPUTED_VALUE"""),4147.6)</f>
        <v>4147.6</v>
      </c>
      <c r="C1866" s="13">
        <f t="shared" si="1"/>
        <v>4133.405</v>
      </c>
      <c r="D1866" s="13">
        <f t="shared" si="2"/>
        <v>3993.55</v>
      </c>
      <c r="E1866" s="13" t="str">
        <f t="shared" si="3"/>
        <v>LONG</v>
      </c>
      <c r="F1866" s="3">
        <f t="shared" si="4"/>
        <v>0.002773123669</v>
      </c>
      <c r="G1866" s="4">
        <f t="shared" si="5"/>
        <v>1.994652201</v>
      </c>
      <c r="H1866" s="3">
        <f t="shared" si="6"/>
        <v>0.002773123669</v>
      </c>
      <c r="I1866" s="5">
        <f t="shared" si="7"/>
        <v>1.494574019</v>
      </c>
    </row>
    <row r="1867">
      <c r="A1867" s="12">
        <f>IFERROR(__xludf.DUMMYFUNCTION("""COMPUTED_VALUE"""),44973.66666666667)</f>
        <v>44973.66667</v>
      </c>
      <c r="B1867" s="13">
        <f>IFERROR(__xludf.DUMMYFUNCTION("""COMPUTED_VALUE"""),4090.41)</f>
        <v>4090.41</v>
      </c>
      <c r="C1867" s="13">
        <f t="shared" si="1"/>
        <v>4135.085</v>
      </c>
      <c r="D1867" s="13">
        <f t="shared" si="2"/>
        <v>3957.275</v>
      </c>
      <c r="E1867" s="13" t="str">
        <f t="shared" si="3"/>
        <v>LONG</v>
      </c>
      <c r="F1867" s="3">
        <f t="shared" si="4"/>
        <v>-0.01378869708</v>
      </c>
      <c r="G1867" s="4">
        <f t="shared" si="5"/>
        <v>1.967148546</v>
      </c>
      <c r="H1867" s="3">
        <f t="shared" si="6"/>
        <v>-0.01378869708</v>
      </c>
      <c r="I1867" s="5">
        <f t="shared" si="7"/>
        <v>1.473965791</v>
      </c>
    </row>
    <row r="1868">
      <c r="A1868" s="12">
        <f>IFERROR(__xludf.DUMMYFUNCTION("""COMPUTED_VALUE"""),44974.66666666667)</f>
        <v>44974.66667</v>
      </c>
      <c r="B1868" s="13">
        <f>IFERROR(__xludf.DUMMYFUNCTION("""COMPUTED_VALUE"""),4079.09)</f>
        <v>4079.09</v>
      </c>
      <c r="C1868" s="13">
        <f t="shared" si="1"/>
        <v>4107.785</v>
      </c>
      <c r="D1868" s="13">
        <f t="shared" si="2"/>
        <v>3966.03</v>
      </c>
      <c r="E1868" s="13" t="str">
        <f t="shared" si="3"/>
        <v>LONG</v>
      </c>
      <c r="F1868" s="3">
        <f t="shared" si="4"/>
        <v>-0.00276744874</v>
      </c>
      <c r="G1868" s="4">
        <f t="shared" si="5"/>
        <v>1.961704563</v>
      </c>
      <c r="H1868" s="3">
        <f t="shared" si="6"/>
        <v>-0.00276744874</v>
      </c>
      <c r="I1868" s="5">
        <f t="shared" si="7"/>
        <v>1.469886666</v>
      </c>
    </row>
    <row r="1869">
      <c r="A1869" s="12">
        <f>IFERROR(__xludf.DUMMYFUNCTION("""COMPUTED_VALUE"""),44978.66666666667)</f>
        <v>44978.66667</v>
      </c>
      <c r="B1869" s="13">
        <f>IFERROR(__xludf.DUMMYFUNCTION("""COMPUTED_VALUE"""),3997.34)</f>
        <v>3997.34</v>
      </c>
      <c r="C1869" s="13">
        <f t="shared" si="1"/>
        <v>4054.21</v>
      </c>
      <c r="D1869" s="13">
        <f t="shared" si="2"/>
        <v>3902.72</v>
      </c>
      <c r="E1869" s="13" t="str">
        <f t="shared" si="3"/>
        <v>LONG</v>
      </c>
      <c r="F1869" s="3">
        <f t="shared" si="4"/>
        <v>-0.02004123469</v>
      </c>
      <c r="G1869" s="4">
        <f t="shared" si="5"/>
        <v>1.922389581</v>
      </c>
      <c r="H1869" s="3">
        <f t="shared" si="6"/>
        <v>-0.02004123469</v>
      </c>
      <c r="I1869" s="5">
        <f t="shared" si="7"/>
        <v>1.440428322</v>
      </c>
    </row>
    <row r="1870">
      <c r="A1870" s="12">
        <f>IFERROR(__xludf.DUMMYFUNCTION("""COMPUTED_VALUE"""),44979.66666666667)</f>
        <v>44979.66667</v>
      </c>
      <c r="B1870" s="13">
        <f>IFERROR(__xludf.DUMMYFUNCTION("""COMPUTED_VALUE"""),3991.05)</f>
        <v>3991.05</v>
      </c>
      <c r="C1870" s="13">
        <f t="shared" si="1"/>
        <v>4077.525</v>
      </c>
      <c r="D1870" s="13">
        <f t="shared" si="2"/>
        <v>3943.065</v>
      </c>
      <c r="E1870" s="13" t="str">
        <f t="shared" si="3"/>
        <v>LONG</v>
      </c>
      <c r="F1870" s="3">
        <f t="shared" si="4"/>
        <v>-0.001573546408</v>
      </c>
      <c r="G1870" s="4">
        <f t="shared" si="5"/>
        <v>1.919364612</v>
      </c>
      <c r="H1870" s="3">
        <f t="shared" si="6"/>
        <v>-0.001573546408</v>
      </c>
      <c r="I1870" s="5">
        <f t="shared" si="7"/>
        <v>1.438161742</v>
      </c>
    </row>
    <row r="1871">
      <c r="A1871" s="12">
        <f>IFERROR(__xludf.DUMMYFUNCTION("""COMPUTED_VALUE"""),44980.66666666667)</f>
        <v>44980.66667</v>
      </c>
      <c r="B1871" s="13">
        <f>IFERROR(__xludf.DUMMYFUNCTION("""COMPUTED_VALUE"""),4012.32)</f>
        <v>4012.32</v>
      </c>
      <c r="C1871" s="13">
        <f t="shared" si="1"/>
        <v>4065.09</v>
      </c>
      <c r="D1871" s="13">
        <f t="shared" si="2"/>
        <v>3952.205</v>
      </c>
      <c r="E1871" s="13" t="str">
        <f t="shared" si="3"/>
        <v>LONG</v>
      </c>
      <c r="F1871" s="3">
        <f t="shared" si="4"/>
        <v>0.005329424588</v>
      </c>
      <c r="G1871" s="4">
        <f t="shared" si="5"/>
        <v>1.929593721</v>
      </c>
      <c r="H1871" s="3">
        <f t="shared" si="6"/>
        <v>0.005329424588</v>
      </c>
      <c r="I1871" s="5">
        <f t="shared" si="7"/>
        <v>1.445826316</v>
      </c>
    </row>
    <row r="1872">
      <c r="A1872" s="12">
        <f>IFERROR(__xludf.DUMMYFUNCTION("""COMPUTED_VALUE"""),44981.66666666667)</f>
        <v>44981.66667</v>
      </c>
      <c r="B1872" s="13">
        <f>IFERROR(__xludf.DUMMYFUNCTION("""COMPUTED_VALUE"""),3970.04)</f>
        <v>3970.04</v>
      </c>
      <c r="C1872" s="13">
        <f t="shared" si="1"/>
        <v>4025.77</v>
      </c>
      <c r="D1872" s="13">
        <f t="shared" si="2"/>
        <v>3944.645</v>
      </c>
      <c r="E1872" s="13" t="str">
        <f t="shared" si="3"/>
        <v>LONG</v>
      </c>
      <c r="F1872" s="3">
        <f t="shared" si="4"/>
        <v>-0.01053754436</v>
      </c>
      <c r="G1872" s="4">
        <f t="shared" si="5"/>
        <v>1.909260542</v>
      </c>
      <c r="H1872" s="3">
        <f t="shared" si="6"/>
        <v>-0.01053754436</v>
      </c>
      <c r="I1872" s="5">
        <f t="shared" si="7"/>
        <v>1.430590857</v>
      </c>
    </row>
    <row r="1873">
      <c r="A1873" s="12">
        <f>IFERROR(__xludf.DUMMYFUNCTION("""COMPUTED_VALUE"""),44984.66666666667)</f>
        <v>44984.66667</v>
      </c>
      <c r="B1873" s="13">
        <f>IFERROR(__xludf.DUMMYFUNCTION("""COMPUTED_VALUE"""),3982.24)</f>
        <v>3982.24</v>
      </c>
      <c r="C1873" s="13">
        <f t="shared" si="1"/>
        <v>4036.35</v>
      </c>
      <c r="D1873" s="13">
        <f t="shared" si="2"/>
        <v>3975.925</v>
      </c>
      <c r="E1873" s="13" t="str">
        <f t="shared" si="3"/>
        <v>LONG</v>
      </c>
      <c r="F1873" s="3">
        <f t="shared" si="4"/>
        <v>0.003073016897</v>
      </c>
      <c r="G1873" s="4">
        <f t="shared" si="5"/>
        <v>1.915127732</v>
      </c>
      <c r="H1873" s="3">
        <f t="shared" si="6"/>
        <v>0.003073016897</v>
      </c>
      <c r="I1873" s="5">
        <f t="shared" si="7"/>
        <v>1.434987087</v>
      </c>
    </row>
    <row r="1874">
      <c r="A1874" s="12">
        <f>IFERROR(__xludf.DUMMYFUNCTION("""COMPUTED_VALUE"""),44985.66666666667)</f>
        <v>44985.66667</v>
      </c>
      <c r="B1874" s="13">
        <f>IFERROR(__xludf.DUMMYFUNCTION("""COMPUTED_VALUE"""),3970.15)</f>
        <v>3970.15</v>
      </c>
      <c r="C1874" s="13">
        <f t="shared" si="1"/>
        <v>4053.72</v>
      </c>
      <c r="D1874" s="13">
        <f t="shared" si="2"/>
        <v>3976.66</v>
      </c>
      <c r="E1874" s="13" t="str">
        <f t="shared" si="3"/>
        <v>LONG</v>
      </c>
      <c r="F1874" s="3">
        <f t="shared" si="4"/>
        <v>-0.00303597975</v>
      </c>
      <c r="G1874" s="4">
        <f t="shared" si="5"/>
        <v>1.909313443</v>
      </c>
      <c r="H1874" s="3">
        <f t="shared" si="6"/>
        <v>-0.00303597975</v>
      </c>
      <c r="I1874" s="5">
        <f t="shared" si="7"/>
        <v>1.430630495</v>
      </c>
    </row>
    <row r="1875">
      <c r="A1875" s="12">
        <f>IFERROR(__xludf.DUMMYFUNCTION("""COMPUTED_VALUE"""),44986.66666666667)</f>
        <v>44986.66667</v>
      </c>
      <c r="B1875" s="13">
        <f>IFERROR(__xludf.DUMMYFUNCTION("""COMPUTED_VALUE"""),3951.39)</f>
        <v>3951.39</v>
      </c>
      <c r="C1875" s="13">
        <f t="shared" si="1"/>
        <v>4043.76</v>
      </c>
      <c r="D1875" s="13">
        <f t="shared" si="2"/>
        <v>3975.24</v>
      </c>
      <c r="E1875" s="13" t="str">
        <f t="shared" si="3"/>
        <v>LONG</v>
      </c>
      <c r="F1875" s="3">
        <f t="shared" si="4"/>
        <v>-0.00472526227</v>
      </c>
      <c r="G1875" s="4">
        <f t="shared" si="5"/>
        <v>1.900291436</v>
      </c>
      <c r="H1875" s="3">
        <f t="shared" si="6"/>
        <v>-0.00472526227</v>
      </c>
      <c r="I1875" s="5">
        <f t="shared" si="7"/>
        <v>1.423870391</v>
      </c>
    </row>
    <row r="1876">
      <c r="A1876" s="12">
        <f>IFERROR(__xludf.DUMMYFUNCTION("""COMPUTED_VALUE"""),44987.66666666667)</f>
        <v>44987.66667</v>
      </c>
      <c r="B1876" s="13">
        <f>IFERROR(__xludf.DUMMYFUNCTION("""COMPUTED_VALUE"""),3981.35)</f>
        <v>3981.35</v>
      </c>
      <c r="C1876" s="13">
        <f t="shared" si="1"/>
        <v>4064.475</v>
      </c>
      <c r="D1876" s="13">
        <f t="shared" si="2"/>
        <v>3986.16</v>
      </c>
      <c r="E1876" s="13" t="str">
        <f t="shared" si="3"/>
        <v>LONG</v>
      </c>
      <c r="F1876" s="3">
        <f t="shared" si="4"/>
        <v>0.00758214198</v>
      </c>
      <c r="G1876" s="4">
        <f t="shared" si="5"/>
        <v>1.914699715</v>
      </c>
      <c r="H1876" s="3">
        <f t="shared" si="6"/>
        <v>0.00758214198</v>
      </c>
      <c r="I1876" s="5">
        <f t="shared" si="7"/>
        <v>1.434666379</v>
      </c>
    </row>
    <row r="1877">
      <c r="A1877" s="12">
        <f>IFERROR(__xludf.DUMMYFUNCTION("""COMPUTED_VALUE"""),44988.66666666667)</f>
        <v>44988.66667</v>
      </c>
      <c r="B1877" s="13">
        <f>IFERROR(__xludf.DUMMYFUNCTION("""COMPUTED_VALUE"""),4045.64)</f>
        <v>4045.64</v>
      </c>
      <c r="C1877" s="13">
        <f t="shared" si="1"/>
        <v>4068.025</v>
      </c>
      <c r="D1877" s="13">
        <f t="shared" si="2"/>
        <v>3987.25</v>
      </c>
      <c r="E1877" s="13" t="str">
        <f t="shared" si="3"/>
        <v>LONG</v>
      </c>
      <c r="F1877" s="3">
        <f t="shared" si="4"/>
        <v>0.01614778907</v>
      </c>
      <c r="G1877" s="4">
        <f t="shared" si="5"/>
        <v>1.945617882</v>
      </c>
      <c r="H1877" s="3">
        <f t="shared" si="6"/>
        <v>0.01614778907</v>
      </c>
      <c r="I1877" s="5">
        <f t="shared" si="7"/>
        <v>1.457833069</v>
      </c>
    </row>
    <row r="1878">
      <c r="A1878" s="12">
        <f>IFERROR(__xludf.DUMMYFUNCTION("""COMPUTED_VALUE"""),44991.66666666667)</f>
        <v>44991.66667</v>
      </c>
      <c r="B1878" s="13">
        <f>IFERROR(__xludf.DUMMYFUNCTION("""COMPUTED_VALUE"""),4048.42)</f>
        <v>4048.42</v>
      </c>
      <c r="C1878" s="13">
        <f t="shared" si="1"/>
        <v>4063.755</v>
      </c>
      <c r="D1878" s="13">
        <f t="shared" si="2"/>
        <v>3973.635</v>
      </c>
      <c r="E1878" s="13" t="str">
        <f t="shared" si="3"/>
        <v>LONG</v>
      </c>
      <c r="F1878" s="3">
        <f t="shared" si="4"/>
        <v>0.00068715951</v>
      </c>
      <c r="G1878" s="4">
        <f t="shared" si="5"/>
        <v>1.946954832</v>
      </c>
      <c r="H1878" s="3">
        <f t="shared" si="6"/>
        <v>0.00068715951</v>
      </c>
      <c r="I1878" s="5">
        <f t="shared" si="7"/>
        <v>1.458834832</v>
      </c>
    </row>
    <row r="1879">
      <c r="A1879" s="12">
        <f>IFERROR(__xludf.DUMMYFUNCTION("""COMPUTED_VALUE"""),44992.66666666667)</f>
        <v>44992.66667</v>
      </c>
      <c r="B1879" s="13">
        <f>IFERROR(__xludf.DUMMYFUNCTION("""COMPUTED_VALUE"""),3986.37)</f>
        <v>3986.37</v>
      </c>
      <c r="C1879" s="13">
        <f t="shared" si="1"/>
        <v>3991.855</v>
      </c>
      <c r="D1879" s="13">
        <f t="shared" si="2"/>
        <v>3979.49</v>
      </c>
      <c r="E1879" s="13" t="str">
        <f t="shared" si="3"/>
        <v>LONG</v>
      </c>
      <c r="F1879" s="3">
        <f t="shared" si="4"/>
        <v>-0.01532696706</v>
      </c>
      <c r="G1879" s="4">
        <f t="shared" si="5"/>
        <v>1.91711392</v>
      </c>
      <c r="H1879" s="3">
        <f t="shared" si="6"/>
        <v>-0.01532696706</v>
      </c>
      <c r="I1879" s="5">
        <f t="shared" si="7"/>
        <v>1.436475319</v>
      </c>
    </row>
    <row r="1880">
      <c r="A1880" s="12">
        <f>IFERROR(__xludf.DUMMYFUNCTION("""COMPUTED_VALUE"""),44993.66666666667)</f>
        <v>44993.66667</v>
      </c>
      <c r="B1880" s="13">
        <f>IFERROR(__xludf.DUMMYFUNCTION("""COMPUTED_VALUE"""),3992.01)</f>
        <v>3992.01</v>
      </c>
      <c r="C1880" s="13">
        <f t="shared" si="1"/>
        <v>3991.53</v>
      </c>
      <c r="D1880" s="13">
        <f t="shared" si="2"/>
        <v>4005.91</v>
      </c>
      <c r="E1880" s="13" t="str">
        <f t="shared" si="3"/>
        <v/>
      </c>
      <c r="F1880" s="3">
        <f t="shared" si="4"/>
        <v>0.001414821003</v>
      </c>
      <c r="G1880" s="4">
        <f t="shared" si="5"/>
        <v>1.919826293</v>
      </c>
      <c r="H1880" s="5">
        <f t="shared" si="6"/>
        <v>0</v>
      </c>
      <c r="I1880" s="5">
        <f t="shared" si="7"/>
        <v>1.436475319</v>
      </c>
    </row>
    <row r="1881">
      <c r="A1881" s="12">
        <f>IFERROR(__xludf.DUMMYFUNCTION("""COMPUTED_VALUE"""),44994.66666666667)</f>
        <v>44994.66667</v>
      </c>
      <c r="B1881" s="13">
        <f>IFERROR(__xludf.DUMMYFUNCTION("""COMPUTED_VALUE"""),3918.32)</f>
        <v>3918.32</v>
      </c>
      <c r="C1881" s="13">
        <f t="shared" si="1"/>
        <v>3965.32</v>
      </c>
      <c r="D1881" s="13">
        <f t="shared" si="2"/>
        <v>3967.635</v>
      </c>
      <c r="E1881" s="13" t="str">
        <f t="shared" si="3"/>
        <v/>
      </c>
      <c r="F1881" s="3">
        <f t="shared" si="4"/>
        <v>-0.0184593726</v>
      </c>
      <c r="G1881" s="4">
        <f t="shared" si="5"/>
        <v>1.884387504</v>
      </c>
      <c r="H1881" s="5">
        <f t="shared" si="6"/>
        <v>0</v>
      </c>
      <c r="I1881" s="5">
        <f t="shared" si="7"/>
        <v>1.436475319</v>
      </c>
    </row>
    <row r="1882">
      <c r="A1882" s="12">
        <f>IFERROR(__xludf.DUMMYFUNCTION("""COMPUTED_VALUE"""),44995.66666666667)</f>
        <v>44995.66667</v>
      </c>
      <c r="B1882" s="13">
        <f>IFERROR(__xludf.DUMMYFUNCTION("""COMPUTED_VALUE"""),3861.59)</f>
        <v>3861.59</v>
      </c>
      <c r="C1882" s="13">
        <f t="shared" si="1"/>
        <v>3915.815</v>
      </c>
      <c r="D1882" s="13">
        <f t="shared" si="2"/>
        <v>3938.905</v>
      </c>
      <c r="E1882" s="13" t="str">
        <f t="shared" si="3"/>
        <v/>
      </c>
      <c r="F1882" s="3">
        <f t="shared" si="4"/>
        <v>-0.01447814369</v>
      </c>
      <c r="G1882" s="4">
        <f t="shared" si="5"/>
        <v>1.857105071</v>
      </c>
      <c r="H1882" s="5">
        <f t="shared" si="6"/>
        <v>0</v>
      </c>
      <c r="I1882" s="5">
        <f t="shared" si="7"/>
        <v>1.436475319</v>
      </c>
    </row>
    <row r="1883">
      <c r="A1883" s="12">
        <f>IFERROR(__xludf.DUMMYFUNCTION("""COMPUTED_VALUE"""),44998.66666666667)</f>
        <v>44998.66667</v>
      </c>
      <c r="B1883" s="13">
        <f>IFERROR(__xludf.DUMMYFUNCTION("""COMPUTED_VALUE"""),3855.76)</f>
        <v>3855.76</v>
      </c>
      <c r="C1883" s="13">
        <f t="shared" si="1"/>
        <v>3919</v>
      </c>
      <c r="D1883" s="13">
        <f t="shared" si="2"/>
        <v>3958.095</v>
      </c>
      <c r="E1883" s="13" t="str">
        <f t="shared" si="3"/>
        <v/>
      </c>
      <c r="F1883" s="3">
        <f t="shared" si="4"/>
        <v>-0.001509740806</v>
      </c>
      <c r="G1883" s="4">
        <f t="shared" si="5"/>
        <v>1.854301323</v>
      </c>
      <c r="H1883" s="5">
        <f t="shared" si="6"/>
        <v>0</v>
      </c>
      <c r="I1883" s="5">
        <f t="shared" si="7"/>
        <v>1.436475319</v>
      </c>
    </row>
    <row r="1884">
      <c r="A1884" s="12">
        <f>IFERROR(__xludf.DUMMYFUNCTION("""COMPUTED_VALUE"""),44999.66666666667)</f>
        <v>44999.66667</v>
      </c>
      <c r="B1884" s="13">
        <f>IFERROR(__xludf.DUMMYFUNCTION("""COMPUTED_VALUE"""),3919.29)</f>
        <v>3919.29</v>
      </c>
      <c r="C1884" s="13">
        <f t="shared" si="1"/>
        <v>3944.72</v>
      </c>
      <c r="D1884" s="13">
        <f t="shared" si="2"/>
        <v>3994.925</v>
      </c>
      <c r="E1884" s="13" t="str">
        <f t="shared" si="3"/>
        <v/>
      </c>
      <c r="F1884" s="3">
        <f t="shared" si="4"/>
        <v>0.01647664792</v>
      </c>
      <c r="G1884" s="4">
        <f t="shared" si="5"/>
        <v>1.884853994</v>
      </c>
      <c r="H1884" s="5">
        <f t="shared" si="6"/>
        <v>0</v>
      </c>
      <c r="I1884" s="5">
        <f t="shared" si="7"/>
        <v>1.436475319</v>
      </c>
    </row>
    <row r="1885">
      <c r="A1885" s="12">
        <f>IFERROR(__xludf.DUMMYFUNCTION("""COMPUTED_VALUE"""),45000.66666666667)</f>
        <v>45000.66667</v>
      </c>
      <c r="B1885" s="13">
        <f>IFERROR(__xludf.DUMMYFUNCTION("""COMPUTED_VALUE"""),3891.93)</f>
        <v>3891.93</v>
      </c>
      <c r="C1885" s="13">
        <f t="shared" si="1"/>
        <v>3921.66</v>
      </c>
      <c r="D1885" s="13">
        <f t="shared" si="2"/>
        <v>3954.85</v>
      </c>
      <c r="E1885" s="13" t="str">
        <f t="shared" si="3"/>
        <v/>
      </c>
      <c r="F1885" s="3">
        <f t="shared" si="4"/>
        <v>-0.006980856227</v>
      </c>
      <c r="G1885" s="4">
        <f t="shared" si="5"/>
        <v>1.871696099</v>
      </c>
      <c r="H1885" s="5">
        <f t="shared" si="6"/>
        <v>0</v>
      </c>
      <c r="I1885" s="5">
        <f t="shared" si="7"/>
        <v>1.436475319</v>
      </c>
    </row>
    <row r="1886">
      <c r="A1886" s="12">
        <f>IFERROR(__xludf.DUMMYFUNCTION("""COMPUTED_VALUE"""),45001.66666666667)</f>
        <v>45001.66667</v>
      </c>
      <c r="B1886" s="13">
        <f>IFERROR(__xludf.DUMMYFUNCTION("""COMPUTED_VALUE"""),3960.28)</f>
        <v>3960.28</v>
      </c>
      <c r="C1886" s="13">
        <f t="shared" si="1"/>
        <v>3970.815</v>
      </c>
      <c r="D1886" s="13">
        <f t="shared" si="2"/>
        <v>4018.44</v>
      </c>
      <c r="E1886" s="13" t="str">
        <f t="shared" si="3"/>
        <v/>
      </c>
      <c r="F1886" s="3">
        <f t="shared" si="4"/>
        <v>0.01756198082</v>
      </c>
      <c r="G1886" s="4">
        <f t="shared" si="5"/>
        <v>1.90456679</v>
      </c>
      <c r="H1886" s="5">
        <f t="shared" si="6"/>
        <v>0</v>
      </c>
      <c r="I1886" s="5">
        <f t="shared" si="7"/>
        <v>1.436475319</v>
      </c>
    </row>
    <row r="1887">
      <c r="A1887" s="12">
        <f>IFERROR(__xludf.DUMMYFUNCTION("""COMPUTED_VALUE"""),45002.66666666667)</f>
        <v>45002.66667</v>
      </c>
      <c r="B1887" s="13">
        <f>IFERROR(__xludf.DUMMYFUNCTION("""COMPUTED_VALUE"""),3916.64)</f>
        <v>3916.64</v>
      </c>
      <c r="C1887" s="13">
        <f t="shared" si="1"/>
        <v>3981.14</v>
      </c>
      <c r="D1887" s="13">
        <f t="shared" si="2"/>
        <v>4017.925</v>
      </c>
      <c r="E1887" s="13" t="str">
        <f t="shared" si="3"/>
        <v/>
      </c>
      <c r="F1887" s="3">
        <f t="shared" si="4"/>
        <v>-0.01101942287</v>
      </c>
      <c r="G1887" s="4">
        <f t="shared" si="5"/>
        <v>1.883579563</v>
      </c>
      <c r="H1887" s="5">
        <f t="shared" si="6"/>
        <v>0</v>
      </c>
      <c r="I1887" s="5">
        <f t="shared" si="7"/>
        <v>1.436475319</v>
      </c>
    </row>
    <row r="1888">
      <c r="A1888" s="12">
        <f>IFERROR(__xludf.DUMMYFUNCTION("""COMPUTED_VALUE"""),45005.66666666667)</f>
        <v>45005.66667</v>
      </c>
      <c r="B1888" s="13">
        <f>IFERROR(__xludf.DUMMYFUNCTION("""COMPUTED_VALUE"""),3951.57)</f>
        <v>3951.57</v>
      </c>
      <c r="C1888" s="13">
        <f t="shared" si="1"/>
        <v>3999.995</v>
      </c>
      <c r="D1888" s="13">
        <f t="shared" si="2"/>
        <v>4065.665</v>
      </c>
      <c r="E1888" s="13" t="str">
        <f t="shared" si="3"/>
        <v/>
      </c>
      <c r="F1888" s="3">
        <f t="shared" si="4"/>
        <v>0.008918358593</v>
      </c>
      <c r="G1888" s="4">
        <f t="shared" si="5"/>
        <v>1.900378001</v>
      </c>
      <c r="H1888" s="5">
        <f t="shared" si="6"/>
        <v>0</v>
      </c>
      <c r="I1888" s="5">
        <f t="shared" si="7"/>
        <v>1.436475319</v>
      </c>
    </row>
    <row r="1889">
      <c r="A1889" s="12">
        <f>IFERROR(__xludf.DUMMYFUNCTION("""COMPUTED_VALUE"""),45006.66666666667)</f>
        <v>45006.66667</v>
      </c>
      <c r="B1889" s="13">
        <f>IFERROR(__xludf.DUMMYFUNCTION("""COMPUTED_VALUE"""),4002.87)</f>
        <v>4002.87</v>
      </c>
      <c r="C1889" s="13">
        <f t="shared" si="1"/>
        <v>3994.62</v>
      </c>
      <c r="D1889" s="13">
        <f t="shared" si="2"/>
        <v>4069.675</v>
      </c>
      <c r="E1889" s="13" t="str">
        <f t="shared" si="3"/>
        <v/>
      </c>
      <c r="F1889" s="3">
        <f t="shared" si="4"/>
        <v>0.01298218177</v>
      </c>
      <c r="G1889" s="4">
        <f t="shared" si="5"/>
        <v>1.925049054</v>
      </c>
      <c r="H1889" s="5">
        <f t="shared" si="6"/>
        <v>0</v>
      </c>
      <c r="I1889" s="5">
        <f t="shared" si="7"/>
        <v>1.436475319</v>
      </c>
    </row>
    <row r="1890">
      <c r="A1890" s="12">
        <f>IFERROR(__xludf.DUMMYFUNCTION("""COMPUTED_VALUE"""),45007.66666666667)</f>
        <v>45007.66667</v>
      </c>
      <c r="B1890" s="13">
        <f>IFERROR(__xludf.DUMMYFUNCTION("""COMPUTED_VALUE"""),3936.97)</f>
        <v>3936.97</v>
      </c>
      <c r="C1890" s="13">
        <f t="shared" si="1"/>
        <v>3964.49</v>
      </c>
      <c r="D1890" s="13">
        <f t="shared" si="2"/>
        <v>4024.025</v>
      </c>
      <c r="E1890" s="13" t="str">
        <f t="shared" si="3"/>
        <v/>
      </c>
      <c r="F1890" s="3">
        <f t="shared" si="4"/>
        <v>-0.01646318766</v>
      </c>
      <c r="G1890" s="4">
        <f t="shared" si="5"/>
        <v>1.89335661</v>
      </c>
      <c r="H1890" s="5">
        <f t="shared" si="6"/>
        <v>0</v>
      </c>
      <c r="I1890" s="5">
        <f t="shared" si="7"/>
        <v>1.436475319</v>
      </c>
    </row>
    <row r="1891">
      <c r="A1891" s="12">
        <f>IFERROR(__xludf.DUMMYFUNCTION("""COMPUTED_VALUE"""),45008.66666666667)</f>
        <v>45008.66667</v>
      </c>
      <c r="B1891" s="13">
        <f>IFERROR(__xludf.DUMMYFUNCTION("""COMPUTED_VALUE"""),3948.72)</f>
        <v>3948.72</v>
      </c>
      <c r="C1891" s="13">
        <f t="shared" si="1"/>
        <v>3933.52</v>
      </c>
      <c r="D1891" s="13">
        <f t="shared" si="2"/>
        <v>4056.36</v>
      </c>
      <c r="E1891" s="13" t="str">
        <f t="shared" si="3"/>
        <v/>
      </c>
      <c r="F1891" s="3">
        <f t="shared" si="4"/>
        <v>0.002984528711</v>
      </c>
      <c r="G1891" s="4">
        <f t="shared" si="5"/>
        <v>1.899007387</v>
      </c>
      <c r="H1891" s="5">
        <f t="shared" si="6"/>
        <v>0</v>
      </c>
      <c r="I1891" s="5">
        <f t="shared" si="7"/>
        <v>1.436475319</v>
      </c>
    </row>
    <row r="1892">
      <c r="A1892" s="12">
        <f>IFERROR(__xludf.DUMMYFUNCTION("""COMPUTED_VALUE"""),45009.66666666667)</f>
        <v>45009.66667</v>
      </c>
      <c r="B1892" s="13">
        <f>IFERROR(__xludf.DUMMYFUNCTION("""COMPUTED_VALUE"""),3970.99)</f>
        <v>3970.99</v>
      </c>
      <c r="C1892" s="13">
        <f t="shared" si="1"/>
        <v>3916.29</v>
      </c>
      <c r="D1892" s="13">
        <f t="shared" si="2"/>
        <v>4044.425</v>
      </c>
      <c r="E1892" s="13" t="str">
        <f t="shared" si="3"/>
        <v/>
      </c>
      <c r="F1892" s="3">
        <f t="shared" si="4"/>
        <v>0.005639802265</v>
      </c>
      <c r="G1892" s="4">
        <f t="shared" si="5"/>
        <v>1.909717413</v>
      </c>
      <c r="H1892" s="5">
        <f t="shared" si="6"/>
        <v>0</v>
      </c>
      <c r="I1892" s="5">
        <f t="shared" si="7"/>
        <v>1.436475319</v>
      </c>
    </row>
    <row r="1893">
      <c r="A1893" s="12">
        <f>IFERROR(__xludf.DUMMYFUNCTION("""COMPUTED_VALUE"""),45012.66666666667)</f>
        <v>45012.66667</v>
      </c>
      <c r="B1893" s="13">
        <f>IFERROR(__xludf.DUMMYFUNCTION("""COMPUTED_VALUE"""),3977.53)</f>
        <v>3977.53</v>
      </c>
      <c r="C1893" s="13">
        <f t="shared" si="1"/>
        <v>3916.645</v>
      </c>
      <c r="D1893" s="13">
        <f t="shared" si="2"/>
        <v>4029.515</v>
      </c>
      <c r="E1893" s="13" t="str">
        <f t="shared" si="3"/>
        <v/>
      </c>
      <c r="F1893" s="3">
        <f t="shared" si="4"/>
        <v>0.001646944465</v>
      </c>
      <c r="G1893" s="4">
        <f t="shared" si="5"/>
        <v>1.912862612</v>
      </c>
      <c r="H1893" s="5">
        <f t="shared" si="6"/>
        <v>0</v>
      </c>
      <c r="I1893" s="5">
        <f t="shared" si="7"/>
        <v>1.436475319</v>
      </c>
    </row>
    <row r="1894">
      <c r="A1894" s="12">
        <f>IFERROR(__xludf.DUMMYFUNCTION("""COMPUTED_VALUE"""),45013.66666666667)</f>
        <v>45013.66667</v>
      </c>
      <c r="B1894" s="13">
        <f>IFERROR(__xludf.DUMMYFUNCTION("""COMPUTED_VALUE"""),3971.27)</f>
        <v>3971.27</v>
      </c>
      <c r="C1894" s="13">
        <f t="shared" si="1"/>
        <v>3945.28</v>
      </c>
      <c r="D1894" s="13">
        <f t="shared" si="2"/>
        <v>4030.865</v>
      </c>
      <c r="E1894" s="13" t="str">
        <f t="shared" si="3"/>
        <v/>
      </c>
      <c r="F1894" s="3">
        <f t="shared" si="4"/>
        <v>-0.001573841052</v>
      </c>
      <c r="G1894" s="4">
        <f t="shared" si="5"/>
        <v>1.90985207</v>
      </c>
      <c r="H1894" s="5">
        <f t="shared" si="6"/>
        <v>0</v>
      </c>
      <c r="I1894" s="5">
        <f t="shared" si="7"/>
        <v>1.436475319</v>
      </c>
    </row>
    <row r="1895">
      <c r="A1895" s="12">
        <f>IFERROR(__xludf.DUMMYFUNCTION("""COMPUTED_VALUE"""),45014.66666666667)</f>
        <v>45014.66667</v>
      </c>
      <c r="B1895" s="13">
        <f>IFERROR(__xludf.DUMMYFUNCTION("""COMPUTED_VALUE"""),4027.81)</f>
        <v>4027.81</v>
      </c>
      <c r="C1895" s="13">
        <f t="shared" si="1"/>
        <v>3959.87</v>
      </c>
      <c r="D1895" s="13">
        <f t="shared" si="2"/>
        <v>4082.55</v>
      </c>
      <c r="E1895" s="13" t="str">
        <f t="shared" si="3"/>
        <v/>
      </c>
      <c r="F1895" s="3">
        <f t="shared" si="4"/>
        <v>0.01423725911</v>
      </c>
      <c r="G1895" s="4">
        <f t="shared" si="5"/>
        <v>1.937043129</v>
      </c>
      <c r="H1895" s="5">
        <f t="shared" si="6"/>
        <v>0</v>
      </c>
      <c r="I1895" s="5">
        <f t="shared" si="7"/>
        <v>1.436475319</v>
      </c>
    </row>
    <row r="1896">
      <c r="A1896" s="12">
        <f>IFERROR(__xludf.DUMMYFUNCTION("""COMPUTED_VALUE"""),45015.66666666667)</f>
        <v>45015.66667</v>
      </c>
      <c r="B1896" s="13">
        <f>IFERROR(__xludf.DUMMYFUNCTION("""COMPUTED_VALUE"""),4050.83)</f>
        <v>4050.83</v>
      </c>
      <c r="C1896" s="13">
        <f t="shared" si="1"/>
        <v>4005.555</v>
      </c>
      <c r="D1896" s="13">
        <f t="shared" si="2"/>
        <v>4093.48</v>
      </c>
      <c r="E1896" s="13" t="str">
        <f t="shared" si="3"/>
        <v/>
      </c>
      <c r="F1896" s="3">
        <f t="shared" si="4"/>
        <v>0.005715264623</v>
      </c>
      <c r="G1896" s="4">
        <f t="shared" si="5"/>
        <v>1.948113843</v>
      </c>
      <c r="H1896" s="5">
        <f t="shared" si="6"/>
        <v>0</v>
      </c>
      <c r="I1896" s="5">
        <f t="shared" si="7"/>
        <v>1.436475319</v>
      </c>
    </row>
    <row r="1897">
      <c r="A1897" s="12">
        <f>IFERROR(__xludf.DUMMYFUNCTION("""COMPUTED_VALUE"""),45016.66666666667)</f>
        <v>45016.66667</v>
      </c>
      <c r="B1897" s="13">
        <f>IFERROR(__xludf.DUMMYFUNCTION("""COMPUTED_VALUE"""),4109.31)</f>
        <v>4109.31</v>
      </c>
      <c r="C1897" s="13">
        <f t="shared" si="1"/>
        <v>4012.975</v>
      </c>
      <c r="D1897" s="13">
        <f t="shared" si="2"/>
        <v>4128.455</v>
      </c>
      <c r="E1897" s="13" t="str">
        <f t="shared" si="3"/>
        <v/>
      </c>
      <c r="F1897" s="3">
        <f t="shared" si="4"/>
        <v>0.01443654757</v>
      </c>
      <c r="G1897" s="4">
        <f t="shared" si="5"/>
        <v>1.976237881</v>
      </c>
      <c r="H1897" s="5">
        <f t="shared" si="6"/>
        <v>0</v>
      </c>
      <c r="I1897" s="5">
        <f t="shared" si="7"/>
        <v>1.436475319</v>
      </c>
    </row>
    <row r="1898">
      <c r="A1898" s="12">
        <f>IFERROR(__xludf.DUMMYFUNCTION("""COMPUTED_VALUE"""),45019.66666666667)</f>
        <v>45019.66667</v>
      </c>
      <c r="B1898" s="13">
        <f>IFERROR(__xludf.DUMMYFUNCTION("""COMPUTED_VALUE"""),4124.51)</f>
        <v>4124.51</v>
      </c>
      <c r="C1898" s="13">
        <f t="shared" si="1"/>
        <v>4038.04</v>
      </c>
      <c r="D1898" s="13">
        <f t="shared" si="2"/>
        <v>4107.46</v>
      </c>
      <c r="E1898" s="13" t="str">
        <f t="shared" si="3"/>
        <v/>
      </c>
      <c r="F1898" s="3">
        <f t="shared" si="4"/>
        <v>0.003698917823</v>
      </c>
      <c r="G1898" s="4">
        <f t="shared" si="5"/>
        <v>1.983547822</v>
      </c>
      <c r="H1898" s="5">
        <f t="shared" si="6"/>
        <v>0</v>
      </c>
      <c r="I1898" s="5">
        <f t="shared" si="7"/>
        <v>1.436475319</v>
      </c>
    </row>
    <row r="1899">
      <c r="A1899" s="12">
        <f>IFERROR(__xludf.DUMMYFUNCTION("""COMPUTED_VALUE"""),45020.66666666667)</f>
        <v>45020.66667</v>
      </c>
      <c r="B1899" s="13">
        <f>IFERROR(__xludf.DUMMYFUNCTION("""COMPUTED_VALUE"""),4100.6)</f>
        <v>4100.6</v>
      </c>
      <c r="C1899" s="13">
        <f t="shared" si="1"/>
        <v>4051.735</v>
      </c>
      <c r="D1899" s="13">
        <f t="shared" si="2"/>
        <v>4089.845</v>
      </c>
      <c r="E1899" s="13" t="str">
        <f t="shared" si="3"/>
        <v/>
      </c>
      <c r="F1899" s="3">
        <f t="shared" si="4"/>
        <v>-0.005797052256</v>
      </c>
      <c r="G1899" s="4">
        <f t="shared" si="5"/>
        <v>1.972049092</v>
      </c>
      <c r="H1899" s="5">
        <f t="shared" si="6"/>
        <v>0</v>
      </c>
      <c r="I1899" s="5">
        <f t="shared" si="7"/>
        <v>1.436475319</v>
      </c>
    </row>
    <row r="1900">
      <c r="A1900" s="12">
        <f>IFERROR(__xludf.DUMMYFUNCTION("""COMPUTED_VALUE"""),45021.66666666667)</f>
        <v>45021.66667</v>
      </c>
      <c r="B1900" s="13">
        <f>IFERROR(__xludf.DUMMYFUNCTION("""COMPUTED_VALUE"""),4090.38)</f>
        <v>4090.38</v>
      </c>
      <c r="C1900" s="13">
        <f t="shared" si="1"/>
        <v>4013.675</v>
      </c>
      <c r="D1900" s="13">
        <f t="shared" si="2"/>
        <v>4043.86</v>
      </c>
      <c r="E1900" s="13" t="str">
        <f t="shared" si="3"/>
        <v/>
      </c>
      <c r="F1900" s="3">
        <f t="shared" si="4"/>
        <v>-0.002492318197</v>
      </c>
      <c r="G1900" s="4">
        <f t="shared" si="5"/>
        <v>1.967134118</v>
      </c>
      <c r="H1900" s="5">
        <f t="shared" si="6"/>
        <v>0</v>
      </c>
      <c r="I1900" s="5">
        <f t="shared" si="7"/>
        <v>1.436475319</v>
      </c>
    </row>
    <row r="1901">
      <c r="A1901" s="12">
        <f>IFERROR(__xludf.DUMMYFUNCTION("""COMPUTED_VALUE"""),45022.66666666667)</f>
        <v>45022.66667</v>
      </c>
      <c r="B1901" s="13">
        <f>IFERROR(__xludf.DUMMYFUNCTION("""COMPUTED_VALUE"""),4105.02)</f>
        <v>4105.02</v>
      </c>
      <c r="C1901" s="13">
        <f t="shared" si="1"/>
        <v>4026.87</v>
      </c>
      <c r="D1901" s="13">
        <f t="shared" si="2"/>
        <v>4048.035</v>
      </c>
      <c r="E1901" s="13" t="str">
        <f t="shared" si="3"/>
        <v/>
      </c>
      <c r="F1901" s="3">
        <f t="shared" si="4"/>
        <v>0.003579129567</v>
      </c>
      <c r="G1901" s="4">
        <f t="shared" si="5"/>
        <v>1.974174746</v>
      </c>
      <c r="H1901" s="5">
        <f t="shared" si="6"/>
        <v>0</v>
      </c>
      <c r="I1901" s="5">
        <f t="shared" si="7"/>
        <v>1.436475319</v>
      </c>
    </row>
    <row r="1902">
      <c r="A1902" s="12">
        <f>IFERROR(__xludf.DUMMYFUNCTION("""COMPUTED_VALUE"""),45026.66666666667)</f>
        <v>45026.66667</v>
      </c>
      <c r="B1902" s="13">
        <f>IFERROR(__xludf.DUMMYFUNCTION("""COMPUTED_VALUE"""),4109.11)</f>
        <v>4109.11</v>
      </c>
      <c r="C1902" s="13">
        <f t="shared" si="1"/>
        <v>4040.05</v>
      </c>
      <c r="D1902" s="13">
        <f t="shared" si="2"/>
        <v>4060.715</v>
      </c>
      <c r="E1902" s="13" t="str">
        <f t="shared" si="3"/>
        <v/>
      </c>
      <c r="F1902" s="3">
        <f t="shared" si="4"/>
        <v>0.0009963410653</v>
      </c>
      <c r="G1902" s="4">
        <f t="shared" si="5"/>
        <v>1.976141697</v>
      </c>
      <c r="H1902" s="5">
        <f t="shared" si="6"/>
        <v>0</v>
      </c>
      <c r="I1902" s="5">
        <f t="shared" si="7"/>
        <v>1.436475319</v>
      </c>
    </row>
    <row r="1903">
      <c r="A1903" s="12">
        <f>IFERROR(__xludf.DUMMYFUNCTION("""COMPUTED_VALUE"""),45027.66666666667)</f>
        <v>45027.66667</v>
      </c>
      <c r="B1903" s="13">
        <f>IFERROR(__xludf.DUMMYFUNCTION("""COMPUTED_VALUE"""),4108.94)</f>
        <v>4108.94</v>
      </c>
      <c r="C1903" s="13">
        <f t="shared" si="1"/>
        <v>4043.235</v>
      </c>
      <c r="D1903" s="13">
        <f t="shared" si="2"/>
        <v>4039.49</v>
      </c>
      <c r="E1903" s="13" t="str">
        <f t="shared" si="3"/>
        <v>LONG</v>
      </c>
      <c r="F1903" s="3">
        <f t="shared" si="4"/>
        <v>-0.0000413714892</v>
      </c>
      <c r="G1903" s="4">
        <f t="shared" si="5"/>
        <v>1.976059942</v>
      </c>
      <c r="H1903" s="3">
        <f t="shared" si="6"/>
        <v>-0.0000413714892</v>
      </c>
      <c r="I1903" s="5">
        <f t="shared" si="7"/>
        <v>1.43641589</v>
      </c>
    </row>
    <row r="1904">
      <c r="A1904" s="12">
        <f>IFERROR(__xludf.DUMMYFUNCTION("""COMPUTED_VALUE"""),45028.66666666667)</f>
        <v>45028.66667</v>
      </c>
      <c r="B1904" s="13">
        <f>IFERROR(__xludf.DUMMYFUNCTION("""COMPUTED_VALUE"""),4091.95)</f>
        <v>4091.95</v>
      </c>
      <c r="C1904" s="13">
        <f t="shared" si="1"/>
        <v>4031.61</v>
      </c>
      <c r="D1904" s="13">
        <f t="shared" si="2"/>
        <v>4037.095</v>
      </c>
      <c r="E1904" s="13" t="str">
        <f t="shared" si="3"/>
        <v/>
      </c>
      <c r="F1904" s="3">
        <f t="shared" si="4"/>
        <v>-0.00413488637</v>
      </c>
      <c r="G1904" s="4">
        <f t="shared" si="5"/>
        <v>1.967889158</v>
      </c>
      <c r="H1904" s="5">
        <f t="shared" si="6"/>
        <v>0</v>
      </c>
      <c r="I1904" s="5">
        <f t="shared" si="7"/>
        <v>1.43641589</v>
      </c>
    </row>
    <row r="1905">
      <c r="A1905" s="12">
        <f>IFERROR(__xludf.DUMMYFUNCTION("""COMPUTED_VALUE"""),45029.66666666667)</f>
        <v>45029.66667</v>
      </c>
      <c r="B1905" s="13">
        <f>IFERROR(__xludf.DUMMYFUNCTION("""COMPUTED_VALUE"""),4146.22)</f>
        <v>4146.22</v>
      </c>
      <c r="C1905" s="13">
        <f t="shared" si="1"/>
        <v>4087.015</v>
      </c>
      <c r="D1905" s="13">
        <f t="shared" si="2"/>
        <v>4058.185</v>
      </c>
      <c r="E1905" s="13" t="str">
        <f t="shared" si="3"/>
        <v>LONG</v>
      </c>
      <c r="F1905" s="3">
        <f t="shared" si="4"/>
        <v>0.0132626254</v>
      </c>
      <c r="G1905" s="4">
        <f t="shared" si="5"/>
        <v>1.993988535</v>
      </c>
      <c r="H1905" s="3">
        <f t="shared" si="6"/>
        <v>0.0132626254</v>
      </c>
      <c r="I1905" s="5">
        <f t="shared" si="7"/>
        <v>1.455466536</v>
      </c>
    </row>
    <row r="1906">
      <c r="A1906" s="12">
        <f>IFERROR(__xludf.DUMMYFUNCTION("""COMPUTED_VALUE"""),45030.66666666667)</f>
        <v>45030.66667</v>
      </c>
      <c r="B1906" s="13">
        <f>IFERROR(__xludf.DUMMYFUNCTION("""COMPUTED_VALUE"""),4137.64)</f>
        <v>4137.64</v>
      </c>
      <c r="C1906" s="13">
        <f t="shared" si="1"/>
        <v>4094.235</v>
      </c>
      <c r="D1906" s="13">
        <f t="shared" si="2"/>
        <v>4044.515</v>
      </c>
      <c r="E1906" s="13" t="str">
        <f t="shared" si="3"/>
        <v>LONG</v>
      </c>
      <c r="F1906" s="3">
        <f t="shared" si="4"/>
        <v>-0.002069354738</v>
      </c>
      <c r="G1906" s="4">
        <f t="shared" si="5"/>
        <v>1.989862265</v>
      </c>
      <c r="H1906" s="3">
        <f t="shared" si="6"/>
        <v>-0.002069354738</v>
      </c>
      <c r="I1906" s="5">
        <f t="shared" si="7"/>
        <v>1.452454659</v>
      </c>
    </row>
    <row r="1907">
      <c r="A1907" s="12">
        <f>IFERROR(__xludf.DUMMYFUNCTION("""COMPUTED_VALUE"""),45033.66666666667)</f>
        <v>45033.66667</v>
      </c>
      <c r="B1907" s="13">
        <f>IFERROR(__xludf.DUMMYFUNCTION("""COMPUTED_VALUE"""),4151.32)</f>
        <v>4151.32</v>
      </c>
      <c r="C1907" s="13">
        <f t="shared" si="1"/>
        <v>4130.315</v>
      </c>
      <c r="D1907" s="13">
        <f t="shared" si="2"/>
        <v>4066.335</v>
      </c>
      <c r="E1907" s="13" t="str">
        <f t="shared" si="3"/>
        <v>LONG</v>
      </c>
      <c r="F1907" s="3">
        <f t="shared" si="4"/>
        <v>0.003306232538</v>
      </c>
      <c r="G1907" s="4">
        <f t="shared" si="5"/>
        <v>1.996441213</v>
      </c>
      <c r="H1907" s="3">
        <f t="shared" si="6"/>
        <v>0.003306232538</v>
      </c>
      <c r="I1907" s="5">
        <f t="shared" si="7"/>
        <v>1.457256812</v>
      </c>
    </row>
    <row r="1908">
      <c r="A1908" s="12">
        <f>IFERROR(__xludf.DUMMYFUNCTION("""COMPUTED_VALUE"""),45034.66666666667)</f>
        <v>45034.66667</v>
      </c>
      <c r="B1908" s="13">
        <f>IFERROR(__xludf.DUMMYFUNCTION("""COMPUTED_VALUE"""),4154.87)</f>
        <v>4154.87</v>
      </c>
      <c r="C1908" s="13">
        <f t="shared" si="1"/>
        <v>4139.69</v>
      </c>
      <c r="D1908" s="13">
        <f t="shared" si="2"/>
        <v>4100.255</v>
      </c>
      <c r="E1908" s="13" t="str">
        <f t="shared" si="3"/>
        <v>LONG</v>
      </c>
      <c r="F1908" s="3">
        <f t="shared" si="4"/>
        <v>0.0008551496873</v>
      </c>
      <c r="G1908" s="4">
        <f t="shared" si="5"/>
        <v>1.998148469</v>
      </c>
      <c r="H1908" s="3">
        <f t="shared" si="6"/>
        <v>0.0008551496873</v>
      </c>
      <c r="I1908" s="5">
        <f t="shared" si="7"/>
        <v>1.458502985</v>
      </c>
    </row>
    <row r="1909">
      <c r="A1909" s="12">
        <f>IFERROR(__xludf.DUMMYFUNCTION("""COMPUTED_VALUE"""),45035.66666666667)</f>
        <v>45035.66667</v>
      </c>
      <c r="B1909" s="13">
        <f>IFERROR(__xludf.DUMMYFUNCTION("""COMPUTED_VALUE"""),4154.52)</f>
        <v>4154.52</v>
      </c>
      <c r="C1909" s="13">
        <f t="shared" si="1"/>
        <v>4127.56</v>
      </c>
      <c r="D1909" s="13">
        <f t="shared" si="2"/>
        <v>4101.47</v>
      </c>
      <c r="E1909" s="13" t="str">
        <f t="shared" si="3"/>
        <v>LONG</v>
      </c>
      <c r="F1909" s="3">
        <f t="shared" si="4"/>
        <v>-0.00008423849603</v>
      </c>
      <c r="G1909" s="4">
        <f t="shared" si="5"/>
        <v>1.997980148</v>
      </c>
      <c r="H1909" s="3">
        <f t="shared" si="6"/>
        <v>-0.00008423849603</v>
      </c>
      <c r="I1909" s="5">
        <f t="shared" si="7"/>
        <v>1.458380123</v>
      </c>
    </row>
    <row r="1910">
      <c r="A1910" s="12">
        <f>IFERROR(__xludf.DUMMYFUNCTION("""COMPUTED_VALUE"""),45036.66666666667)</f>
        <v>45036.66667</v>
      </c>
      <c r="B1910" s="13">
        <f>IFERROR(__xludf.DUMMYFUNCTION("""COMPUTED_VALUE"""),4129.79)</f>
        <v>4129.79</v>
      </c>
      <c r="C1910" s="13">
        <f t="shared" si="1"/>
        <v>4110.085</v>
      </c>
      <c r="D1910" s="13">
        <f t="shared" si="2"/>
        <v>4058.08</v>
      </c>
      <c r="E1910" s="13" t="str">
        <f t="shared" si="3"/>
        <v>LONG</v>
      </c>
      <c r="F1910" s="3">
        <f t="shared" si="4"/>
        <v>-0.005952552882</v>
      </c>
      <c r="G1910" s="4">
        <f t="shared" si="5"/>
        <v>1.986087065</v>
      </c>
      <c r="H1910" s="3">
        <f t="shared" si="6"/>
        <v>-0.005952552882</v>
      </c>
      <c r="I1910" s="5">
        <f t="shared" si="7"/>
        <v>1.449699038</v>
      </c>
    </row>
    <row r="1911">
      <c r="A1911" s="12">
        <f>IFERROR(__xludf.DUMMYFUNCTION("""COMPUTED_VALUE"""),45037.66666666667)</f>
        <v>45037.66667</v>
      </c>
      <c r="B1911" s="13">
        <f>IFERROR(__xludf.DUMMYFUNCTION("""COMPUTED_VALUE"""),4133.52)</f>
        <v>4133.52</v>
      </c>
      <c r="C1911" s="13">
        <f t="shared" si="1"/>
        <v>4119.27</v>
      </c>
      <c r="D1911" s="13">
        <f t="shared" si="2"/>
        <v>4062.765</v>
      </c>
      <c r="E1911" s="13" t="str">
        <f t="shared" si="3"/>
        <v>LONG</v>
      </c>
      <c r="F1911" s="3">
        <f t="shared" si="4"/>
        <v>0.0009031936249</v>
      </c>
      <c r="G1911" s="4">
        <f t="shared" si="5"/>
        <v>1.987880886</v>
      </c>
      <c r="H1911" s="3">
        <f t="shared" si="6"/>
        <v>0.0009031936249</v>
      </c>
      <c r="I1911" s="5">
        <f t="shared" si="7"/>
        <v>1.451008397</v>
      </c>
    </row>
    <row r="1912">
      <c r="A1912" s="12">
        <f>IFERROR(__xludf.DUMMYFUNCTION("""COMPUTED_VALUE"""),45040.66666666667)</f>
        <v>45040.66667</v>
      </c>
      <c r="B1912" s="13">
        <f>IFERROR(__xludf.DUMMYFUNCTION("""COMPUTED_VALUE"""),4137.04)</f>
        <v>4137.04</v>
      </c>
      <c r="C1912" s="13">
        <f t="shared" si="1"/>
        <v>4123.075</v>
      </c>
      <c r="D1912" s="13">
        <f t="shared" si="2"/>
        <v>4027.68</v>
      </c>
      <c r="E1912" s="13" t="str">
        <f t="shared" si="3"/>
        <v>LONG</v>
      </c>
      <c r="F1912" s="3">
        <f t="shared" si="4"/>
        <v>0.000851574445</v>
      </c>
      <c r="G1912" s="4">
        <f t="shared" si="5"/>
        <v>1.989573715</v>
      </c>
      <c r="H1912" s="3">
        <f t="shared" si="6"/>
        <v>0.000851574445</v>
      </c>
      <c r="I1912" s="5">
        <f t="shared" si="7"/>
        <v>1.452244038</v>
      </c>
    </row>
    <row r="1913">
      <c r="A1913" s="12">
        <f>IFERROR(__xludf.DUMMYFUNCTION("""COMPUTED_VALUE"""),45041.66666666667)</f>
        <v>45041.66667</v>
      </c>
      <c r="B1913" s="13">
        <f>IFERROR(__xludf.DUMMYFUNCTION("""COMPUTED_VALUE"""),4071.63)</f>
        <v>4071.63</v>
      </c>
      <c r="C1913" s="13">
        <f t="shared" si="1"/>
        <v>4090.285</v>
      </c>
      <c r="D1913" s="13">
        <f t="shared" si="2"/>
        <v>3966.61</v>
      </c>
      <c r="E1913" s="13" t="str">
        <f t="shared" si="3"/>
        <v>LONG</v>
      </c>
      <c r="F1913" s="3">
        <f t="shared" si="4"/>
        <v>-0.01581082126</v>
      </c>
      <c r="G1913" s="4">
        <f t="shared" si="5"/>
        <v>1.958116921</v>
      </c>
      <c r="H1913" s="3">
        <f t="shared" si="6"/>
        <v>-0.01581082126</v>
      </c>
      <c r="I1913" s="5">
        <f t="shared" si="7"/>
        <v>1.429282868</v>
      </c>
    </row>
    <row r="1914">
      <c r="A1914" s="12">
        <f>IFERROR(__xludf.DUMMYFUNCTION("""COMPUTED_VALUE"""),45042.66666666667)</f>
        <v>45042.66667</v>
      </c>
      <c r="B1914" s="13">
        <f>IFERROR(__xludf.DUMMYFUNCTION("""COMPUTED_VALUE"""),4055.99)</f>
        <v>4055.99</v>
      </c>
      <c r="C1914" s="13">
        <f t="shared" si="1"/>
        <v>4073.97</v>
      </c>
      <c r="D1914" s="13">
        <f t="shared" si="2"/>
        <v>3955.875</v>
      </c>
      <c r="E1914" s="13" t="str">
        <f t="shared" si="3"/>
        <v>LONG</v>
      </c>
      <c r="F1914" s="3">
        <f t="shared" si="4"/>
        <v>-0.00384121347</v>
      </c>
      <c r="G1914" s="4">
        <f t="shared" si="5"/>
        <v>1.950595376</v>
      </c>
      <c r="H1914" s="3">
        <f t="shared" si="6"/>
        <v>-0.00384121347</v>
      </c>
      <c r="I1914" s="5">
        <f t="shared" si="7"/>
        <v>1.423792687</v>
      </c>
    </row>
    <row r="1915">
      <c r="A1915" s="12">
        <f>IFERROR(__xludf.DUMMYFUNCTION("""COMPUTED_VALUE"""),45043.66666666667)</f>
        <v>45043.66667</v>
      </c>
      <c r="B1915" s="13">
        <f>IFERROR(__xludf.DUMMYFUNCTION("""COMPUTED_VALUE"""),4135.35)</f>
        <v>4135.35</v>
      </c>
      <c r="C1915" s="13">
        <f t="shared" si="1"/>
        <v>4140.785</v>
      </c>
      <c r="D1915" s="13">
        <f t="shared" si="2"/>
        <v>4027.32</v>
      </c>
      <c r="E1915" s="13" t="str">
        <f t="shared" si="3"/>
        <v>LONG</v>
      </c>
      <c r="F1915" s="3">
        <f t="shared" si="4"/>
        <v>0.01956612319</v>
      </c>
      <c r="G1915" s="4">
        <f t="shared" si="5"/>
        <v>1.988760965</v>
      </c>
      <c r="H1915" s="3">
        <f t="shared" si="6"/>
        <v>0.01956612319</v>
      </c>
      <c r="I1915" s="5">
        <f t="shared" si="7"/>
        <v>1.45165079</v>
      </c>
    </row>
    <row r="1916">
      <c r="A1916" s="12">
        <f>IFERROR(__xludf.DUMMYFUNCTION("""COMPUTED_VALUE"""),45044.66666666667)</f>
        <v>45044.66667</v>
      </c>
      <c r="B1916" s="13">
        <f>IFERROR(__xludf.DUMMYFUNCTION("""COMPUTED_VALUE"""),4169.48)</f>
        <v>4169.48</v>
      </c>
      <c r="C1916" s="13">
        <f t="shared" si="1"/>
        <v>4153.56</v>
      </c>
      <c r="D1916" s="13">
        <f t="shared" si="2"/>
        <v>4030.705</v>
      </c>
      <c r="E1916" s="13" t="str">
        <f t="shared" si="3"/>
        <v>LONG</v>
      </c>
      <c r="F1916" s="3">
        <f t="shared" si="4"/>
        <v>0.008253231286</v>
      </c>
      <c r="G1916" s="4">
        <f t="shared" si="5"/>
        <v>2.005174669</v>
      </c>
      <c r="H1916" s="3">
        <f t="shared" si="6"/>
        <v>0.008253231286</v>
      </c>
      <c r="I1916" s="5">
        <f t="shared" si="7"/>
        <v>1.4636316</v>
      </c>
    </row>
    <row r="1917">
      <c r="A1917" s="12">
        <f>IFERROR(__xludf.DUMMYFUNCTION("""COMPUTED_VALUE"""),45047.66666666667)</f>
        <v>45047.66667</v>
      </c>
      <c r="B1917" s="13">
        <f>IFERROR(__xludf.DUMMYFUNCTION("""COMPUTED_VALUE"""),4167.87)</f>
        <v>4167.87</v>
      </c>
      <c r="C1917" s="13">
        <f t="shared" si="1"/>
        <v>4159.595</v>
      </c>
      <c r="D1917" s="13">
        <f t="shared" si="2"/>
        <v>4064.075</v>
      </c>
      <c r="E1917" s="13" t="str">
        <f t="shared" si="3"/>
        <v>LONG</v>
      </c>
      <c r="F1917" s="3">
        <f t="shared" si="4"/>
        <v>-0.0003861392788</v>
      </c>
      <c r="G1917" s="4">
        <f t="shared" si="5"/>
        <v>2.004400392</v>
      </c>
      <c r="H1917" s="3">
        <f t="shared" si="6"/>
        <v>-0.0003861392788</v>
      </c>
      <c r="I1917" s="5">
        <f t="shared" si="7"/>
        <v>1.463066434</v>
      </c>
    </row>
    <row r="1918">
      <c r="A1918" s="12">
        <f>IFERROR(__xludf.DUMMYFUNCTION("""COMPUTED_VALUE"""),45048.66666666667)</f>
        <v>45048.66667</v>
      </c>
      <c r="B1918" s="13">
        <f>IFERROR(__xludf.DUMMYFUNCTION("""COMPUTED_VALUE"""),4119.58)</f>
        <v>4119.58</v>
      </c>
      <c r="C1918" s="13">
        <f t="shared" si="1"/>
        <v>4137.225</v>
      </c>
      <c r="D1918" s="13">
        <f t="shared" si="2"/>
        <v>4018.11</v>
      </c>
      <c r="E1918" s="13" t="str">
        <f t="shared" si="3"/>
        <v>LONG</v>
      </c>
      <c r="F1918" s="3">
        <f t="shared" si="4"/>
        <v>-0.01158625389</v>
      </c>
      <c r="G1918" s="4">
        <f t="shared" si="5"/>
        <v>1.981176901</v>
      </c>
      <c r="H1918" s="3">
        <f t="shared" si="6"/>
        <v>-0.01158625389</v>
      </c>
      <c r="I1918" s="5">
        <f t="shared" si="7"/>
        <v>1.446114975</v>
      </c>
    </row>
    <row r="1919">
      <c r="A1919" s="12">
        <f>IFERROR(__xludf.DUMMYFUNCTION("""COMPUTED_VALUE"""),45049.66666666667)</f>
        <v>45049.66667</v>
      </c>
      <c r="B1919" s="13">
        <f>IFERROR(__xludf.DUMMYFUNCTION("""COMPUTED_VALUE"""),4090.75)</f>
        <v>4090.75</v>
      </c>
      <c r="C1919" s="13">
        <f t="shared" si="1"/>
        <v>4122.635</v>
      </c>
      <c r="D1919" s="13">
        <f t="shared" si="2"/>
        <v>4021.16</v>
      </c>
      <c r="E1919" s="13" t="str">
        <f t="shared" si="3"/>
        <v>LONG</v>
      </c>
      <c r="F1919" s="3">
        <f t="shared" si="4"/>
        <v>-0.006998286233</v>
      </c>
      <c r="G1919" s="4">
        <f t="shared" si="5"/>
        <v>1.967312058</v>
      </c>
      <c r="H1919" s="3">
        <f t="shared" si="6"/>
        <v>-0.006998286233</v>
      </c>
      <c r="I1919" s="5">
        <f t="shared" si="7"/>
        <v>1.435994648</v>
      </c>
    </row>
    <row r="1920">
      <c r="A1920" s="12">
        <f>IFERROR(__xludf.DUMMYFUNCTION("""COMPUTED_VALUE"""),45050.66666666667)</f>
        <v>45050.66667</v>
      </c>
      <c r="B1920" s="13">
        <f>IFERROR(__xludf.DUMMYFUNCTION("""COMPUTED_VALUE"""),4061.22)</f>
        <v>4061.22</v>
      </c>
      <c r="C1920" s="13">
        <f t="shared" si="1"/>
        <v>4095.505</v>
      </c>
      <c r="D1920" s="13">
        <f t="shared" si="2"/>
        <v>4032.045</v>
      </c>
      <c r="E1920" s="13" t="str">
        <f t="shared" si="3"/>
        <v>LONG</v>
      </c>
      <c r="F1920" s="3">
        <f t="shared" si="4"/>
        <v>-0.007218725173</v>
      </c>
      <c r="G1920" s="4">
        <f t="shared" si="5"/>
        <v>1.953110572</v>
      </c>
      <c r="H1920" s="3">
        <f t="shared" si="6"/>
        <v>-0.007218725173</v>
      </c>
      <c r="I1920" s="5">
        <f t="shared" si="7"/>
        <v>1.425628598</v>
      </c>
    </row>
    <row r="1921">
      <c r="A1921" s="12">
        <f>IFERROR(__xludf.DUMMYFUNCTION("""COMPUTED_VALUE"""),45051.66666666667)</f>
        <v>45051.66667</v>
      </c>
      <c r="B1921" s="13">
        <f>IFERROR(__xludf.DUMMYFUNCTION("""COMPUTED_VALUE"""),4136.25)</f>
        <v>4136.25</v>
      </c>
      <c r="C1921" s="13">
        <f t="shared" si="1"/>
        <v>4134.885</v>
      </c>
      <c r="D1921" s="13">
        <f t="shared" si="2"/>
        <v>4036.61</v>
      </c>
      <c r="E1921" s="13" t="str">
        <f t="shared" si="3"/>
        <v>LONG</v>
      </c>
      <c r="F1921" s="3">
        <f t="shared" si="4"/>
        <v>0.01847474404</v>
      </c>
      <c r="G1921" s="4">
        <f t="shared" si="5"/>
        <v>1.98919379</v>
      </c>
      <c r="H1921" s="3">
        <f t="shared" si="6"/>
        <v>0.01847474404</v>
      </c>
      <c r="I1921" s="5">
        <f t="shared" si="7"/>
        <v>1.451966721</v>
      </c>
    </row>
    <row r="1922">
      <c r="A1922" s="12">
        <f>IFERROR(__xludf.DUMMYFUNCTION("""COMPUTED_VALUE"""),45054.66666666667)</f>
        <v>45054.66667</v>
      </c>
      <c r="B1922" s="13">
        <f>IFERROR(__xludf.DUMMYFUNCTION("""COMPUTED_VALUE"""),4138.12)</f>
        <v>4138.12</v>
      </c>
      <c r="C1922" s="13">
        <f t="shared" si="1"/>
        <v>4137.58</v>
      </c>
      <c r="D1922" s="13">
        <f t="shared" si="2"/>
        <v>4043.42</v>
      </c>
      <c r="E1922" s="13" t="str">
        <f t="shared" si="3"/>
        <v>LONG</v>
      </c>
      <c r="F1922" s="3">
        <f t="shared" si="4"/>
        <v>0.0004521003324</v>
      </c>
      <c r="G1922" s="4">
        <f t="shared" si="5"/>
        <v>1.990093106</v>
      </c>
      <c r="H1922" s="3">
        <f t="shared" si="6"/>
        <v>0.0004521003324</v>
      </c>
      <c r="I1922" s="5">
        <f t="shared" si="7"/>
        <v>1.452623156</v>
      </c>
    </row>
    <row r="1923">
      <c r="A1923" s="12">
        <f>IFERROR(__xludf.DUMMYFUNCTION("""COMPUTED_VALUE"""),45055.66666666667)</f>
        <v>45055.66667</v>
      </c>
      <c r="B1923" s="13">
        <f>IFERROR(__xludf.DUMMYFUNCTION("""COMPUTED_VALUE"""),4119.17)</f>
        <v>4119.17</v>
      </c>
      <c r="C1923" s="13">
        <f t="shared" si="1"/>
        <v>4095.4</v>
      </c>
      <c r="D1923" s="13">
        <f t="shared" si="2"/>
        <v>4045.08</v>
      </c>
      <c r="E1923" s="13" t="str">
        <f t="shared" si="3"/>
        <v>LONG</v>
      </c>
      <c r="F1923" s="3">
        <f t="shared" si="4"/>
        <v>-0.004579374209</v>
      </c>
      <c r="G1923" s="4">
        <f t="shared" si="5"/>
        <v>1.980979725</v>
      </c>
      <c r="H1923" s="3">
        <f t="shared" si="6"/>
        <v>-0.004579374209</v>
      </c>
      <c r="I1923" s="5">
        <f t="shared" si="7"/>
        <v>1.445971051</v>
      </c>
    </row>
    <row r="1924">
      <c r="A1924" s="12">
        <f>IFERROR(__xludf.DUMMYFUNCTION("""COMPUTED_VALUE"""),45056.66666666667)</f>
        <v>45056.66667</v>
      </c>
      <c r="B1924" s="13">
        <f>IFERROR(__xludf.DUMMYFUNCTION("""COMPUTED_VALUE"""),4137.64)</f>
        <v>4137.64</v>
      </c>
      <c r="C1924" s="13">
        <f t="shared" si="1"/>
        <v>4096.815</v>
      </c>
      <c r="D1924" s="13">
        <f t="shared" si="2"/>
        <v>4057.585</v>
      </c>
      <c r="E1924" s="13" t="str">
        <f t="shared" si="3"/>
        <v>LONG</v>
      </c>
      <c r="F1924" s="3">
        <f t="shared" si="4"/>
        <v>0.004483913021</v>
      </c>
      <c r="G1924" s="4">
        <f t="shared" si="5"/>
        <v>1.989862265</v>
      </c>
      <c r="H1924" s="3">
        <f t="shared" si="6"/>
        <v>0.004483913021</v>
      </c>
      <c r="I1924" s="5">
        <f t="shared" si="7"/>
        <v>1.452454659</v>
      </c>
    </row>
    <row r="1925">
      <c r="A1925" s="12">
        <f>IFERROR(__xludf.DUMMYFUNCTION("""COMPUTED_VALUE"""),45057.66666666667)</f>
        <v>45057.66667</v>
      </c>
      <c r="B1925" s="13">
        <f>IFERROR(__xludf.DUMMYFUNCTION("""COMPUTED_VALUE"""),4130.62)</f>
        <v>4130.62</v>
      </c>
      <c r="C1925" s="13">
        <f t="shared" si="1"/>
        <v>4132.985</v>
      </c>
      <c r="D1925" s="13">
        <f t="shared" si="2"/>
        <v>4050.945</v>
      </c>
      <c r="E1925" s="13" t="str">
        <f t="shared" si="3"/>
        <v>LONG</v>
      </c>
      <c r="F1925" s="3">
        <f t="shared" si="4"/>
        <v>-0.001696619329</v>
      </c>
      <c r="G1925" s="4">
        <f t="shared" si="5"/>
        <v>1.986486227</v>
      </c>
      <c r="H1925" s="3">
        <f t="shared" si="6"/>
        <v>-0.001696619329</v>
      </c>
      <c r="I1925" s="5">
        <f t="shared" si="7"/>
        <v>1.449990397</v>
      </c>
    </row>
    <row r="1926">
      <c r="A1926" s="12">
        <f>IFERROR(__xludf.DUMMYFUNCTION("""COMPUTED_VALUE"""),45058.66666666667)</f>
        <v>45058.66667</v>
      </c>
      <c r="B1926" s="13">
        <f>IFERROR(__xludf.DUMMYFUNCTION("""COMPUTED_VALUE"""),4124.08)</f>
        <v>4124.08</v>
      </c>
      <c r="C1926" s="13">
        <f t="shared" si="1"/>
        <v>4146.78</v>
      </c>
      <c r="D1926" s="13">
        <f t="shared" si="2"/>
        <v>4075.945</v>
      </c>
      <c r="E1926" s="13" t="str">
        <f t="shared" si="3"/>
        <v>LONG</v>
      </c>
      <c r="F1926" s="3">
        <f t="shared" si="4"/>
        <v>-0.001583297423</v>
      </c>
      <c r="G1926" s="4">
        <f t="shared" si="5"/>
        <v>1.983341028</v>
      </c>
      <c r="H1926" s="3">
        <f t="shared" si="6"/>
        <v>-0.001583297423</v>
      </c>
      <c r="I1926" s="5">
        <f t="shared" si="7"/>
        <v>1.447694631</v>
      </c>
    </row>
    <row r="1927">
      <c r="A1927" s="12">
        <f>IFERROR(__xludf.DUMMYFUNCTION("""COMPUTED_VALUE"""),45061.66666666667)</f>
        <v>45061.66667</v>
      </c>
      <c r="B1927" s="13">
        <f>IFERROR(__xludf.DUMMYFUNCTION("""COMPUTED_VALUE"""),4136.28)</f>
        <v>4136.28</v>
      </c>
      <c r="C1927" s="13">
        <f t="shared" si="1"/>
        <v>4152.075</v>
      </c>
      <c r="D1927" s="13">
        <f t="shared" si="2"/>
        <v>4093.555</v>
      </c>
      <c r="E1927" s="13" t="str">
        <f t="shared" si="3"/>
        <v>LONG</v>
      </c>
      <c r="F1927" s="3">
        <f t="shared" si="4"/>
        <v>0.002958235534</v>
      </c>
      <c r="G1927" s="4">
        <f t="shared" si="5"/>
        <v>1.989208218</v>
      </c>
      <c r="H1927" s="3">
        <f t="shared" si="6"/>
        <v>0.002958235534</v>
      </c>
      <c r="I1927" s="5">
        <f t="shared" si="7"/>
        <v>1.451977252</v>
      </c>
    </row>
    <row r="1928">
      <c r="A1928" s="12">
        <f>IFERROR(__xludf.DUMMYFUNCTION("""COMPUTED_VALUE"""),45062.66666666667)</f>
        <v>45062.66667</v>
      </c>
      <c r="B1928" s="13">
        <f>IFERROR(__xludf.DUMMYFUNCTION("""COMPUTED_VALUE"""),4109.9)</f>
        <v>4109.9</v>
      </c>
      <c r="C1928" s="13">
        <f t="shared" si="1"/>
        <v>4114.74</v>
      </c>
      <c r="D1928" s="13">
        <f t="shared" si="2"/>
        <v>4109.605</v>
      </c>
      <c r="E1928" s="13" t="str">
        <f t="shared" si="3"/>
        <v>LONG</v>
      </c>
      <c r="F1928" s="3">
        <f t="shared" si="4"/>
        <v>-0.006377711374</v>
      </c>
      <c r="G1928" s="4">
        <f t="shared" si="5"/>
        <v>1.976521622</v>
      </c>
      <c r="H1928" s="3">
        <f t="shared" si="6"/>
        <v>-0.006377711374</v>
      </c>
      <c r="I1928" s="5">
        <f t="shared" si="7"/>
        <v>1.44271696</v>
      </c>
    </row>
    <row r="1929">
      <c r="A1929" s="12">
        <f>IFERROR(__xludf.DUMMYFUNCTION("""COMPUTED_VALUE"""),45063.66666666667)</f>
        <v>45063.66667</v>
      </c>
      <c r="B1929" s="13">
        <f>IFERROR(__xludf.DUMMYFUNCTION("""COMPUTED_VALUE"""),4158.77)</f>
        <v>4158.77</v>
      </c>
      <c r="C1929" s="13">
        <f t="shared" si="1"/>
        <v>4124.76</v>
      </c>
      <c r="D1929" s="13">
        <f t="shared" si="2"/>
        <v>4141.64</v>
      </c>
      <c r="E1929" s="13" t="str">
        <f t="shared" si="3"/>
        <v/>
      </c>
      <c r="F1929" s="3">
        <f t="shared" si="4"/>
        <v>0.01189080026</v>
      </c>
      <c r="G1929" s="4">
        <f t="shared" si="5"/>
        <v>2.000024046</v>
      </c>
      <c r="H1929" s="5">
        <f t="shared" si="6"/>
        <v>0</v>
      </c>
      <c r="I1929" s="5">
        <f t="shared" si="7"/>
        <v>1.44271696</v>
      </c>
    </row>
    <row r="1930">
      <c r="A1930" s="12">
        <f>IFERROR(__xludf.DUMMYFUNCTION("""COMPUTED_VALUE"""),45064.66666666667)</f>
        <v>45064.66667</v>
      </c>
      <c r="B1930" s="13">
        <f>IFERROR(__xludf.DUMMYFUNCTION("""COMPUTED_VALUE"""),4198.05)</f>
        <v>4198.05</v>
      </c>
      <c r="C1930" s="13">
        <f t="shared" si="1"/>
        <v>4129.635</v>
      </c>
      <c r="D1930" s="13">
        <f t="shared" si="2"/>
        <v>4149.325</v>
      </c>
      <c r="E1930" s="13" t="str">
        <f t="shared" si="3"/>
        <v/>
      </c>
      <c r="F1930" s="3">
        <f t="shared" si="4"/>
        <v>0.009445100354</v>
      </c>
      <c r="G1930" s="4">
        <f t="shared" si="5"/>
        <v>2.018914474</v>
      </c>
      <c r="H1930" s="5">
        <f t="shared" si="6"/>
        <v>0</v>
      </c>
      <c r="I1930" s="5">
        <f t="shared" si="7"/>
        <v>1.44271696</v>
      </c>
    </row>
    <row r="1931">
      <c r="A1931" s="12">
        <f>IFERROR(__xludf.DUMMYFUNCTION("""COMPUTED_VALUE"""),45065.66666666667)</f>
        <v>45065.66667</v>
      </c>
      <c r="B1931" s="13">
        <f>IFERROR(__xludf.DUMMYFUNCTION("""COMPUTED_VALUE"""),4191.98)</f>
        <v>4191.98</v>
      </c>
      <c r="C1931" s="13">
        <f t="shared" si="1"/>
        <v>4164.115</v>
      </c>
      <c r="D1931" s="13">
        <f t="shared" si="2"/>
        <v>4141.18</v>
      </c>
      <c r="E1931" s="13" t="str">
        <f t="shared" si="3"/>
        <v>LONG</v>
      </c>
      <c r="F1931" s="3">
        <f t="shared" si="4"/>
        <v>-0.00144590941</v>
      </c>
      <c r="G1931" s="4">
        <f t="shared" si="5"/>
        <v>2.015995306</v>
      </c>
      <c r="H1931" s="3">
        <f t="shared" si="6"/>
        <v>-0.00144590941</v>
      </c>
      <c r="I1931" s="5">
        <f t="shared" si="7"/>
        <v>1.440630922</v>
      </c>
    </row>
    <row r="1932">
      <c r="A1932" s="12">
        <f>IFERROR(__xludf.DUMMYFUNCTION("""COMPUTED_VALUE"""),45068.66666666667)</f>
        <v>45068.66667</v>
      </c>
      <c r="B1932" s="13">
        <f>IFERROR(__xludf.DUMMYFUNCTION("""COMPUTED_VALUE"""),4192.63)</f>
        <v>4192.63</v>
      </c>
      <c r="C1932" s="13">
        <f t="shared" si="1"/>
        <v>4165.375</v>
      </c>
      <c r="D1932" s="13">
        <f t="shared" si="2"/>
        <v>4148.825</v>
      </c>
      <c r="E1932" s="13" t="str">
        <f t="shared" si="3"/>
        <v>LONG</v>
      </c>
      <c r="F1932" s="3">
        <f t="shared" si="4"/>
        <v>0.0001550579917</v>
      </c>
      <c r="G1932" s="4">
        <f t="shared" si="5"/>
        <v>2.016307902</v>
      </c>
      <c r="H1932" s="3">
        <f t="shared" si="6"/>
        <v>0.0001550579917</v>
      </c>
      <c r="I1932" s="5">
        <f t="shared" si="7"/>
        <v>1.440854304</v>
      </c>
    </row>
    <row r="1933">
      <c r="A1933" s="12">
        <f>IFERROR(__xludf.DUMMYFUNCTION("""COMPUTED_VALUE"""),45069.66666666667)</f>
        <v>45069.66667</v>
      </c>
      <c r="B1933" s="13">
        <f>IFERROR(__xludf.DUMMYFUNCTION("""COMPUTED_VALUE"""),4145.58)</f>
        <v>4145.58</v>
      </c>
      <c r="C1933" s="13">
        <f t="shared" si="1"/>
        <v>4132.375</v>
      </c>
      <c r="D1933" s="13">
        <f t="shared" si="2"/>
        <v>4127.345</v>
      </c>
      <c r="E1933" s="13" t="str">
        <f t="shared" si="3"/>
        <v>LONG</v>
      </c>
      <c r="F1933" s="3">
        <f t="shared" si="4"/>
        <v>-0.01122207302</v>
      </c>
      <c r="G1933" s="4">
        <f t="shared" si="5"/>
        <v>1.993680748</v>
      </c>
      <c r="H1933" s="3">
        <f t="shared" si="6"/>
        <v>-0.01122207302</v>
      </c>
      <c r="I1933" s="5">
        <f t="shared" si="7"/>
        <v>1.424684931</v>
      </c>
    </row>
    <row r="1934">
      <c r="A1934" s="12">
        <f>IFERROR(__xludf.DUMMYFUNCTION("""COMPUTED_VALUE"""),45070.66666666667)</f>
        <v>45070.66667</v>
      </c>
      <c r="B1934" s="13">
        <f>IFERROR(__xludf.DUMMYFUNCTION("""COMPUTED_VALUE"""),4115.24)</f>
        <v>4115.24</v>
      </c>
      <c r="C1934" s="13">
        <f t="shared" si="1"/>
        <v>4126.44</v>
      </c>
      <c r="D1934" s="13">
        <f t="shared" si="2"/>
        <v>4112.09</v>
      </c>
      <c r="E1934" s="13" t="str">
        <f t="shared" si="3"/>
        <v>LONG</v>
      </c>
      <c r="F1934" s="3">
        <f t="shared" si="4"/>
        <v>-0.007318638164</v>
      </c>
      <c r="G1934" s="4">
        <f t="shared" si="5"/>
        <v>1.97908972</v>
      </c>
      <c r="H1934" s="3">
        <f t="shared" si="6"/>
        <v>-0.007318638164</v>
      </c>
      <c r="I1934" s="5">
        <f t="shared" si="7"/>
        <v>1.414258178</v>
      </c>
    </row>
    <row r="1935">
      <c r="A1935" s="12">
        <f>IFERROR(__xludf.DUMMYFUNCTION("""COMPUTED_VALUE"""),45071.66666666667)</f>
        <v>45071.66667</v>
      </c>
      <c r="B1935" s="13">
        <f>IFERROR(__xludf.DUMMYFUNCTION("""COMPUTED_VALUE"""),4151.28)</f>
        <v>4151.28</v>
      </c>
      <c r="C1935" s="13">
        <f t="shared" si="1"/>
        <v>4140.95</v>
      </c>
      <c r="D1935" s="13">
        <f t="shared" si="2"/>
        <v>4121.615</v>
      </c>
      <c r="E1935" s="13" t="str">
        <f t="shared" si="3"/>
        <v>LONG</v>
      </c>
      <c r="F1935" s="3">
        <f t="shared" si="4"/>
        <v>0.008757690924</v>
      </c>
      <c r="G1935" s="4">
        <f t="shared" si="5"/>
        <v>1.996421976</v>
      </c>
      <c r="H1935" s="3">
        <f t="shared" si="6"/>
        <v>0.008757690924</v>
      </c>
      <c r="I1935" s="5">
        <f t="shared" si="7"/>
        <v>1.426643814</v>
      </c>
    </row>
    <row r="1936">
      <c r="A1936" s="12">
        <f>IFERROR(__xludf.DUMMYFUNCTION("""COMPUTED_VALUE"""),45072.66666666667)</f>
        <v>45072.66667</v>
      </c>
      <c r="B1936" s="13">
        <f>IFERROR(__xludf.DUMMYFUNCTION("""COMPUTED_VALUE"""),4205.45)</f>
        <v>4205.45</v>
      </c>
      <c r="C1936" s="13">
        <f t="shared" si="1"/>
        <v>4164.765</v>
      </c>
      <c r="D1936" s="13">
        <f t="shared" si="2"/>
        <v>4175.835</v>
      </c>
      <c r="E1936" s="13" t="str">
        <f t="shared" si="3"/>
        <v/>
      </c>
      <c r="F1936" s="3">
        <f t="shared" si="4"/>
        <v>0.0130489873</v>
      </c>
      <c r="G1936" s="4">
        <f t="shared" si="5"/>
        <v>2.022473261</v>
      </c>
      <c r="H1936" s="5">
        <f t="shared" si="6"/>
        <v>0</v>
      </c>
      <c r="I1936" s="5">
        <f t="shared" si="7"/>
        <v>1.426643814</v>
      </c>
    </row>
    <row r="1937">
      <c r="A1937" s="12">
        <f>IFERROR(__xludf.DUMMYFUNCTION("""COMPUTED_VALUE"""),45076.66666666667)</f>
        <v>45076.66667</v>
      </c>
      <c r="B1937" s="13">
        <f>IFERROR(__xludf.DUMMYFUNCTION("""COMPUTED_VALUE"""),4205.52)</f>
        <v>4205.52</v>
      </c>
      <c r="C1937" s="13">
        <f t="shared" si="1"/>
        <v>4170.9</v>
      </c>
      <c r="D1937" s="13">
        <f t="shared" si="2"/>
        <v>4171.58</v>
      </c>
      <c r="E1937" s="13" t="str">
        <f t="shared" si="3"/>
        <v/>
      </c>
      <c r="F1937" s="3">
        <f t="shared" si="4"/>
        <v>0.00001664506771</v>
      </c>
      <c r="G1937" s="4">
        <f t="shared" si="5"/>
        <v>2.022506925</v>
      </c>
      <c r="H1937" s="5">
        <f t="shared" si="6"/>
        <v>0</v>
      </c>
      <c r="I1937" s="5">
        <f t="shared" si="7"/>
        <v>1.426643814</v>
      </c>
    </row>
    <row r="1938">
      <c r="A1938" s="12">
        <f>IFERROR(__xludf.DUMMYFUNCTION("""COMPUTED_VALUE"""),45077.66666666667)</f>
        <v>45077.66667</v>
      </c>
      <c r="B1938" s="13">
        <f>IFERROR(__xludf.DUMMYFUNCTION("""COMPUTED_VALUE"""),4179.83)</f>
        <v>4179.83</v>
      </c>
      <c r="C1938" s="13">
        <f t="shared" si="1"/>
        <v>4144.865</v>
      </c>
      <c r="D1938" s="13">
        <f t="shared" si="2"/>
        <v>4165.575</v>
      </c>
      <c r="E1938" s="13" t="str">
        <f t="shared" si="3"/>
        <v/>
      </c>
      <c r="F1938" s="3">
        <f t="shared" si="4"/>
        <v>-0.006108638171</v>
      </c>
      <c r="G1938" s="4">
        <f t="shared" si="5"/>
        <v>2.010152162</v>
      </c>
      <c r="H1938" s="5">
        <f t="shared" si="6"/>
        <v>0</v>
      </c>
      <c r="I1938" s="5">
        <f t="shared" si="7"/>
        <v>1.426643814</v>
      </c>
    </row>
    <row r="1939">
      <c r="A1939" s="12">
        <f>IFERROR(__xludf.DUMMYFUNCTION("""COMPUTED_VALUE"""),45078.66666666667)</f>
        <v>45078.66667</v>
      </c>
      <c r="B1939" s="13">
        <f>IFERROR(__xludf.DUMMYFUNCTION("""COMPUTED_VALUE"""),4221.02)</f>
        <v>4221.02</v>
      </c>
      <c r="C1939" s="13">
        <f t="shared" si="1"/>
        <v>4189.895</v>
      </c>
      <c r="D1939" s="13">
        <f t="shared" si="2"/>
        <v>4187.945</v>
      </c>
      <c r="E1939" s="13" t="str">
        <f t="shared" si="3"/>
        <v>LONG</v>
      </c>
      <c r="F1939" s="3">
        <f t="shared" si="4"/>
        <v>0.009854467765</v>
      </c>
      <c r="G1939" s="4">
        <f t="shared" si="5"/>
        <v>2.029961142</v>
      </c>
      <c r="H1939" s="3">
        <f t="shared" si="6"/>
        <v>0.009854467765</v>
      </c>
      <c r="I1939" s="5">
        <f t="shared" si="7"/>
        <v>1.440702629</v>
      </c>
    </row>
    <row r="1940">
      <c r="A1940" s="12">
        <f>IFERROR(__xludf.DUMMYFUNCTION("""COMPUTED_VALUE"""),45079.66666666667)</f>
        <v>45079.66667</v>
      </c>
      <c r="B1940" s="13">
        <f>IFERROR(__xludf.DUMMYFUNCTION("""COMPUTED_VALUE"""),4282.37)</f>
        <v>4282.37</v>
      </c>
      <c r="C1940" s="13">
        <f t="shared" si="1"/>
        <v>4240.21</v>
      </c>
      <c r="D1940" s="13">
        <f t="shared" si="2"/>
        <v>4218.445</v>
      </c>
      <c r="E1940" s="13" t="str">
        <f t="shared" si="3"/>
        <v>LONG</v>
      </c>
      <c r="F1940" s="3">
        <f t="shared" si="4"/>
        <v>0.01453440164</v>
      </c>
      <c r="G1940" s="4">
        <f t="shared" si="5"/>
        <v>2.059465412</v>
      </c>
      <c r="H1940" s="3">
        <f t="shared" si="6"/>
        <v>0.01453440164</v>
      </c>
      <c r="I1940" s="5">
        <f t="shared" si="7"/>
        <v>1.46164238</v>
      </c>
    </row>
    <row r="1941">
      <c r="A1941" s="12">
        <f>IFERROR(__xludf.DUMMYFUNCTION("""COMPUTED_VALUE"""),45082.66666666667)</f>
        <v>45082.66667</v>
      </c>
      <c r="B1941" s="13">
        <f>IFERROR(__xludf.DUMMYFUNCTION("""COMPUTED_VALUE"""),4273.79)</f>
        <v>4273.79</v>
      </c>
      <c r="C1941" s="13">
        <f t="shared" si="1"/>
        <v>4232.885</v>
      </c>
      <c r="D1941" s="13">
        <f t="shared" si="2"/>
        <v>4201.79</v>
      </c>
      <c r="E1941" s="13" t="str">
        <f t="shared" si="3"/>
        <v>LONG</v>
      </c>
      <c r="F1941" s="3">
        <f t="shared" si="4"/>
        <v>-0.002003563447</v>
      </c>
      <c r="G1941" s="4">
        <f t="shared" si="5"/>
        <v>2.055339143</v>
      </c>
      <c r="H1941" s="3">
        <f t="shared" si="6"/>
        <v>-0.002003563447</v>
      </c>
      <c r="I1941" s="5">
        <f t="shared" si="7"/>
        <v>1.458713887</v>
      </c>
    </row>
    <row r="1942">
      <c r="A1942" s="12">
        <f>IFERROR(__xludf.DUMMYFUNCTION("""COMPUTED_VALUE"""),45083.66666666667)</f>
        <v>45083.66667</v>
      </c>
      <c r="B1942" s="13">
        <f>IFERROR(__xludf.DUMMYFUNCTION("""COMPUTED_VALUE"""),4283.85)</f>
        <v>4283.85</v>
      </c>
      <c r="C1942" s="13">
        <f t="shared" si="1"/>
        <v>4238.24</v>
      </c>
      <c r="D1942" s="13">
        <f t="shared" si="2"/>
        <v>4208.685</v>
      </c>
      <c r="E1942" s="13" t="str">
        <f t="shared" si="3"/>
        <v>LONG</v>
      </c>
      <c r="F1942" s="3">
        <f t="shared" si="4"/>
        <v>0.002353882619</v>
      </c>
      <c r="G1942" s="4">
        <f t="shared" si="5"/>
        <v>2.06017717</v>
      </c>
      <c r="H1942" s="3">
        <f t="shared" si="6"/>
        <v>0.002353882619</v>
      </c>
      <c r="I1942" s="5">
        <f t="shared" si="7"/>
        <v>1.462147528</v>
      </c>
    </row>
    <row r="1943">
      <c r="A1943" s="12">
        <f>IFERROR(__xludf.DUMMYFUNCTION("""COMPUTED_VALUE"""),45084.66666666667)</f>
        <v>45084.66667</v>
      </c>
      <c r="B1943" s="13">
        <f>IFERROR(__xludf.DUMMYFUNCTION("""COMPUTED_VALUE"""),4267.52)</f>
        <v>4267.52</v>
      </c>
      <c r="C1943" s="13">
        <f t="shared" si="1"/>
        <v>4206.55</v>
      </c>
      <c r="D1943" s="13">
        <f t="shared" si="2"/>
        <v>4202.28</v>
      </c>
      <c r="E1943" s="13" t="str">
        <f t="shared" si="3"/>
        <v>LONG</v>
      </c>
      <c r="F1943" s="3">
        <f t="shared" si="4"/>
        <v>-0.00381199155</v>
      </c>
      <c r="G1943" s="4">
        <f t="shared" si="5"/>
        <v>2.052323792</v>
      </c>
      <c r="H1943" s="3">
        <f t="shared" si="6"/>
        <v>-0.00381199155</v>
      </c>
      <c r="I1943" s="5">
        <f t="shared" si="7"/>
        <v>1.456573834</v>
      </c>
    </row>
    <row r="1944">
      <c r="A1944" s="12">
        <f>IFERROR(__xludf.DUMMYFUNCTION("""COMPUTED_VALUE"""),45085.66666666667)</f>
        <v>45085.66667</v>
      </c>
      <c r="B1944" s="13">
        <f>IFERROR(__xludf.DUMMYFUNCTION("""COMPUTED_VALUE"""),4293.93)</f>
        <v>4293.93</v>
      </c>
      <c r="C1944" s="13">
        <f t="shared" si="1"/>
        <v>4204.585</v>
      </c>
      <c r="D1944" s="13">
        <f t="shared" si="2"/>
        <v>4182.78</v>
      </c>
      <c r="E1944" s="13" t="str">
        <f t="shared" si="3"/>
        <v>LONG</v>
      </c>
      <c r="F1944" s="3">
        <f t="shared" si="4"/>
        <v>0.006188606029</v>
      </c>
      <c r="G1944" s="4">
        <f t="shared" si="5"/>
        <v>2.065024815</v>
      </c>
      <c r="H1944" s="3">
        <f t="shared" si="6"/>
        <v>0.006188606029</v>
      </c>
      <c r="I1944" s="5">
        <f t="shared" si="7"/>
        <v>1.465587996</v>
      </c>
    </row>
    <row r="1945">
      <c r="A1945" s="12">
        <f>IFERROR(__xludf.DUMMYFUNCTION("""COMPUTED_VALUE"""),45086.66666666667)</f>
        <v>45086.66667</v>
      </c>
      <c r="B1945" s="13">
        <f>IFERROR(__xludf.DUMMYFUNCTION("""COMPUTED_VALUE"""),4298.86)</f>
        <v>4298.86</v>
      </c>
      <c r="C1945" s="13">
        <f t="shared" si="1"/>
        <v>4225.07</v>
      </c>
      <c r="D1945" s="13">
        <f t="shared" si="2"/>
        <v>4177.425</v>
      </c>
      <c r="E1945" s="13" t="str">
        <f t="shared" si="3"/>
        <v>LONG</v>
      </c>
      <c r="F1945" s="3">
        <f t="shared" si="4"/>
        <v>0.001148132364</v>
      </c>
      <c r="G1945" s="4">
        <f t="shared" si="5"/>
        <v>2.067395737</v>
      </c>
      <c r="H1945" s="3">
        <f t="shared" si="6"/>
        <v>0.001148132364</v>
      </c>
      <c r="I1945" s="5">
        <f t="shared" si="7"/>
        <v>1.467270685</v>
      </c>
    </row>
    <row r="1946">
      <c r="A1946" s="12">
        <f>IFERROR(__xludf.DUMMYFUNCTION("""COMPUTED_VALUE"""),45089.66666666667)</f>
        <v>45089.66667</v>
      </c>
      <c r="B1946" s="13">
        <f>IFERROR(__xludf.DUMMYFUNCTION("""COMPUTED_VALUE"""),4338.93)</f>
        <v>4338.93</v>
      </c>
      <c r="C1946" s="13">
        <f t="shared" si="1"/>
        <v>4272.19</v>
      </c>
      <c r="D1946" s="13">
        <f t="shared" si="2"/>
        <v>4237.14</v>
      </c>
      <c r="E1946" s="13" t="str">
        <f t="shared" si="3"/>
        <v>LONG</v>
      </c>
      <c r="F1946" s="3">
        <f t="shared" si="4"/>
        <v>0.00932107582</v>
      </c>
      <c r="G1946" s="4">
        <f t="shared" si="5"/>
        <v>2.08666609</v>
      </c>
      <c r="H1946" s="3">
        <f t="shared" si="6"/>
        <v>0.00932107582</v>
      </c>
      <c r="I1946" s="5">
        <f t="shared" si="7"/>
        <v>1.480947226</v>
      </c>
    </row>
    <row r="1947">
      <c r="A1947" s="12">
        <f>IFERROR(__xludf.DUMMYFUNCTION("""COMPUTED_VALUE"""),45090.66666666667)</f>
        <v>45090.66667</v>
      </c>
      <c r="B1947" s="13">
        <f>IFERROR(__xludf.DUMMYFUNCTION("""COMPUTED_VALUE"""),4369.01)</f>
        <v>4369.01</v>
      </c>
      <c r="C1947" s="13">
        <f t="shared" si="1"/>
        <v>4287.265</v>
      </c>
      <c r="D1947" s="13">
        <f t="shared" si="2"/>
        <v>4269.245</v>
      </c>
      <c r="E1947" s="13" t="str">
        <f t="shared" si="3"/>
        <v>LONG</v>
      </c>
      <c r="F1947" s="3">
        <f t="shared" si="4"/>
        <v>0.006932584762</v>
      </c>
      <c r="G1947" s="4">
        <f t="shared" si="5"/>
        <v>2.101132079</v>
      </c>
      <c r="H1947" s="3">
        <f t="shared" si="6"/>
        <v>0.006932584762</v>
      </c>
      <c r="I1947" s="5">
        <f t="shared" si="7"/>
        <v>1.491214018</v>
      </c>
    </row>
    <row r="1948">
      <c r="A1948" s="12">
        <f>IFERROR(__xludf.DUMMYFUNCTION("""COMPUTED_VALUE"""),45091.66666666667)</f>
        <v>45091.66667</v>
      </c>
      <c r="B1948" s="13">
        <f>IFERROR(__xludf.DUMMYFUNCTION("""COMPUTED_VALUE"""),4372.59)</f>
        <v>4372.59</v>
      </c>
      <c r="C1948" s="13">
        <f t="shared" si="1"/>
        <v>4276.21</v>
      </c>
      <c r="D1948" s="13">
        <f t="shared" si="2"/>
        <v>4270.23</v>
      </c>
      <c r="E1948" s="13" t="str">
        <f t="shared" si="3"/>
        <v>LONG</v>
      </c>
      <c r="F1948" s="3">
        <f t="shared" si="4"/>
        <v>0.0008194076003</v>
      </c>
      <c r="G1948" s="4">
        <f t="shared" si="5"/>
        <v>2.102853763</v>
      </c>
      <c r="H1948" s="3">
        <f t="shared" si="6"/>
        <v>0.0008194076003</v>
      </c>
      <c r="I1948" s="5">
        <f t="shared" si="7"/>
        <v>1.49243593</v>
      </c>
    </row>
    <row r="1949">
      <c r="A1949" s="12">
        <f>IFERROR(__xludf.DUMMYFUNCTION("""COMPUTED_VALUE"""),45092.66666666667)</f>
        <v>45092.66667</v>
      </c>
      <c r="B1949" s="13">
        <f>IFERROR(__xludf.DUMMYFUNCTION("""COMPUTED_VALUE"""),4425.84)</f>
        <v>4425.84</v>
      </c>
      <c r="C1949" s="13">
        <f t="shared" si="1"/>
        <v>4323.43</v>
      </c>
      <c r="D1949" s="13">
        <f t="shared" si="2"/>
        <v>4272.71</v>
      </c>
      <c r="E1949" s="13" t="str">
        <f t="shared" si="3"/>
        <v>LONG</v>
      </c>
      <c r="F1949" s="3">
        <f t="shared" si="4"/>
        <v>0.01217813699</v>
      </c>
      <c r="G1949" s="4">
        <f t="shared" si="5"/>
        <v>2.128462604</v>
      </c>
      <c r="H1949" s="3">
        <f t="shared" si="6"/>
        <v>0.01217813699</v>
      </c>
      <c r="I1949" s="5">
        <f t="shared" si="7"/>
        <v>1.510611019</v>
      </c>
    </row>
    <row r="1950">
      <c r="A1950" s="12">
        <f>IFERROR(__xludf.DUMMYFUNCTION("""COMPUTED_VALUE"""),45093.66666666667)</f>
        <v>45093.66667</v>
      </c>
      <c r="B1950" s="13">
        <f>IFERROR(__xludf.DUMMYFUNCTION("""COMPUTED_VALUE"""),4409.59)</f>
        <v>4409.59</v>
      </c>
      <c r="C1950" s="13">
        <f t="shared" si="1"/>
        <v>4345.98</v>
      </c>
      <c r="D1950" s="13">
        <f t="shared" si="2"/>
        <v>4250.17</v>
      </c>
      <c r="E1950" s="13" t="str">
        <f t="shared" si="3"/>
        <v>LONG</v>
      </c>
      <c r="F1950" s="3">
        <f t="shared" si="4"/>
        <v>-0.003671619399</v>
      </c>
      <c r="G1950" s="4">
        <f t="shared" si="5"/>
        <v>2.120647699</v>
      </c>
      <c r="H1950" s="3">
        <f t="shared" si="6"/>
        <v>-0.003671619399</v>
      </c>
      <c r="I1950" s="5">
        <f t="shared" si="7"/>
        <v>1.505064631</v>
      </c>
    </row>
    <row r="1951">
      <c r="A1951" s="12">
        <f>IFERROR(__xludf.DUMMYFUNCTION("""COMPUTED_VALUE"""),45097.66666666667)</f>
        <v>45097.66667</v>
      </c>
      <c r="B1951" s="13">
        <f>IFERROR(__xludf.DUMMYFUNCTION("""COMPUTED_VALUE"""),4388.71)</f>
        <v>4388.71</v>
      </c>
      <c r="C1951" s="13">
        <f t="shared" si="1"/>
        <v>4331.25</v>
      </c>
      <c r="D1951" s="13">
        <f t="shared" si="2"/>
        <v>4224.965</v>
      </c>
      <c r="E1951" s="13" t="str">
        <f t="shared" si="3"/>
        <v>LONG</v>
      </c>
      <c r="F1951" s="3">
        <f t="shared" si="4"/>
        <v>-0.004735134105</v>
      </c>
      <c r="G1951" s="4">
        <f t="shared" si="5"/>
        <v>2.110606148</v>
      </c>
      <c r="H1951" s="3">
        <f t="shared" si="6"/>
        <v>-0.004735134105</v>
      </c>
      <c r="I1951" s="5">
        <f t="shared" si="7"/>
        <v>1.497937948</v>
      </c>
    </row>
    <row r="1952">
      <c r="A1952" s="12">
        <f>IFERROR(__xludf.DUMMYFUNCTION("""COMPUTED_VALUE"""),45098.66666666667)</f>
        <v>45098.66667</v>
      </c>
      <c r="B1952" s="13">
        <f>IFERROR(__xludf.DUMMYFUNCTION("""COMPUTED_VALUE"""),4365.69)</f>
        <v>4365.69</v>
      </c>
      <c r="C1952" s="13">
        <f t="shared" si="1"/>
        <v>4324.77</v>
      </c>
      <c r="D1952" s="13">
        <f t="shared" si="2"/>
        <v>4250.97</v>
      </c>
      <c r="E1952" s="13" t="str">
        <f t="shared" si="3"/>
        <v>LONG</v>
      </c>
      <c r="F1952" s="3">
        <f t="shared" si="4"/>
        <v>-0.005245277086</v>
      </c>
      <c r="G1952" s="4">
        <f t="shared" si="5"/>
        <v>2.099535434</v>
      </c>
      <c r="H1952" s="3">
        <f t="shared" si="6"/>
        <v>-0.005245277086</v>
      </c>
      <c r="I1952" s="5">
        <f t="shared" si="7"/>
        <v>1.490080848</v>
      </c>
    </row>
    <row r="1953">
      <c r="A1953" s="12">
        <f>IFERROR(__xludf.DUMMYFUNCTION("""COMPUTED_VALUE"""),45099.66666666667)</f>
        <v>45099.66667</v>
      </c>
      <c r="B1953" s="13">
        <f>IFERROR(__xludf.DUMMYFUNCTION("""COMPUTED_VALUE"""),4381.89)</f>
        <v>4381.89</v>
      </c>
      <c r="C1953" s="13">
        <f t="shared" si="1"/>
        <v>4324.705</v>
      </c>
      <c r="D1953" s="13">
        <f t="shared" si="2"/>
        <v>4260.005</v>
      </c>
      <c r="E1953" s="13" t="str">
        <f t="shared" si="3"/>
        <v>LONG</v>
      </c>
      <c r="F1953" s="3">
        <f t="shared" si="4"/>
        <v>0.003710753627</v>
      </c>
      <c r="G1953" s="4">
        <f t="shared" si="5"/>
        <v>2.107326293</v>
      </c>
      <c r="H1953" s="3">
        <f t="shared" si="6"/>
        <v>0.003710753627</v>
      </c>
      <c r="I1953" s="5">
        <f t="shared" si="7"/>
        <v>1.495610171</v>
      </c>
    </row>
    <row r="1954">
      <c r="A1954" s="12">
        <f>IFERROR(__xludf.DUMMYFUNCTION("""COMPUTED_VALUE"""),45100.66666666667)</f>
        <v>45100.66667</v>
      </c>
      <c r="B1954" s="13">
        <f>IFERROR(__xludf.DUMMYFUNCTION("""COMPUTED_VALUE"""),4348.33)</f>
        <v>4348.33</v>
      </c>
      <c r="C1954" s="13">
        <f t="shared" si="1"/>
        <v>4321.13</v>
      </c>
      <c r="D1954" s="13">
        <f t="shared" si="2"/>
        <v>4233.75</v>
      </c>
      <c r="E1954" s="13" t="str">
        <f t="shared" si="3"/>
        <v>LONG</v>
      </c>
      <c r="F1954" s="3">
        <f t="shared" si="4"/>
        <v>-0.007658795634</v>
      </c>
      <c r="G1954" s="4">
        <f t="shared" si="5"/>
        <v>2.091186711</v>
      </c>
      <c r="H1954" s="3">
        <f t="shared" si="6"/>
        <v>-0.007658795634</v>
      </c>
      <c r="I1954" s="5">
        <f t="shared" si="7"/>
        <v>1.484155599</v>
      </c>
    </row>
    <row r="1955">
      <c r="A1955" s="12">
        <f>IFERROR(__xludf.DUMMYFUNCTION("""COMPUTED_VALUE"""),45103.66666666667)</f>
        <v>45103.66667</v>
      </c>
      <c r="B1955" s="13">
        <f>IFERROR(__xludf.DUMMYFUNCTION("""COMPUTED_VALUE"""),4328.82)</f>
        <v>4328.82</v>
      </c>
      <c r="C1955" s="13">
        <f t="shared" si="1"/>
        <v>4313.84</v>
      </c>
      <c r="D1955" s="13">
        <f t="shared" si="2"/>
        <v>4233.23</v>
      </c>
      <c r="E1955" s="13" t="str">
        <f t="shared" si="3"/>
        <v>LONG</v>
      </c>
      <c r="F1955" s="3">
        <f t="shared" si="4"/>
        <v>-0.004486779982</v>
      </c>
      <c r="G1955" s="4">
        <f t="shared" si="5"/>
        <v>2.081804017</v>
      </c>
      <c r="H1955" s="3">
        <f t="shared" si="6"/>
        <v>-0.004486779982</v>
      </c>
      <c r="I1955" s="5">
        <f t="shared" si="7"/>
        <v>1.477496519</v>
      </c>
    </row>
    <row r="1956">
      <c r="A1956" s="12">
        <f>IFERROR(__xludf.DUMMYFUNCTION("""COMPUTED_VALUE"""),45104.66666666667)</f>
        <v>45104.66667</v>
      </c>
      <c r="B1956" s="13">
        <f>IFERROR(__xludf.DUMMYFUNCTION("""COMPUTED_VALUE"""),4378.41)</f>
        <v>4378.41</v>
      </c>
      <c r="C1956" s="13">
        <f t="shared" si="1"/>
        <v>4358.67</v>
      </c>
      <c r="D1956" s="13">
        <f t="shared" si="2"/>
        <v>4254.515</v>
      </c>
      <c r="E1956" s="13" t="str">
        <f t="shared" si="3"/>
        <v>LONG</v>
      </c>
      <c r="F1956" s="3">
        <f t="shared" si="4"/>
        <v>0.01145577779</v>
      </c>
      <c r="G1956" s="4">
        <f t="shared" si="5"/>
        <v>2.105652701</v>
      </c>
      <c r="H1956" s="3">
        <f t="shared" si="6"/>
        <v>0.01145577779</v>
      </c>
      <c r="I1956" s="5">
        <f t="shared" si="7"/>
        <v>1.494422391</v>
      </c>
    </row>
    <row r="1957">
      <c r="A1957" s="12">
        <f>IFERROR(__xludf.DUMMYFUNCTION("""COMPUTED_VALUE"""),45105.66666666667)</f>
        <v>45105.66667</v>
      </c>
      <c r="B1957" s="13">
        <f>IFERROR(__xludf.DUMMYFUNCTION("""COMPUTED_VALUE"""),4376.86)</f>
        <v>4376.86</v>
      </c>
      <c r="C1957" s="13">
        <f t="shared" si="1"/>
        <v>4372.935</v>
      </c>
      <c r="D1957" s="13">
        <f t="shared" si="2"/>
        <v>4250.47</v>
      </c>
      <c r="E1957" s="13" t="str">
        <f t="shared" si="3"/>
        <v>LONG</v>
      </c>
      <c r="F1957" s="3">
        <f t="shared" si="4"/>
        <v>-0.0003540097889</v>
      </c>
      <c r="G1957" s="4">
        <f t="shared" si="5"/>
        <v>2.104907279</v>
      </c>
      <c r="H1957" s="3">
        <f t="shared" si="6"/>
        <v>-0.0003540097889</v>
      </c>
      <c r="I1957" s="5">
        <f t="shared" si="7"/>
        <v>1.493893351</v>
      </c>
    </row>
    <row r="1958">
      <c r="A1958" s="12">
        <f>IFERROR(__xludf.DUMMYFUNCTION("""COMPUTED_VALUE"""),45106.66666666667)</f>
        <v>45106.66667</v>
      </c>
      <c r="B1958" s="13">
        <f>IFERROR(__xludf.DUMMYFUNCTION("""COMPUTED_VALUE"""),4396.44)</f>
        <v>4396.44</v>
      </c>
      <c r="C1958" s="13">
        <f t="shared" si="1"/>
        <v>4384.515</v>
      </c>
      <c r="D1958" s="13">
        <f t="shared" si="2"/>
        <v>4266.36</v>
      </c>
      <c r="E1958" s="13" t="str">
        <f t="shared" si="3"/>
        <v>LONG</v>
      </c>
      <c r="F1958" s="3">
        <f t="shared" si="4"/>
        <v>0.004473526684</v>
      </c>
      <c r="G1958" s="4">
        <f t="shared" si="5"/>
        <v>2.114323638</v>
      </c>
      <c r="H1958" s="3">
        <f t="shared" si="6"/>
        <v>0.004473526684</v>
      </c>
      <c r="I1958" s="5">
        <f t="shared" si="7"/>
        <v>1.500576322</v>
      </c>
    </row>
    <row r="1959">
      <c r="A1959" s="12">
        <f>IFERROR(__xludf.DUMMYFUNCTION("""COMPUTED_VALUE"""),45107.66666666667)</f>
        <v>45107.66667</v>
      </c>
      <c r="B1959" s="13">
        <f>IFERROR(__xludf.DUMMYFUNCTION("""COMPUTED_VALUE"""),4450.38)</f>
        <v>4450.38</v>
      </c>
      <c r="C1959" s="13">
        <f t="shared" si="1"/>
        <v>4438.11</v>
      </c>
      <c r="D1959" s="13">
        <f t="shared" si="2"/>
        <v>4280.14</v>
      </c>
      <c r="E1959" s="13" t="str">
        <f t="shared" si="3"/>
        <v>LONG</v>
      </c>
      <c r="F1959" s="3">
        <f t="shared" si="4"/>
        <v>0.01226901766</v>
      </c>
      <c r="G1959" s="4">
        <f t="shared" si="5"/>
        <v>2.140264312</v>
      </c>
      <c r="H1959" s="3">
        <f t="shared" si="6"/>
        <v>0.01226901766</v>
      </c>
      <c r="I1959" s="5">
        <f t="shared" si="7"/>
        <v>1.51898692</v>
      </c>
    </row>
    <row r="1960">
      <c r="A1960" s="12">
        <f>IFERROR(__xludf.DUMMYFUNCTION("""COMPUTED_VALUE"""),45110.54166666667)</f>
        <v>45110.54167</v>
      </c>
      <c r="B1960" s="13">
        <f>IFERROR(__xludf.DUMMYFUNCTION("""COMPUTED_VALUE"""),4455.59)</f>
        <v>4455.59</v>
      </c>
      <c r="C1960" s="13">
        <f t="shared" si="1"/>
        <v>4432.59</v>
      </c>
      <c r="D1960" s="13">
        <f t="shared" si="2"/>
        <v>4307.18</v>
      </c>
      <c r="E1960" s="13" t="str">
        <f t="shared" si="3"/>
        <v>LONG</v>
      </c>
      <c r="F1960" s="3">
        <f t="shared" si="4"/>
        <v>0.001170686548</v>
      </c>
      <c r="G1960" s="4">
        <f t="shared" si="5"/>
        <v>2.142769891</v>
      </c>
      <c r="H1960" s="3">
        <f t="shared" si="6"/>
        <v>0.001170686548</v>
      </c>
      <c r="I1960" s="5">
        <f t="shared" si="7"/>
        <v>1.520765177</v>
      </c>
    </row>
    <row r="1961">
      <c r="A1961" s="12">
        <f>IFERROR(__xludf.DUMMYFUNCTION("""COMPUTED_VALUE"""),45112.66666666667)</f>
        <v>45112.66667</v>
      </c>
      <c r="B1961" s="13">
        <f>IFERROR(__xludf.DUMMYFUNCTION("""COMPUTED_VALUE"""),4446.82)</f>
        <v>4446.82</v>
      </c>
      <c r="C1961" s="13">
        <f t="shared" si="1"/>
        <v>4417.765</v>
      </c>
      <c r="D1961" s="13">
        <f t="shared" si="2"/>
        <v>4322.435</v>
      </c>
      <c r="E1961" s="13" t="str">
        <f t="shared" si="3"/>
        <v>LONG</v>
      </c>
      <c r="F1961" s="3">
        <f t="shared" si="4"/>
        <v>-0.001968313961</v>
      </c>
      <c r="G1961" s="4">
        <f t="shared" si="5"/>
        <v>2.138552247</v>
      </c>
      <c r="H1961" s="3">
        <f t="shared" si="6"/>
        <v>-0.001968313961</v>
      </c>
      <c r="I1961" s="5">
        <f t="shared" si="7"/>
        <v>1.517771834</v>
      </c>
    </row>
    <row r="1962">
      <c r="A1962" s="12">
        <f>IFERROR(__xludf.DUMMYFUNCTION("""COMPUTED_VALUE"""),45113.66666666667)</f>
        <v>45113.66667</v>
      </c>
      <c r="B1962" s="13">
        <f>IFERROR(__xludf.DUMMYFUNCTION("""COMPUTED_VALUE"""),4411.59)</f>
        <v>4411.59</v>
      </c>
      <c r="C1962" s="13">
        <f t="shared" si="1"/>
        <v>4388.64</v>
      </c>
      <c r="D1962" s="13">
        <f t="shared" si="2"/>
        <v>4301.785</v>
      </c>
      <c r="E1962" s="13" t="str">
        <f t="shared" si="3"/>
        <v>LONG</v>
      </c>
      <c r="F1962" s="3">
        <f t="shared" si="4"/>
        <v>-0.007922515416</v>
      </c>
      <c r="G1962" s="4">
        <f t="shared" si="5"/>
        <v>2.121609534</v>
      </c>
      <c r="H1962" s="3">
        <f t="shared" si="6"/>
        <v>-0.007922515416</v>
      </c>
      <c r="I1962" s="5">
        <f t="shared" si="7"/>
        <v>1.505747263</v>
      </c>
    </row>
    <row r="1963">
      <c r="A1963" s="12">
        <f>IFERROR(__xludf.DUMMYFUNCTION("""COMPUTED_VALUE"""),45114.66666666667)</f>
        <v>45114.66667</v>
      </c>
      <c r="B1963" s="13">
        <f>IFERROR(__xludf.DUMMYFUNCTION("""COMPUTED_VALUE"""),4398.95)</f>
        <v>4398.95</v>
      </c>
      <c r="C1963" s="13">
        <f t="shared" si="1"/>
        <v>4390.42</v>
      </c>
      <c r="D1963" s="13">
        <f t="shared" si="2"/>
        <v>4295.79</v>
      </c>
      <c r="E1963" s="13" t="str">
        <f t="shared" si="3"/>
        <v>LONG</v>
      </c>
      <c r="F1963" s="3">
        <f t="shared" si="4"/>
        <v>-0.002865180128</v>
      </c>
      <c r="G1963" s="4">
        <f t="shared" si="5"/>
        <v>2.11553074</v>
      </c>
      <c r="H1963" s="3">
        <f t="shared" si="6"/>
        <v>-0.002865180128</v>
      </c>
      <c r="I1963" s="5">
        <f t="shared" si="7"/>
        <v>1.501433026</v>
      </c>
    </row>
    <row r="1964">
      <c r="A1964" s="12">
        <f>IFERROR(__xludf.DUMMYFUNCTION("""COMPUTED_VALUE"""),45117.66666666667)</f>
        <v>45117.66667</v>
      </c>
      <c r="B1964" s="13">
        <f>IFERROR(__xludf.DUMMYFUNCTION("""COMPUTED_VALUE"""),4409.53)</f>
        <v>4409.53</v>
      </c>
      <c r="C1964" s="13">
        <f t="shared" si="1"/>
        <v>4378.93</v>
      </c>
      <c r="D1964" s="13">
        <f t="shared" si="2"/>
        <v>4277.555</v>
      </c>
      <c r="E1964" s="13" t="str">
        <f t="shared" si="3"/>
        <v>LONG</v>
      </c>
      <c r="F1964" s="3">
        <f t="shared" si="4"/>
        <v>0.002405119403</v>
      </c>
      <c r="G1964" s="4">
        <f t="shared" si="5"/>
        <v>2.120618844</v>
      </c>
      <c r="H1964" s="3">
        <f t="shared" si="6"/>
        <v>0.002405119403</v>
      </c>
      <c r="I1964" s="5">
        <f t="shared" si="7"/>
        <v>1.505044152</v>
      </c>
    </row>
    <row r="1965">
      <c r="A1965" s="12">
        <f>IFERROR(__xludf.DUMMYFUNCTION("""COMPUTED_VALUE"""),45118.66666666667)</f>
        <v>45118.66667</v>
      </c>
      <c r="B1965" s="13">
        <f>IFERROR(__xludf.DUMMYFUNCTION("""COMPUTED_VALUE"""),4439.26)</f>
        <v>4439.26</v>
      </c>
      <c r="C1965" s="13">
        <f t="shared" si="1"/>
        <v>4384.04</v>
      </c>
      <c r="D1965" s="13">
        <f t="shared" si="2"/>
        <v>4277.25</v>
      </c>
      <c r="E1965" s="13" t="str">
        <f t="shared" si="3"/>
        <v>LONG</v>
      </c>
      <c r="F1965" s="3">
        <f t="shared" si="4"/>
        <v>0.006742215157</v>
      </c>
      <c r="G1965" s="4">
        <f t="shared" si="5"/>
        <v>2.134916513</v>
      </c>
      <c r="H1965" s="3">
        <f t="shared" si="6"/>
        <v>0.006742215157</v>
      </c>
      <c r="I1965" s="5">
        <f t="shared" si="7"/>
        <v>1.515191483</v>
      </c>
    </row>
    <row r="1966">
      <c r="A1966" s="12">
        <f>IFERROR(__xludf.DUMMYFUNCTION("""COMPUTED_VALUE"""),45119.66666666667)</f>
        <v>45119.66667</v>
      </c>
      <c r="B1966" s="13">
        <f>IFERROR(__xludf.DUMMYFUNCTION("""COMPUTED_VALUE"""),4472.16)</f>
        <v>4472.16</v>
      </c>
      <c r="C1966" s="13">
        <f t="shared" si="1"/>
        <v>4425.285</v>
      </c>
      <c r="D1966" s="13">
        <f t="shared" si="2"/>
        <v>4311.72</v>
      </c>
      <c r="E1966" s="13" t="str">
        <f t="shared" si="3"/>
        <v>LONG</v>
      </c>
      <c r="F1966" s="3">
        <f t="shared" si="4"/>
        <v>0.007411145101</v>
      </c>
      <c r="G1966" s="4">
        <f t="shared" si="5"/>
        <v>2.150738689</v>
      </c>
      <c r="H1966" s="3">
        <f t="shared" si="6"/>
        <v>0.007411145101</v>
      </c>
      <c r="I1966" s="5">
        <f t="shared" si="7"/>
        <v>1.526420787</v>
      </c>
    </row>
    <row r="1967">
      <c r="A1967" s="12">
        <f>IFERROR(__xludf.DUMMYFUNCTION("""COMPUTED_VALUE"""),45120.66666666667)</f>
        <v>45120.66667</v>
      </c>
      <c r="B1967" s="13">
        <f>IFERROR(__xludf.DUMMYFUNCTION("""COMPUTED_VALUE"""),4510.04)</f>
        <v>4510.04</v>
      </c>
      <c r="C1967" s="13">
        <f t="shared" si="1"/>
        <v>4443.45</v>
      </c>
      <c r="D1967" s="13">
        <f t="shared" si="2"/>
        <v>4357.745</v>
      </c>
      <c r="E1967" s="13" t="str">
        <f t="shared" si="3"/>
        <v>LONG</v>
      </c>
      <c r="F1967" s="3">
        <f t="shared" si="4"/>
        <v>0.008470179958</v>
      </c>
      <c r="G1967" s="4">
        <f t="shared" si="5"/>
        <v>2.168955833</v>
      </c>
      <c r="H1967" s="3">
        <f t="shared" si="6"/>
        <v>0.008470179958</v>
      </c>
      <c r="I1967" s="5">
        <f t="shared" si="7"/>
        <v>1.539349846</v>
      </c>
    </row>
    <row r="1968">
      <c r="A1968" s="12">
        <f>IFERROR(__xludf.DUMMYFUNCTION("""COMPUTED_VALUE"""),45121.66666666667)</f>
        <v>45121.66667</v>
      </c>
      <c r="B1968" s="13">
        <f>IFERROR(__xludf.DUMMYFUNCTION("""COMPUTED_VALUE"""),4505.42)</f>
        <v>4505.42</v>
      </c>
      <c r="C1968" s="13">
        <f t="shared" si="1"/>
        <v>4450.93</v>
      </c>
      <c r="D1968" s="13">
        <f t="shared" si="2"/>
        <v>4355.47</v>
      </c>
      <c r="E1968" s="13" t="str">
        <f t="shared" si="3"/>
        <v>LONG</v>
      </c>
      <c r="F1968" s="3">
        <f t="shared" si="4"/>
        <v>-0.001024381158</v>
      </c>
      <c r="G1968" s="4">
        <f t="shared" si="5"/>
        <v>2.166733995</v>
      </c>
      <c r="H1968" s="3">
        <f t="shared" si="6"/>
        <v>-0.001024381158</v>
      </c>
      <c r="I1968" s="5">
        <f t="shared" si="7"/>
        <v>1.537772965</v>
      </c>
    </row>
    <row r="1969">
      <c r="A1969" s="12">
        <f>IFERROR(__xludf.DUMMYFUNCTION("""COMPUTED_VALUE"""),45124.66666666667)</f>
        <v>45124.66667</v>
      </c>
      <c r="B1969" s="13">
        <f>IFERROR(__xludf.DUMMYFUNCTION("""COMPUTED_VALUE"""),4522.79)</f>
        <v>4522.79</v>
      </c>
      <c r="C1969" s="13">
        <f t="shared" si="1"/>
        <v>4486.585</v>
      </c>
      <c r="D1969" s="13">
        <f t="shared" si="2"/>
        <v>4351.31</v>
      </c>
      <c r="E1969" s="13" t="str">
        <f t="shared" si="3"/>
        <v>LONG</v>
      </c>
      <c r="F1969" s="3">
        <f t="shared" si="4"/>
        <v>0.003855356437</v>
      </c>
      <c r="G1969" s="4">
        <f t="shared" si="5"/>
        <v>2.175087527</v>
      </c>
      <c r="H1969" s="3">
        <f t="shared" si="6"/>
        <v>0.003855356437</v>
      </c>
      <c r="I1969" s="5">
        <f t="shared" si="7"/>
        <v>1.543701628</v>
      </c>
    </row>
    <row r="1970">
      <c r="A1970" s="12">
        <f>IFERROR(__xludf.DUMMYFUNCTION("""COMPUTED_VALUE"""),45125.66666666667)</f>
        <v>45125.66667</v>
      </c>
      <c r="B1970" s="13">
        <f>IFERROR(__xludf.DUMMYFUNCTION("""COMPUTED_VALUE"""),4554.98)</f>
        <v>4554.98</v>
      </c>
      <c r="C1970" s="13">
        <f t="shared" si="1"/>
        <v>4505.285</v>
      </c>
      <c r="D1970" s="13">
        <f t="shared" si="2"/>
        <v>4388</v>
      </c>
      <c r="E1970" s="13" t="str">
        <f t="shared" si="3"/>
        <v>LONG</v>
      </c>
      <c r="F1970" s="3">
        <f t="shared" si="4"/>
        <v>0.007117288223</v>
      </c>
      <c r="G1970" s="4">
        <f t="shared" si="5"/>
        <v>2.190568252</v>
      </c>
      <c r="H1970" s="3">
        <f t="shared" si="6"/>
        <v>0.007117288223</v>
      </c>
      <c r="I1970" s="5">
        <f t="shared" si="7"/>
        <v>1.554688597</v>
      </c>
    </row>
    <row r="1971">
      <c r="A1971" s="12">
        <f>IFERROR(__xludf.DUMMYFUNCTION("""COMPUTED_VALUE"""),45126.66666666667)</f>
        <v>45126.66667</v>
      </c>
      <c r="B1971" s="13">
        <f>IFERROR(__xludf.DUMMYFUNCTION("""COMPUTED_VALUE"""),4565.72)</f>
        <v>4565.72</v>
      </c>
      <c r="C1971" s="13">
        <f t="shared" si="1"/>
        <v>4506.27</v>
      </c>
      <c r="D1971" s="13">
        <f t="shared" si="2"/>
        <v>4424.045</v>
      </c>
      <c r="E1971" s="13" t="str">
        <f t="shared" si="3"/>
        <v>LONG</v>
      </c>
      <c r="F1971" s="3">
        <f t="shared" si="4"/>
        <v>0.002357858871</v>
      </c>
      <c r="G1971" s="4">
        <f t="shared" si="5"/>
        <v>2.195733303</v>
      </c>
      <c r="H1971" s="3">
        <f t="shared" si="6"/>
        <v>0.002357858871</v>
      </c>
      <c r="I1971" s="5">
        <f t="shared" si="7"/>
        <v>1.558354334</v>
      </c>
    </row>
    <row r="1972">
      <c r="A1972" s="12">
        <f>IFERROR(__xludf.DUMMYFUNCTION("""COMPUTED_VALUE"""),45127.66666666667)</f>
        <v>45127.66667</v>
      </c>
      <c r="B1972" s="13">
        <f>IFERROR(__xludf.DUMMYFUNCTION("""COMPUTED_VALUE"""),4534.87)</f>
        <v>4534.87</v>
      </c>
      <c r="C1972" s="13">
        <f t="shared" si="1"/>
        <v>4473.23</v>
      </c>
      <c r="D1972" s="13">
        <f t="shared" si="2"/>
        <v>4404.33</v>
      </c>
      <c r="E1972" s="13" t="str">
        <f t="shared" si="3"/>
        <v>LONG</v>
      </c>
      <c r="F1972" s="3">
        <f t="shared" si="4"/>
        <v>-0.006756875148</v>
      </c>
      <c r="G1972" s="4">
        <f t="shared" si="5"/>
        <v>2.180897007</v>
      </c>
      <c r="H1972" s="3">
        <f t="shared" si="6"/>
        <v>-0.006756875148</v>
      </c>
      <c r="I1972" s="5">
        <f t="shared" si="7"/>
        <v>1.547824728</v>
      </c>
    </row>
    <row r="1973">
      <c r="A1973" s="12">
        <f>IFERROR(__xludf.DUMMYFUNCTION("""COMPUTED_VALUE"""),45128.66666666667)</f>
        <v>45128.66667</v>
      </c>
      <c r="B1973" s="13">
        <f>IFERROR(__xludf.DUMMYFUNCTION("""COMPUTED_VALUE"""),4536.34)</f>
        <v>4536.34</v>
      </c>
      <c r="C1973" s="13">
        <f t="shared" si="1"/>
        <v>4467.645</v>
      </c>
      <c r="D1973" s="13">
        <f t="shared" si="2"/>
        <v>4410.095</v>
      </c>
      <c r="E1973" s="13" t="str">
        <f t="shared" si="3"/>
        <v>LONG</v>
      </c>
      <c r="F1973" s="3">
        <f t="shared" si="4"/>
        <v>0.0003241548269</v>
      </c>
      <c r="G1973" s="4">
        <f t="shared" si="5"/>
        <v>2.181603955</v>
      </c>
      <c r="H1973" s="3">
        <f t="shared" si="6"/>
        <v>0.0003241548269</v>
      </c>
      <c r="I1973" s="5">
        <f t="shared" si="7"/>
        <v>1.548326463</v>
      </c>
    </row>
    <row r="1974">
      <c r="A1974" s="12">
        <f>IFERROR(__xludf.DUMMYFUNCTION("""COMPUTED_VALUE"""),45131.66666666667)</f>
        <v>45131.66667</v>
      </c>
      <c r="B1974" s="13">
        <f>IFERROR(__xludf.DUMMYFUNCTION("""COMPUTED_VALUE"""),4554.64)</f>
        <v>4554.64</v>
      </c>
      <c r="C1974" s="13">
        <f t="shared" si="1"/>
        <v>4482.085</v>
      </c>
      <c r="D1974" s="13">
        <f t="shared" si="2"/>
        <v>4411.08</v>
      </c>
      <c r="E1974" s="13" t="str">
        <f t="shared" si="3"/>
        <v>LONG</v>
      </c>
      <c r="F1974" s="3">
        <f t="shared" si="4"/>
        <v>0.004034089156</v>
      </c>
      <c r="G1974" s="4">
        <f t="shared" si="5"/>
        <v>2.19040474</v>
      </c>
      <c r="H1974" s="3">
        <f t="shared" si="6"/>
        <v>0.004034089156</v>
      </c>
      <c r="I1974" s="5">
        <f t="shared" si="7"/>
        <v>1.55457255</v>
      </c>
    </row>
    <row r="1975">
      <c r="A1975" s="12">
        <f>IFERROR(__xludf.DUMMYFUNCTION("""COMPUTED_VALUE"""),45132.66666666667)</f>
        <v>45132.66667</v>
      </c>
      <c r="B1975" s="13">
        <f>IFERROR(__xludf.DUMMYFUNCTION("""COMPUTED_VALUE"""),4567.46)</f>
        <v>4567.46</v>
      </c>
      <c r="C1975" s="13">
        <f t="shared" si="1"/>
        <v>4503.36</v>
      </c>
      <c r="D1975" s="13">
        <f t="shared" si="2"/>
        <v>4430.695</v>
      </c>
      <c r="E1975" s="13" t="str">
        <f t="shared" si="3"/>
        <v>LONG</v>
      </c>
      <c r="F1975" s="3">
        <f t="shared" si="4"/>
        <v>0.00281471203</v>
      </c>
      <c r="G1975" s="4">
        <f t="shared" si="5"/>
        <v>2.196570098</v>
      </c>
      <c r="H1975" s="3">
        <f t="shared" si="6"/>
        <v>0.00281471203</v>
      </c>
      <c r="I1975" s="5">
        <f t="shared" si="7"/>
        <v>1.558948224</v>
      </c>
    </row>
    <row r="1976">
      <c r="A1976" s="12">
        <f>IFERROR(__xludf.DUMMYFUNCTION("""COMPUTED_VALUE"""),45133.66666666667)</f>
        <v>45133.66667</v>
      </c>
      <c r="B1976" s="13">
        <f>IFERROR(__xludf.DUMMYFUNCTION("""COMPUTED_VALUE"""),4566.75)</f>
        <v>4566.75</v>
      </c>
      <c r="C1976" s="13">
        <f t="shared" si="1"/>
        <v>4519.455</v>
      </c>
      <c r="D1976" s="13">
        <f t="shared" si="2"/>
        <v>4432.805</v>
      </c>
      <c r="E1976" s="13" t="str">
        <f t="shared" si="3"/>
        <v>LONG</v>
      </c>
      <c r="F1976" s="3">
        <f t="shared" si="4"/>
        <v>-0.0001554474478</v>
      </c>
      <c r="G1976" s="4">
        <f t="shared" si="5"/>
        <v>2.196228647</v>
      </c>
      <c r="H1976" s="3">
        <f t="shared" si="6"/>
        <v>-0.0001554474478</v>
      </c>
      <c r="I1976" s="5">
        <f t="shared" si="7"/>
        <v>1.558705889</v>
      </c>
    </row>
    <row r="1977">
      <c r="A1977" s="12">
        <f>IFERROR(__xludf.DUMMYFUNCTION("""COMPUTED_VALUE"""),45134.66666666667)</f>
        <v>45134.66667</v>
      </c>
      <c r="B1977" s="13">
        <f>IFERROR(__xludf.DUMMYFUNCTION("""COMPUTED_VALUE"""),4537.41)</f>
        <v>4537.41</v>
      </c>
      <c r="C1977" s="13">
        <f t="shared" si="1"/>
        <v>4523.725</v>
      </c>
      <c r="D1977" s="13">
        <f t="shared" si="2"/>
        <v>4438.17</v>
      </c>
      <c r="E1977" s="13" t="str">
        <f t="shared" si="3"/>
        <v>LONG</v>
      </c>
      <c r="F1977" s="3">
        <f t="shared" si="4"/>
        <v>-0.006424700279</v>
      </c>
      <c r="G1977" s="4">
        <f t="shared" si="5"/>
        <v>2.182118536</v>
      </c>
      <c r="H1977" s="3">
        <f t="shared" si="6"/>
        <v>-0.006424700279</v>
      </c>
      <c r="I1977" s="5">
        <f t="shared" si="7"/>
        <v>1.548691671</v>
      </c>
    </row>
    <row r="1978">
      <c r="A1978" s="12">
        <f>IFERROR(__xludf.DUMMYFUNCTION("""COMPUTED_VALUE"""),45135.66666666667)</f>
        <v>45135.66667</v>
      </c>
      <c r="B1978" s="13">
        <f>IFERROR(__xludf.DUMMYFUNCTION("""COMPUTED_VALUE"""),4582.23)</f>
        <v>4582.23</v>
      </c>
      <c r="C1978" s="13">
        <f t="shared" si="1"/>
        <v>4543.825</v>
      </c>
      <c r="D1978" s="13">
        <f t="shared" si="2"/>
        <v>4475.62</v>
      </c>
      <c r="E1978" s="13" t="str">
        <f t="shared" si="3"/>
        <v>LONG</v>
      </c>
      <c r="F1978" s="3">
        <f t="shared" si="4"/>
        <v>0.009877881875</v>
      </c>
      <c r="G1978" s="4">
        <f t="shared" si="5"/>
        <v>2.203673246</v>
      </c>
      <c r="H1978" s="3">
        <f t="shared" si="6"/>
        <v>0.009877881875</v>
      </c>
      <c r="I1978" s="5">
        <f t="shared" si="7"/>
        <v>1.563989465</v>
      </c>
    </row>
    <row r="1979">
      <c r="A1979" s="12">
        <f>IFERROR(__xludf.DUMMYFUNCTION("""COMPUTED_VALUE"""),45138.66666666667)</f>
        <v>45138.66667</v>
      </c>
      <c r="B1979" s="13">
        <f>IFERROR(__xludf.DUMMYFUNCTION("""COMPUTED_VALUE"""),4588.96)</f>
        <v>4588.96</v>
      </c>
      <c r="C1979" s="13">
        <f t="shared" si="1"/>
        <v>4555.875</v>
      </c>
      <c r="D1979" s="13">
        <f t="shared" si="2"/>
        <v>4480.775</v>
      </c>
      <c r="E1979" s="13" t="str">
        <f t="shared" si="3"/>
        <v>LONG</v>
      </c>
      <c r="F1979" s="3">
        <f t="shared" si="4"/>
        <v>0.001468717197</v>
      </c>
      <c r="G1979" s="4">
        <f t="shared" si="5"/>
        <v>2.206909818</v>
      </c>
      <c r="H1979" s="3">
        <f t="shared" si="6"/>
        <v>0.001468717197</v>
      </c>
      <c r="I1979" s="5">
        <f t="shared" si="7"/>
        <v>1.566286523</v>
      </c>
    </row>
    <row r="1980">
      <c r="A1980" s="12">
        <f>IFERROR(__xludf.DUMMYFUNCTION("""COMPUTED_VALUE"""),45139.66666666667)</f>
        <v>45139.66667</v>
      </c>
      <c r="B1980" s="13">
        <f>IFERROR(__xludf.DUMMYFUNCTION("""COMPUTED_VALUE"""),4576.73)</f>
        <v>4576.73</v>
      </c>
      <c r="C1980" s="13">
        <f t="shared" si="1"/>
        <v>4565.855</v>
      </c>
      <c r="D1980" s="13">
        <f t="shared" si="2"/>
        <v>4501.285</v>
      </c>
      <c r="E1980" s="13" t="str">
        <f t="shared" si="3"/>
        <v>LONG</v>
      </c>
      <c r="F1980" s="3">
        <f t="shared" si="4"/>
        <v>-0.002665091873</v>
      </c>
      <c r="G1980" s="4">
        <f t="shared" si="5"/>
        <v>2.201028201</v>
      </c>
      <c r="H1980" s="3">
        <f t="shared" si="6"/>
        <v>-0.002665091873</v>
      </c>
      <c r="I1980" s="5">
        <f t="shared" si="7"/>
        <v>1.562112225</v>
      </c>
    </row>
    <row r="1981">
      <c r="A1981" s="12">
        <f>IFERROR(__xludf.DUMMYFUNCTION("""COMPUTED_VALUE"""),45140.66666666667)</f>
        <v>45140.66667</v>
      </c>
      <c r="B1981" s="13">
        <f>IFERROR(__xludf.DUMMYFUNCTION("""COMPUTED_VALUE"""),4513.39)</f>
        <v>4513.39</v>
      </c>
      <c r="C1981" s="13">
        <f t="shared" si="1"/>
        <v>4539.555</v>
      </c>
      <c r="D1981" s="13">
        <f t="shared" si="2"/>
        <v>4461.49</v>
      </c>
      <c r="E1981" s="13" t="str">
        <f t="shared" si="3"/>
        <v>LONG</v>
      </c>
      <c r="F1981" s="3">
        <f t="shared" si="4"/>
        <v>-0.01383957542</v>
      </c>
      <c r="G1981" s="4">
        <f t="shared" si="5"/>
        <v>2.170566905</v>
      </c>
      <c r="H1981" s="3">
        <f t="shared" si="6"/>
        <v>-0.01383957542</v>
      </c>
      <c r="I1981" s="5">
        <f t="shared" si="7"/>
        <v>1.540493255</v>
      </c>
    </row>
    <row r="1982">
      <c r="A1982" s="12">
        <f>IFERROR(__xludf.DUMMYFUNCTION("""COMPUTED_VALUE"""),45141.66666666667)</f>
        <v>45141.66667</v>
      </c>
      <c r="B1982" s="13">
        <f>IFERROR(__xludf.DUMMYFUNCTION("""COMPUTED_VALUE"""),4501.89)</f>
        <v>4501.89</v>
      </c>
      <c r="C1982" s="13">
        <f t="shared" si="1"/>
        <v>4518.38</v>
      </c>
      <c r="D1982" s="13">
        <f t="shared" si="2"/>
        <v>4445.3</v>
      </c>
      <c r="E1982" s="13" t="str">
        <f t="shared" si="3"/>
        <v>LONG</v>
      </c>
      <c r="F1982" s="3">
        <f t="shared" si="4"/>
        <v>-0.002547973918</v>
      </c>
      <c r="G1982" s="4">
        <f t="shared" si="5"/>
        <v>2.165036357</v>
      </c>
      <c r="H1982" s="3">
        <f t="shared" si="6"/>
        <v>-0.002547973918</v>
      </c>
      <c r="I1982" s="5">
        <f t="shared" si="7"/>
        <v>1.536568119</v>
      </c>
    </row>
    <row r="1983">
      <c r="A1983" s="12">
        <f>IFERROR(__xludf.DUMMYFUNCTION("""COMPUTED_VALUE"""),45142.66666666667)</f>
        <v>45142.66667</v>
      </c>
      <c r="B1983" s="13">
        <f>IFERROR(__xludf.DUMMYFUNCTION("""COMPUTED_VALUE"""),4478.03)</f>
        <v>4478.03</v>
      </c>
      <c r="C1983" s="13">
        <f t="shared" si="1"/>
        <v>4507.185</v>
      </c>
      <c r="D1983" s="13">
        <f t="shared" si="2"/>
        <v>4421.86</v>
      </c>
      <c r="E1983" s="13" t="str">
        <f t="shared" si="3"/>
        <v>LONG</v>
      </c>
      <c r="F1983" s="3">
        <f t="shared" si="4"/>
        <v>-0.005299996224</v>
      </c>
      <c r="G1983" s="4">
        <f t="shared" si="5"/>
        <v>2.153561673</v>
      </c>
      <c r="H1983" s="3">
        <f t="shared" si="6"/>
        <v>-0.005299996224</v>
      </c>
      <c r="I1983" s="5">
        <f t="shared" si="7"/>
        <v>1.528424313</v>
      </c>
    </row>
    <row r="1984">
      <c r="A1984" s="12">
        <f>IFERROR(__xludf.DUMMYFUNCTION("""COMPUTED_VALUE"""),45145.66666666667)</f>
        <v>45145.66667</v>
      </c>
      <c r="B1984" s="13">
        <f>IFERROR(__xludf.DUMMYFUNCTION("""COMPUTED_VALUE"""),4518.44)</f>
        <v>4518.44</v>
      </c>
      <c r="C1984" s="13">
        <f t="shared" si="1"/>
        <v>4536.54</v>
      </c>
      <c r="D1984" s="13">
        <f t="shared" si="2"/>
        <v>4450.165</v>
      </c>
      <c r="E1984" s="13" t="str">
        <f t="shared" si="3"/>
        <v>LONG</v>
      </c>
      <c r="F1984" s="3">
        <f t="shared" si="4"/>
        <v>0.009024057454</v>
      </c>
      <c r="G1984" s="4">
        <f t="shared" si="5"/>
        <v>2.172995537</v>
      </c>
      <c r="H1984" s="3">
        <f t="shared" si="6"/>
        <v>0.009024057454</v>
      </c>
      <c r="I1984" s="5">
        <f t="shared" si="7"/>
        <v>1.542216902</v>
      </c>
    </row>
    <row r="1985">
      <c r="A1985" s="12">
        <f>IFERROR(__xludf.DUMMYFUNCTION("""COMPUTED_VALUE"""),45146.66666666667)</f>
        <v>45146.66667</v>
      </c>
      <c r="B1985" s="13">
        <f>IFERROR(__xludf.DUMMYFUNCTION("""COMPUTED_VALUE"""),4499.38)</f>
        <v>4499.38</v>
      </c>
      <c r="C1985" s="13">
        <f t="shared" si="1"/>
        <v>4533.42</v>
      </c>
      <c r="D1985" s="13">
        <f t="shared" si="2"/>
        <v>4423.855</v>
      </c>
      <c r="E1985" s="13" t="str">
        <f t="shared" si="3"/>
        <v>LONG</v>
      </c>
      <c r="F1985" s="3">
        <f t="shared" si="4"/>
        <v>-0.004218270022</v>
      </c>
      <c r="G1985" s="4">
        <f t="shared" si="5"/>
        <v>2.163829255</v>
      </c>
      <c r="H1985" s="3">
        <f t="shared" si="6"/>
        <v>-0.004218270022</v>
      </c>
      <c r="I1985" s="5">
        <f t="shared" si="7"/>
        <v>1.535711415</v>
      </c>
    </row>
    <row r="1986">
      <c r="A1986" s="12">
        <f>IFERROR(__xludf.DUMMYFUNCTION("""COMPUTED_VALUE"""),45147.66666666667)</f>
        <v>45147.66667</v>
      </c>
      <c r="B1986" s="13">
        <f>IFERROR(__xludf.DUMMYFUNCTION("""COMPUTED_VALUE"""),4467.71)</f>
        <v>4467.71</v>
      </c>
      <c r="C1986" s="13">
        <f t="shared" si="1"/>
        <v>4517.23</v>
      </c>
      <c r="D1986" s="13">
        <f t="shared" si="2"/>
        <v>4398.265</v>
      </c>
      <c r="E1986" s="13" t="str">
        <f t="shared" si="3"/>
        <v>LONG</v>
      </c>
      <c r="F1986" s="3">
        <f t="shared" si="4"/>
        <v>-0.007038747561</v>
      </c>
      <c r="G1986" s="4">
        <f t="shared" si="5"/>
        <v>2.148598607</v>
      </c>
      <c r="H1986" s="3">
        <f t="shared" si="6"/>
        <v>-0.007038747561</v>
      </c>
      <c r="I1986" s="5">
        <f t="shared" si="7"/>
        <v>1.52490193</v>
      </c>
    </row>
    <row r="1987">
      <c r="A1987" s="12">
        <f>IFERROR(__xludf.DUMMYFUNCTION("""COMPUTED_VALUE"""),45148.66666666667)</f>
        <v>45148.66667</v>
      </c>
      <c r="B1987" s="13">
        <f>IFERROR(__xludf.DUMMYFUNCTION("""COMPUTED_VALUE"""),4468.83)</f>
        <v>4468.83</v>
      </c>
      <c r="C1987" s="13">
        <f t="shared" si="1"/>
        <v>4503.12</v>
      </c>
      <c r="D1987" s="13">
        <f t="shared" si="2"/>
        <v>4423.62</v>
      </c>
      <c r="E1987" s="13" t="str">
        <f t="shared" si="3"/>
        <v>LONG</v>
      </c>
      <c r="F1987" s="3">
        <f t="shared" si="4"/>
        <v>0.0002506877125</v>
      </c>
      <c r="G1987" s="4">
        <f t="shared" si="5"/>
        <v>2.149137235</v>
      </c>
      <c r="H1987" s="3">
        <f t="shared" si="6"/>
        <v>0.0002506877125</v>
      </c>
      <c r="I1987" s="5">
        <f t="shared" si="7"/>
        <v>1.525284204</v>
      </c>
    </row>
    <row r="1988">
      <c r="A1988" s="12">
        <f>IFERROR(__xludf.DUMMYFUNCTION("""COMPUTED_VALUE"""),45149.66666666667)</f>
        <v>45149.66667</v>
      </c>
      <c r="B1988" s="13">
        <f>IFERROR(__xludf.DUMMYFUNCTION("""COMPUTED_VALUE"""),4464.05)</f>
        <v>4464.05</v>
      </c>
      <c r="C1988" s="13">
        <f t="shared" si="1"/>
        <v>4523.14</v>
      </c>
      <c r="D1988" s="13">
        <f t="shared" si="2"/>
        <v>4420.455</v>
      </c>
      <c r="E1988" s="13" t="str">
        <f t="shared" si="3"/>
        <v>LONG</v>
      </c>
      <c r="F1988" s="3">
        <f t="shared" si="4"/>
        <v>-0.001069631201</v>
      </c>
      <c r="G1988" s="4">
        <f t="shared" si="5"/>
        <v>2.14683845</v>
      </c>
      <c r="H1988" s="3">
        <f t="shared" si="6"/>
        <v>-0.001069631201</v>
      </c>
      <c r="I1988" s="5">
        <f t="shared" si="7"/>
        <v>1.523652713</v>
      </c>
    </row>
    <row r="1989">
      <c r="A1989" s="12">
        <f>IFERROR(__xludf.DUMMYFUNCTION("""COMPUTED_VALUE"""),45152.66666666667)</f>
        <v>45152.66667</v>
      </c>
      <c r="B1989" s="13">
        <f>IFERROR(__xludf.DUMMYFUNCTION("""COMPUTED_VALUE"""),4489.72)</f>
        <v>4489.72</v>
      </c>
      <c r="C1989" s="13">
        <f t="shared" si="1"/>
        <v>4539.34</v>
      </c>
      <c r="D1989" s="13">
        <f t="shared" si="2"/>
        <v>4443.08</v>
      </c>
      <c r="E1989" s="13" t="str">
        <f t="shared" si="3"/>
        <v>LONG</v>
      </c>
      <c r="F1989" s="3">
        <f t="shared" si="4"/>
        <v>0.00575038362</v>
      </c>
      <c r="G1989" s="4">
        <f t="shared" si="5"/>
        <v>2.159183595</v>
      </c>
      <c r="H1989" s="3">
        <f t="shared" si="6"/>
        <v>0.00575038362</v>
      </c>
      <c r="I1989" s="5">
        <f t="shared" si="7"/>
        <v>1.5324143</v>
      </c>
    </row>
    <row r="1990">
      <c r="A1990" s="12">
        <f>IFERROR(__xludf.DUMMYFUNCTION("""COMPUTED_VALUE"""),45153.66666666667)</f>
        <v>45153.66667</v>
      </c>
      <c r="B1990" s="13">
        <f>IFERROR(__xludf.DUMMYFUNCTION("""COMPUTED_VALUE"""),4437.86)</f>
        <v>4437.86</v>
      </c>
      <c r="C1990" s="13">
        <f t="shared" si="1"/>
        <v>4507.295</v>
      </c>
      <c r="D1990" s="13">
        <f t="shared" si="2"/>
        <v>4444.12</v>
      </c>
      <c r="E1990" s="13" t="str">
        <f t="shared" si="3"/>
        <v>LONG</v>
      </c>
      <c r="F1990" s="3">
        <f t="shared" si="4"/>
        <v>-0.01155083168</v>
      </c>
      <c r="G1990" s="4">
        <f t="shared" si="5"/>
        <v>2.134243229</v>
      </c>
      <c r="H1990" s="3">
        <f t="shared" si="6"/>
        <v>-0.01155083168</v>
      </c>
      <c r="I1990" s="5">
        <f t="shared" si="7"/>
        <v>1.514713641</v>
      </c>
    </row>
    <row r="1991">
      <c r="A1991" s="12">
        <f>IFERROR(__xludf.DUMMYFUNCTION("""COMPUTED_VALUE"""),45154.66666666667)</f>
        <v>45154.66667</v>
      </c>
      <c r="B1991" s="13">
        <f>IFERROR(__xludf.DUMMYFUNCTION("""COMPUTED_VALUE"""),4404.33)</f>
        <v>4404.33</v>
      </c>
      <c r="C1991" s="13">
        <f t="shared" si="1"/>
        <v>4458.86</v>
      </c>
      <c r="D1991" s="13">
        <f t="shared" si="2"/>
        <v>4429.96</v>
      </c>
      <c r="E1991" s="13" t="str">
        <f t="shared" si="3"/>
        <v>LONG</v>
      </c>
      <c r="F1991" s="3">
        <f t="shared" si="4"/>
        <v>-0.007555443389</v>
      </c>
      <c r="G1991" s="4">
        <f t="shared" si="5"/>
        <v>2.118118075</v>
      </c>
      <c r="H1991" s="3">
        <f t="shared" si="6"/>
        <v>-0.007555443389</v>
      </c>
      <c r="I1991" s="5">
        <f t="shared" si="7"/>
        <v>1.503269307</v>
      </c>
    </row>
    <row r="1992">
      <c r="A1992" s="12">
        <f>IFERROR(__xludf.DUMMYFUNCTION("""COMPUTED_VALUE"""),45155.66666666667)</f>
        <v>45155.66667</v>
      </c>
      <c r="B1992" s="13">
        <f>IFERROR(__xludf.DUMMYFUNCTION("""COMPUTED_VALUE"""),4370.36)</f>
        <v>4370.36</v>
      </c>
      <c r="C1992" s="13">
        <f t="shared" si="1"/>
        <v>4436.125</v>
      </c>
      <c r="D1992" s="13">
        <f t="shared" si="2"/>
        <v>4408.59</v>
      </c>
      <c r="E1992" s="13" t="str">
        <f t="shared" si="3"/>
        <v>LONG</v>
      </c>
      <c r="F1992" s="3">
        <f t="shared" si="4"/>
        <v>-0.007712864386</v>
      </c>
      <c r="G1992" s="4">
        <f t="shared" si="5"/>
        <v>2.101781317</v>
      </c>
      <c r="H1992" s="3">
        <f t="shared" si="6"/>
        <v>-0.007712864386</v>
      </c>
      <c r="I1992" s="5">
        <f t="shared" si="7"/>
        <v>1.491674795</v>
      </c>
    </row>
    <row r="1993">
      <c r="A1993" s="12">
        <f>IFERROR(__xludf.DUMMYFUNCTION("""COMPUTED_VALUE"""),45156.66666666667)</f>
        <v>45156.66667</v>
      </c>
      <c r="B1993" s="13">
        <f>IFERROR(__xludf.DUMMYFUNCTION("""COMPUTED_VALUE"""),4369.71)</f>
        <v>4369.71</v>
      </c>
      <c r="C1993" s="13">
        <f t="shared" si="1"/>
        <v>4423.87</v>
      </c>
      <c r="D1993" s="13">
        <f t="shared" si="2"/>
        <v>4390.65</v>
      </c>
      <c r="E1993" s="13" t="str">
        <f t="shared" si="3"/>
        <v>LONG</v>
      </c>
      <c r="F1993" s="3">
        <f t="shared" si="4"/>
        <v>-0.0001487291665</v>
      </c>
      <c r="G1993" s="4">
        <f t="shared" si="5"/>
        <v>2.101468721</v>
      </c>
      <c r="H1993" s="3">
        <f t="shared" si="6"/>
        <v>-0.0001487291665</v>
      </c>
      <c r="I1993" s="5">
        <f t="shared" si="7"/>
        <v>1.49145294</v>
      </c>
    </row>
    <row r="1994">
      <c r="A1994" s="12">
        <f>IFERROR(__xludf.DUMMYFUNCTION("""COMPUTED_VALUE"""),45159.66666666667)</f>
        <v>45159.66667</v>
      </c>
      <c r="B1994" s="13">
        <f>IFERROR(__xludf.DUMMYFUNCTION("""COMPUTED_VALUE"""),4399.77)</f>
        <v>4399.77</v>
      </c>
      <c r="C1994" s="13">
        <f t="shared" si="1"/>
        <v>4459.105</v>
      </c>
      <c r="D1994" s="13">
        <f t="shared" si="2"/>
        <v>4399.36</v>
      </c>
      <c r="E1994" s="13" t="str">
        <f t="shared" si="3"/>
        <v>LONG</v>
      </c>
      <c r="F1994" s="3">
        <f t="shared" si="4"/>
        <v>0.006879175048</v>
      </c>
      <c r="G1994" s="4">
        <f t="shared" si="5"/>
        <v>2.115925092</v>
      </c>
      <c r="H1994" s="3">
        <f t="shared" si="6"/>
        <v>0.006879175048</v>
      </c>
      <c r="I1994" s="5">
        <f t="shared" si="7"/>
        <v>1.501712905</v>
      </c>
    </row>
    <row r="1995">
      <c r="A1995" s="12">
        <f>IFERROR(__xludf.DUMMYFUNCTION("""COMPUTED_VALUE"""),45160.66666666667)</f>
        <v>45160.66667</v>
      </c>
      <c r="B1995" s="13">
        <f>IFERROR(__xludf.DUMMYFUNCTION("""COMPUTED_VALUE"""),4387.55)</f>
        <v>4387.55</v>
      </c>
      <c r="C1995" s="13">
        <f t="shared" si="1"/>
        <v>4443.465</v>
      </c>
      <c r="D1995" s="13">
        <f t="shared" si="2"/>
        <v>4398.54</v>
      </c>
      <c r="E1995" s="13" t="str">
        <f t="shared" si="3"/>
        <v>LONG</v>
      </c>
      <c r="F1995" s="3">
        <f t="shared" si="4"/>
        <v>-0.00277741791</v>
      </c>
      <c r="G1995" s="4">
        <f t="shared" si="5"/>
        <v>2.110048284</v>
      </c>
      <c r="H1995" s="3">
        <f t="shared" si="6"/>
        <v>-0.00277741791</v>
      </c>
      <c r="I1995" s="5">
        <f t="shared" si="7"/>
        <v>1.497542021</v>
      </c>
    </row>
    <row r="1996">
      <c r="A1996" s="12">
        <f>IFERROR(__xludf.DUMMYFUNCTION("""COMPUTED_VALUE"""),45161.66666666667)</f>
        <v>45161.66667</v>
      </c>
      <c r="B1996" s="13">
        <f>IFERROR(__xludf.DUMMYFUNCTION("""COMPUTED_VALUE"""),4436.01)</f>
        <v>4436.01</v>
      </c>
      <c r="C1996" s="13">
        <f t="shared" si="1"/>
        <v>4451.86</v>
      </c>
      <c r="D1996" s="13">
        <f t="shared" si="2"/>
        <v>4437.635</v>
      </c>
      <c r="E1996" s="13" t="str">
        <f t="shared" si="3"/>
        <v>LONG</v>
      </c>
      <c r="F1996" s="3">
        <f t="shared" si="4"/>
        <v>0.01104488838</v>
      </c>
      <c r="G1996" s="4">
        <f t="shared" si="5"/>
        <v>2.133353532</v>
      </c>
      <c r="H1996" s="3">
        <f t="shared" si="6"/>
        <v>0.01104488838</v>
      </c>
      <c r="I1996" s="5">
        <f t="shared" si="7"/>
        <v>1.514082206</v>
      </c>
    </row>
    <row r="1997">
      <c r="A1997" s="12">
        <f>IFERROR(__xludf.DUMMYFUNCTION("""COMPUTED_VALUE"""),45162.66666666667)</f>
        <v>45162.66667</v>
      </c>
      <c r="B1997" s="13">
        <f>IFERROR(__xludf.DUMMYFUNCTION("""COMPUTED_VALUE"""),4376.31)</f>
        <v>4376.31</v>
      </c>
      <c r="C1997" s="13">
        <f t="shared" si="1"/>
        <v>4422.57</v>
      </c>
      <c r="D1997" s="13">
        <f t="shared" si="2"/>
        <v>4424.235</v>
      </c>
      <c r="E1997" s="13" t="str">
        <f t="shared" si="3"/>
        <v/>
      </c>
      <c r="F1997" s="3">
        <f t="shared" si="4"/>
        <v>-0.01345804</v>
      </c>
      <c r="G1997" s="4">
        <f t="shared" si="5"/>
        <v>2.104642775</v>
      </c>
      <c r="H1997" s="5">
        <f t="shared" si="6"/>
        <v>0</v>
      </c>
      <c r="I1997" s="5">
        <f t="shared" si="7"/>
        <v>1.514082206</v>
      </c>
    </row>
    <row r="1998">
      <c r="A1998" s="12">
        <f>IFERROR(__xludf.DUMMYFUNCTION("""COMPUTED_VALUE"""),45163.66666666667)</f>
        <v>45163.66667</v>
      </c>
      <c r="B1998" s="13">
        <f>IFERROR(__xludf.DUMMYFUNCTION("""COMPUTED_VALUE"""),4405.71)</f>
        <v>4405.71</v>
      </c>
      <c r="C1998" s="13">
        <f t="shared" si="1"/>
        <v>4434.88</v>
      </c>
      <c r="D1998" s="13">
        <f t="shared" si="2"/>
        <v>4457.875</v>
      </c>
      <c r="E1998" s="13" t="str">
        <f t="shared" si="3"/>
        <v/>
      </c>
      <c r="F1998" s="3">
        <f t="shared" si="4"/>
        <v>0.006717988442</v>
      </c>
      <c r="G1998" s="4">
        <f t="shared" si="5"/>
        <v>2.118781741</v>
      </c>
      <c r="H1998" s="5">
        <f t="shared" si="6"/>
        <v>0</v>
      </c>
      <c r="I1998" s="5">
        <f t="shared" si="7"/>
        <v>1.514082206</v>
      </c>
    </row>
    <row r="1999">
      <c r="A1999" s="12">
        <f>IFERROR(__xludf.DUMMYFUNCTION("""COMPUTED_VALUE"""),45166.66666666667)</f>
        <v>45166.66667</v>
      </c>
      <c r="B1999" s="13">
        <f>IFERROR(__xludf.DUMMYFUNCTION("""COMPUTED_VALUE"""),4433.31)</f>
        <v>4433.31</v>
      </c>
      <c r="C1999" s="13">
        <f t="shared" si="1"/>
        <v>4461.515</v>
      </c>
      <c r="D1999" s="13">
        <f t="shared" si="2"/>
        <v>4469.365</v>
      </c>
      <c r="E1999" s="13" t="str">
        <f t="shared" si="3"/>
        <v/>
      </c>
      <c r="F1999" s="3">
        <f t="shared" si="4"/>
        <v>0.006264597534</v>
      </c>
      <c r="G1999" s="4">
        <f t="shared" si="5"/>
        <v>2.132055055</v>
      </c>
      <c r="H1999" s="5">
        <f t="shared" si="6"/>
        <v>0</v>
      </c>
      <c r="I1999" s="5">
        <f t="shared" si="7"/>
        <v>1.514082206</v>
      </c>
    </row>
    <row r="2000">
      <c r="A2000" s="12">
        <f>IFERROR(__xludf.DUMMYFUNCTION("""COMPUTED_VALUE"""),45167.66666666667)</f>
        <v>45167.66667</v>
      </c>
      <c r="B2000" s="13">
        <f>IFERROR(__xludf.DUMMYFUNCTION("""COMPUTED_VALUE"""),4497.63)</f>
        <v>4497.63</v>
      </c>
      <c r="C2000" s="13">
        <f t="shared" si="1"/>
        <v>4467.745</v>
      </c>
      <c r="D2000" s="13">
        <f t="shared" si="2"/>
        <v>4510.21</v>
      </c>
      <c r="E2000" s="13" t="str">
        <f t="shared" si="3"/>
        <v/>
      </c>
      <c r="F2000" s="3">
        <f t="shared" si="4"/>
        <v>0.01450834704</v>
      </c>
      <c r="G2000" s="4">
        <f t="shared" si="5"/>
        <v>2.16298765</v>
      </c>
      <c r="H2000" s="5">
        <f t="shared" si="6"/>
        <v>0</v>
      </c>
      <c r="I2000" s="5">
        <f t="shared" si="7"/>
        <v>1.514082206</v>
      </c>
    </row>
    <row r="2001">
      <c r="A2001" s="12">
        <f>IFERROR(__xludf.DUMMYFUNCTION("""COMPUTED_VALUE"""),45168.66666666667)</f>
        <v>45168.66667</v>
      </c>
      <c r="B2001" s="13">
        <f>IFERROR(__xludf.DUMMYFUNCTION("""COMPUTED_VALUE"""),4514.87)</f>
        <v>4514.87</v>
      </c>
      <c r="C2001" s="13">
        <f t="shared" si="1"/>
        <v>4459.6</v>
      </c>
      <c r="D2001" s="13">
        <f t="shared" si="2"/>
        <v>4534.925</v>
      </c>
      <c r="E2001" s="13" t="str">
        <f t="shared" si="3"/>
        <v/>
      </c>
      <c r="F2001" s="3">
        <f t="shared" si="4"/>
        <v>0.003833129893</v>
      </c>
      <c r="G2001" s="4">
        <f t="shared" si="5"/>
        <v>2.171278663</v>
      </c>
      <c r="H2001" s="5">
        <f t="shared" si="6"/>
        <v>0</v>
      </c>
      <c r="I2001" s="5">
        <f t="shared" si="7"/>
        <v>1.514082206</v>
      </c>
    </row>
    <row r="2002">
      <c r="A2002" s="12">
        <f>IFERROR(__xludf.DUMMYFUNCTION("""COMPUTED_VALUE"""),45169.66666666667)</f>
        <v>45169.66667</v>
      </c>
      <c r="B2002" s="13">
        <f>IFERROR(__xludf.DUMMYFUNCTION("""COMPUTED_VALUE"""),4507.66)</f>
        <v>4507.66</v>
      </c>
      <c r="C2002" s="13">
        <f t="shared" si="1"/>
        <v>4439.01</v>
      </c>
      <c r="D2002" s="13">
        <f t="shared" si="2"/>
        <v>4536.69</v>
      </c>
      <c r="E2002" s="13" t="str">
        <f t="shared" si="3"/>
        <v/>
      </c>
      <c r="F2002" s="3">
        <f t="shared" si="4"/>
        <v>-0.001596945206</v>
      </c>
      <c r="G2002" s="4">
        <f t="shared" si="5"/>
        <v>2.16781125</v>
      </c>
      <c r="H2002" s="5">
        <f t="shared" si="6"/>
        <v>0</v>
      </c>
      <c r="I2002" s="5">
        <f t="shared" si="7"/>
        <v>1.514082206</v>
      </c>
    </row>
    <row r="2003">
      <c r="A2003" s="12">
        <f>IFERROR(__xludf.DUMMYFUNCTION("""COMPUTED_VALUE"""),45170.66666666667)</f>
        <v>45170.66667</v>
      </c>
      <c r="B2003" s="13">
        <f>IFERROR(__xludf.DUMMYFUNCTION("""COMPUTED_VALUE"""),4515.77)</f>
        <v>4515.77</v>
      </c>
      <c r="C2003" s="13">
        <f t="shared" si="1"/>
        <v>4442.74</v>
      </c>
      <c r="D2003" s="13">
        <f t="shared" si="2"/>
        <v>4525.32</v>
      </c>
      <c r="E2003" s="13" t="str">
        <f t="shared" si="3"/>
        <v/>
      </c>
      <c r="F2003" s="3">
        <f t="shared" si="4"/>
        <v>0.001799159653</v>
      </c>
      <c r="G2003" s="4">
        <f t="shared" si="5"/>
        <v>2.171711488</v>
      </c>
      <c r="H2003" s="5">
        <f t="shared" si="6"/>
        <v>0</v>
      </c>
      <c r="I2003" s="5">
        <f t="shared" si="7"/>
        <v>1.514082206</v>
      </c>
    </row>
    <row r="2004">
      <c r="A2004" s="12">
        <f>IFERROR(__xludf.DUMMYFUNCTION("""COMPUTED_VALUE"""),45174.66666666667)</f>
        <v>45174.66667</v>
      </c>
      <c r="B2004" s="13">
        <f>IFERROR(__xludf.DUMMYFUNCTION("""COMPUTED_VALUE"""),4496.83)</f>
        <v>4496.83</v>
      </c>
      <c r="C2004" s="13">
        <f t="shared" si="1"/>
        <v>4448.3</v>
      </c>
      <c r="D2004" s="13">
        <f t="shared" si="2"/>
        <v>4516.585</v>
      </c>
      <c r="E2004" s="13" t="str">
        <f t="shared" si="3"/>
        <v/>
      </c>
      <c r="F2004" s="3">
        <f t="shared" si="4"/>
        <v>-0.004194190581</v>
      </c>
      <c r="G2004" s="4">
        <f t="shared" si="5"/>
        <v>2.162602916</v>
      </c>
      <c r="H2004" s="5">
        <f t="shared" si="6"/>
        <v>0</v>
      </c>
      <c r="I2004" s="5">
        <f t="shared" si="7"/>
        <v>1.514082206</v>
      </c>
    </row>
    <row r="2005">
      <c r="A2005" s="12">
        <f>IFERROR(__xludf.DUMMYFUNCTION("""COMPUTED_VALUE"""),45175.66666666667)</f>
        <v>45175.66667</v>
      </c>
      <c r="B2005" s="13">
        <f>IFERROR(__xludf.DUMMYFUNCTION("""COMPUTED_VALUE"""),4465.48)</f>
        <v>4465.48</v>
      </c>
      <c r="C2005" s="13">
        <f t="shared" si="1"/>
        <v>4426.515</v>
      </c>
      <c r="D2005" s="13">
        <f t="shared" si="2"/>
        <v>4510.06</v>
      </c>
      <c r="E2005" s="13" t="str">
        <f t="shared" si="3"/>
        <v/>
      </c>
      <c r="F2005" s="3">
        <f t="shared" si="4"/>
        <v>-0.006971577756</v>
      </c>
      <c r="G2005" s="4">
        <f t="shared" si="5"/>
        <v>2.147526162</v>
      </c>
      <c r="H2005" s="5">
        <f t="shared" si="6"/>
        <v>0</v>
      </c>
      <c r="I2005" s="5">
        <f t="shared" si="7"/>
        <v>1.514082206</v>
      </c>
    </row>
    <row r="2006">
      <c r="A2006" s="12">
        <f>IFERROR(__xludf.DUMMYFUNCTION("""COMPUTED_VALUE"""),45176.66666666667)</f>
        <v>45176.66667</v>
      </c>
      <c r="B2006" s="13">
        <f>IFERROR(__xludf.DUMMYFUNCTION("""COMPUTED_VALUE"""),4451.14)</f>
        <v>4451.14</v>
      </c>
      <c r="C2006" s="13">
        <f t="shared" si="1"/>
        <v>4443.575</v>
      </c>
      <c r="D2006" s="13">
        <f t="shared" si="2"/>
        <v>4509.3</v>
      </c>
      <c r="E2006" s="13" t="str">
        <f t="shared" si="3"/>
        <v/>
      </c>
      <c r="F2006" s="3">
        <f t="shared" si="4"/>
        <v>-0.003211300913</v>
      </c>
      <c r="G2006" s="4">
        <f t="shared" si="5"/>
        <v>2.140629809</v>
      </c>
      <c r="H2006" s="5">
        <f t="shared" si="6"/>
        <v>0</v>
      </c>
      <c r="I2006" s="5">
        <f t="shared" si="7"/>
        <v>1.514082206</v>
      </c>
    </row>
    <row r="2007">
      <c r="A2007" s="12">
        <f>IFERROR(__xludf.DUMMYFUNCTION("""COMPUTED_VALUE"""),45177.66666666667)</f>
        <v>45177.66667</v>
      </c>
      <c r="B2007" s="13">
        <f>IFERROR(__xludf.DUMMYFUNCTION("""COMPUTED_VALUE"""),4457.49)</f>
        <v>4457.49</v>
      </c>
      <c r="C2007" s="13">
        <f t="shared" si="1"/>
        <v>4416.9</v>
      </c>
      <c r="D2007" s="13">
        <f t="shared" si="2"/>
        <v>4512.12</v>
      </c>
      <c r="E2007" s="13" t="str">
        <f t="shared" si="3"/>
        <v/>
      </c>
      <c r="F2007" s="3">
        <f t="shared" si="4"/>
        <v>0.001426600826</v>
      </c>
      <c r="G2007" s="4">
        <f t="shared" si="5"/>
        <v>2.143683633</v>
      </c>
      <c r="H2007" s="5">
        <f t="shared" si="6"/>
        <v>0</v>
      </c>
      <c r="I2007" s="5">
        <f t="shared" si="7"/>
        <v>1.514082206</v>
      </c>
    </row>
    <row r="2008">
      <c r="A2008" s="12">
        <f>IFERROR(__xludf.DUMMYFUNCTION("""COMPUTED_VALUE"""),45180.66666666667)</f>
        <v>45180.66667</v>
      </c>
      <c r="B2008" s="13">
        <f>IFERROR(__xludf.DUMMYFUNCTION("""COMPUTED_VALUE"""),4487.46)</f>
        <v>4487.46</v>
      </c>
      <c r="C2008" s="13">
        <f t="shared" si="1"/>
        <v>4446.585</v>
      </c>
      <c r="D2008" s="13">
        <f t="shared" si="2"/>
        <v>4512.435</v>
      </c>
      <c r="E2008" s="13" t="str">
        <f t="shared" si="3"/>
        <v/>
      </c>
      <c r="F2008" s="3">
        <f t="shared" si="4"/>
        <v>0.006723514803</v>
      </c>
      <c r="G2008" s="4">
        <f t="shared" si="5"/>
        <v>2.158096722</v>
      </c>
      <c r="H2008" s="5">
        <f t="shared" si="6"/>
        <v>0</v>
      </c>
      <c r="I2008" s="5">
        <f t="shared" si="7"/>
        <v>1.514082206</v>
      </c>
    </row>
    <row r="2009">
      <c r="A2009" s="12">
        <f>IFERROR(__xludf.DUMMYFUNCTION("""COMPUTED_VALUE"""),45181.66666666667)</f>
        <v>45181.66667</v>
      </c>
      <c r="B2009" s="13">
        <f>IFERROR(__xludf.DUMMYFUNCTION("""COMPUTED_VALUE"""),4461.9)</f>
        <v>4461.9</v>
      </c>
      <c r="C2009" s="13">
        <f t="shared" si="1"/>
        <v>4447.605</v>
      </c>
      <c r="D2009" s="13">
        <f t="shared" si="2"/>
        <v>4522.065</v>
      </c>
      <c r="E2009" s="13" t="str">
        <f t="shared" si="3"/>
        <v/>
      </c>
      <c r="F2009" s="3">
        <f t="shared" si="4"/>
        <v>-0.005695872498</v>
      </c>
      <c r="G2009" s="4">
        <f t="shared" si="5"/>
        <v>2.145804478</v>
      </c>
      <c r="H2009" s="5">
        <f t="shared" si="6"/>
        <v>0</v>
      </c>
      <c r="I2009" s="5">
        <f t="shared" si="7"/>
        <v>1.514082206</v>
      </c>
    </row>
    <row r="2010">
      <c r="A2010" s="12">
        <f>IFERROR(__xludf.DUMMYFUNCTION("""COMPUTED_VALUE"""),45182.66666666667)</f>
        <v>45182.66667</v>
      </c>
      <c r="B2010" s="13">
        <f>IFERROR(__xludf.DUMMYFUNCTION("""COMPUTED_VALUE"""),4467.44)</f>
        <v>4467.44</v>
      </c>
      <c r="C2010" s="13">
        <f t="shared" si="1"/>
        <v>4482.535</v>
      </c>
      <c r="D2010" s="13">
        <f t="shared" si="2"/>
        <v>4528.2</v>
      </c>
      <c r="E2010" s="13" t="str">
        <f t="shared" si="3"/>
        <v/>
      </c>
      <c r="F2010" s="3">
        <f t="shared" si="4"/>
        <v>0.001241623524</v>
      </c>
      <c r="G2010" s="4">
        <f t="shared" si="5"/>
        <v>2.14846876</v>
      </c>
      <c r="H2010" s="5">
        <f t="shared" si="6"/>
        <v>0</v>
      </c>
      <c r="I2010" s="5">
        <f t="shared" si="7"/>
        <v>1.514082206</v>
      </c>
    </row>
    <row r="2011">
      <c r="A2011" s="12">
        <f>IFERROR(__xludf.DUMMYFUNCTION("""COMPUTED_VALUE"""),45183.66666666667)</f>
        <v>45183.66667</v>
      </c>
      <c r="B2011" s="13">
        <f>IFERROR(__xludf.DUMMYFUNCTION("""COMPUTED_VALUE"""),4505.1)</f>
        <v>4505.1</v>
      </c>
      <c r="C2011" s="13">
        <f t="shared" si="1"/>
        <v>4509.985</v>
      </c>
      <c r="D2011" s="13">
        <f t="shared" si="2"/>
        <v>4540.915</v>
      </c>
      <c r="E2011" s="13" t="str">
        <f t="shared" si="3"/>
        <v/>
      </c>
      <c r="F2011" s="3">
        <f t="shared" si="4"/>
        <v>0.008429883781</v>
      </c>
      <c r="G2011" s="4">
        <f t="shared" si="5"/>
        <v>2.166580102</v>
      </c>
      <c r="H2011" s="5">
        <f t="shared" si="6"/>
        <v>0</v>
      </c>
      <c r="I2011" s="5">
        <f t="shared" si="7"/>
        <v>1.514082206</v>
      </c>
    </row>
    <row r="2012">
      <c r="A2012" s="12">
        <f>IFERROR(__xludf.DUMMYFUNCTION("""COMPUTED_VALUE"""),45184.66666666667)</f>
        <v>45184.66667</v>
      </c>
      <c r="B2012" s="13">
        <f>IFERROR(__xludf.DUMMYFUNCTION("""COMPUTED_VALUE"""),4450.32)</f>
        <v>4450.32</v>
      </c>
      <c r="C2012" s="13">
        <f t="shared" si="1"/>
        <v>4478.99</v>
      </c>
      <c r="D2012" s="13">
        <f t="shared" si="2"/>
        <v>4481.855</v>
      </c>
      <c r="E2012" s="13" t="str">
        <f t="shared" si="3"/>
        <v/>
      </c>
      <c r="F2012" s="3">
        <f t="shared" si="4"/>
        <v>-0.01215955251</v>
      </c>
      <c r="G2012" s="4">
        <f t="shared" si="5"/>
        <v>2.140235457</v>
      </c>
      <c r="H2012" s="5">
        <f t="shared" si="6"/>
        <v>0</v>
      </c>
      <c r="I2012" s="5">
        <f t="shared" si="7"/>
        <v>1.514082206</v>
      </c>
    </row>
    <row r="2013">
      <c r="A2013" s="12">
        <f>IFERROR(__xludf.DUMMYFUNCTION("""COMPUTED_VALUE"""),45187.66666666667)</f>
        <v>45187.66667</v>
      </c>
      <c r="B2013" s="13">
        <f>IFERROR(__xludf.DUMMYFUNCTION("""COMPUTED_VALUE"""),4453.53)</f>
        <v>4453.53</v>
      </c>
      <c r="C2013" s="13">
        <f t="shared" si="1"/>
        <v>4484.65</v>
      </c>
      <c r="D2013" s="13">
        <f t="shared" si="2"/>
        <v>4477.71</v>
      </c>
      <c r="E2013" s="13" t="str">
        <f t="shared" si="3"/>
        <v>LONG</v>
      </c>
      <c r="F2013" s="3">
        <f t="shared" si="4"/>
        <v>0.0007212964461</v>
      </c>
      <c r="G2013" s="4">
        <f t="shared" si="5"/>
        <v>2.141779201</v>
      </c>
      <c r="H2013" s="3">
        <f t="shared" si="6"/>
        <v>0.0007212964461</v>
      </c>
      <c r="I2013" s="5">
        <f t="shared" si="7"/>
        <v>1.515174308</v>
      </c>
    </row>
    <row r="2014">
      <c r="A2014" s="12">
        <f>IFERROR(__xludf.DUMMYFUNCTION("""COMPUTED_VALUE"""),45188.66666666667)</f>
        <v>45188.66667</v>
      </c>
      <c r="B2014" s="13">
        <f>IFERROR(__xludf.DUMMYFUNCTION("""COMPUTED_VALUE"""),4443.95)</f>
        <v>4443.95</v>
      </c>
      <c r="C2014" s="13">
        <f t="shared" si="1"/>
        <v>4470.39</v>
      </c>
      <c r="D2014" s="13">
        <f t="shared" si="2"/>
        <v>4460.99</v>
      </c>
      <c r="E2014" s="13" t="str">
        <f t="shared" si="3"/>
        <v>LONG</v>
      </c>
      <c r="F2014" s="3">
        <f t="shared" si="4"/>
        <v>-0.002151102608</v>
      </c>
      <c r="G2014" s="4">
        <f t="shared" si="5"/>
        <v>2.137172014</v>
      </c>
      <c r="H2014" s="3">
        <f t="shared" si="6"/>
        <v>-0.002151102608</v>
      </c>
      <c r="I2014" s="5">
        <f t="shared" si="7"/>
        <v>1.511915012</v>
      </c>
    </row>
    <row r="2015">
      <c r="A2015" s="12">
        <f>IFERROR(__xludf.DUMMYFUNCTION("""COMPUTED_VALUE"""),45189.66666666667)</f>
        <v>45189.66667</v>
      </c>
      <c r="B2015" s="13">
        <f>IFERROR(__xludf.DUMMYFUNCTION("""COMPUTED_VALUE"""),4402.2)</f>
        <v>4402.2</v>
      </c>
      <c r="C2015" s="13">
        <f t="shared" si="1"/>
        <v>4433.84</v>
      </c>
      <c r="D2015" s="13">
        <f t="shared" si="2"/>
        <v>4460.32</v>
      </c>
      <c r="E2015" s="13" t="str">
        <f t="shared" si="3"/>
        <v/>
      </c>
      <c r="F2015" s="3">
        <f t="shared" si="4"/>
        <v>-0.009394795171</v>
      </c>
      <c r="G2015" s="4">
        <f t="shared" si="5"/>
        <v>2.117093721</v>
      </c>
      <c r="H2015" s="5">
        <f t="shared" si="6"/>
        <v>0</v>
      </c>
      <c r="I2015" s="5">
        <f t="shared" si="7"/>
        <v>1.511915012</v>
      </c>
    </row>
    <row r="2016">
      <c r="A2016" s="12">
        <f>IFERROR(__xludf.DUMMYFUNCTION("""COMPUTED_VALUE"""),45190.66666666667)</f>
        <v>45190.66667</v>
      </c>
      <c r="B2016" s="13">
        <f>IFERROR(__xludf.DUMMYFUNCTION("""COMPUTED_VALUE"""),4330.0)</f>
        <v>4330</v>
      </c>
      <c r="C2016" s="13">
        <f t="shared" si="1"/>
        <v>4390.57</v>
      </c>
      <c r="D2016" s="13">
        <f t="shared" si="2"/>
        <v>4414.69</v>
      </c>
      <c r="E2016" s="13" t="str">
        <f t="shared" si="3"/>
        <v/>
      </c>
      <c r="F2016" s="3">
        <f t="shared" si="4"/>
        <v>-0.01640089046</v>
      </c>
      <c r="G2016" s="4">
        <f t="shared" si="5"/>
        <v>2.082371499</v>
      </c>
      <c r="H2016" s="5">
        <f t="shared" si="6"/>
        <v>0</v>
      </c>
      <c r="I2016" s="5">
        <f t="shared" si="7"/>
        <v>1.511915012</v>
      </c>
    </row>
    <row r="2017">
      <c r="A2017" s="12">
        <f>IFERROR(__xludf.DUMMYFUNCTION("""COMPUTED_VALUE"""),45191.66666666667)</f>
        <v>45191.66667</v>
      </c>
      <c r="B2017" s="13">
        <f>IFERROR(__xludf.DUMMYFUNCTION("""COMPUTED_VALUE"""),4320.06)</f>
        <v>4320.06</v>
      </c>
      <c r="C2017" s="13">
        <f t="shared" si="1"/>
        <v>4388.775</v>
      </c>
      <c r="D2017" s="13">
        <f t="shared" si="2"/>
        <v>4393.885</v>
      </c>
      <c r="E2017" s="13" t="str">
        <f t="shared" si="3"/>
        <v/>
      </c>
      <c r="F2017" s="3">
        <f t="shared" si="4"/>
        <v>-0.002295612009</v>
      </c>
      <c r="G2017" s="4">
        <f t="shared" si="5"/>
        <v>2.077591182</v>
      </c>
      <c r="H2017" s="5">
        <f t="shared" si="6"/>
        <v>0</v>
      </c>
      <c r="I2017" s="5">
        <f t="shared" si="7"/>
        <v>1.511915012</v>
      </c>
    </row>
    <row r="2018">
      <c r="A2018" s="12">
        <f>IFERROR(__xludf.DUMMYFUNCTION("""COMPUTED_VALUE"""),45194.66666666667)</f>
        <v>45194.66667</v>
      </c>
      <c r="B2018" s="13">
        <f>IFERROR(__xludf.DUMMYFUNCTION("""COMPUTED_VALUE"""),4337.44)</f>
        <v>4337.44</v>
      </c>
      <c r="C2018" s="13">
        <f t="shared" si="1"/>
        <v>4412.45</v>
      </c>
      <c r="D2018" s="13">
        <f t="shared" si="2"/>
        <v>4403.135</v>
      </c>
      <c r="E2018" s="13" t="str">
        <f t="shared" si="3"/>
        <v>LONG</v>
      </c>
      <c r="F2018" s="3">
        <f t="shared" si="4"/>
        <v>0.004023092272</v>
      </c>
      <c r="G2018" s="4">
        <f t="shared" si="5"/>
        <v>2.085949523</v>
      </c>
      <c r="H2018" s="3">
        <f t="shared" si="6"/>
        <v>0.004023092272</v>
      </c>
      <c r="I2018" s="5">
        <f t="shared" si="7"/>
        <v>1.517997586</v>
      </c>
    </row>
    <row r="2019">
      <c r="A2019" s="12">
        <f>IFERROR(__xludf.DUMMYFUNCTION("""COMPUTED_VALUE"""),45195.66666666667)</f>
        <v>45195.66667</v>
      </c>
      <c r="B2019" s="13">
        <f>IFERROR(__xludf.DUMMYFUNCTION("""COMPUTED_VALUE"""),4273.53)</f>
        <v>4273.53</v>
      </c>
      <c r="C2019" s="13">
        <f t="shared" si="1"/>
        <v>4367.715</v>
      </c>
      <c r="D2019" s="13">
        <f t="shared" si="2"/>
        <v>4368.79</v>
      </c>
      <c r="E2019" s="13" t="str">
        <f t="shared" si="3"/>
        <v/>
      </c>
      <c r="F2019" s="3">
        <f t="shared" si="4"/>
        <v>-0.01473449777</v>
      </c>
      <c r="G2019" s="4">
        <f t="shared" si="5"/>
        <v>2.055214104</v>
      </c>
      <c r="H2019" s="5">
        <f t="shared" si="6"/>
        <v>0</v>
      </c>
      <c r="I2019" s="5">
        <f t="shared" si="7"/>
        <v>1.517997586</v>
      </c>
    </row>
    <row r="2020">
      <c r="A2020" s="12">
        <f>IFERROR(__xludf.DUMMYFUNCTION("""COMPUTED_VALUE"""),45196.66666666667)</f>
        <v>45196.66667</v>
      </c>
      <c r="B2020" s="13">
        <f>IFERROR(__xludf.DUMMYFUNCTION("""COMPUTED_VALUE"""),4274.51)</f>
        <v>4274.51</v>
      </c>
      <c r="C2020" s="13">
        <f t="shared" si="1"/>
        <v>4370.975</v>
      </c>
      <c r="D2020" s="13">
        <f t="shared" si="2"/>
        <v>4382.115</v>
      </c>
      <c r="E2020" s="13" t="str">
        <f t="shared" si="3"/>
        <v/>
      </c>
      <c r="F2020" s="3">
        <f t="shared" si="4"/>
        <v>0.0002293186195</v>
      </c>
      <c r="G2020" s="4">
        <f t="shared" si="5"/>
        <v>2.055685403</v>
      </c>
      <c r="H2020" s="5">
        <f t="shared" si="6"/>
        <v>0</v>
      </c>
      <c r="I2020" s="5">
        <f t="shared" si="7"/>
        <v>1.517997586</v>
      </c>
    </row>
    <row r="2021">
      <c r="A2021" s="12">
        <f>IFERROR(__xludf.DUMMYFUNCTION("""COMPUTED_VALUE"""),45197.66666666667)</f>
        <v>45197.66667</v>
      </c>
      <c r="B2021" s="13">
        <f>IFERROR(__xludf.DUMMYFUNCTION("""COMPUTED_VALUE"""),4299.7)</f>
        <v>4299.7</v>
      </c>
      <c r="C2021" s="13">
        <f t="shared" si="1"/>
        <v>4402.4</v>
      </c>
      <c r="D2021" s="13">
        <f t="shared" si="2"/>
        <v>4368.78</v>
      </c>
      <c r="E2021" s="13" t="str">
        <f t="shared" si="3"/>
        <v>LONG</v>
      </c>
      <c r="F2021" s="3">
        <f t="shared" si="4"/>
        <v>0.005893073124</v>
      </c>
      <c r="G2021" s="4">
        <f t="shared" si="5"/>
        <v>2.067799708</v>
      </c>
      <c r="H2021" s="3">
        <f t="shared" si="6"/>
        <v>0.005893073124</v>
      </c>
      <c r="I2021" s="5">
        <f t="shared" si="7"/>
        <v>1.526943257</v>
      </c>
    </row>
    <row r="2022">
      <c r="A2022" s="12">
        <f>IFERROR(__xludf.DUMMYFUNCTION("""COMPUTED_VALUE"""),45198.66666666667)</f>
        <v>45198.66667</v>
      </c>
      <c r="B2022" s="13">
        <f>IFERROR(__xludf.DUMMYFUNCTION("""COMPUTED_VALUE"""),4288.05)</f>
        <v>4288.05</v>
      </c>
      <c r="C2022" s="13">
        <f t="shared" si="1"/>
        <v>4369.185</v>
      </c>
      <c r="D2022" s="13">
        <f t="shared" si="2"/>
        <v>4346.19</v>
      </c>
      <c r="E2022" s="13" t="str">
        <f t="shared" si="3"/>
        <v>LONG</v>
      </c>
      <c r="F2022" s="3">
        <f t="shared" si="4"/>
        <v>-0.00270949136</v>
      </c>
      <c r="G2022" s="4">
        <f t="shared" si="5"/>
        <v>2.062197022</v>
      </c>
      <c r="H2022" s="3">
        <f t="shared" si="6"/>
        <v>-0.00270949136</v>
      </c>
      <c r="I2022" s="5">
        <f t="shared" si="7"/>
        <v>1.522806017</v>
      </c>
    </row>
    <row r="2023">
      <c r="A2023" s="12">
        <f>IFERROR(__xludf.DUMMYFUNCTION("""COMPUTED_VALUE"""),45201.66666666667)</f>
        <v>45201.66667</v>
      </c>
      <c r="B2023" s="13">
        <f>IFERROR(__xludf.DUMMYFUNCTION("""COMPUTED_VALUE"""),4288.39)</f>
        <v>4288.39</v>
      </c>
      <c r="C2023" s="13">
        <f t="shared" si="1"/>
        <v>4370.96</v>
      </c>
      <c r="D2023" s="13">
        <f t="shared" si="2"/>
        <v>4329.375</v>
      </c>
      <c r="E2023" s="13" t="str">
        <f t="shared" si="3"/>
        <v>LONG</v>
      </c>
      <c r="F2023" s="3">
        <f t="shared" si="4"/>
        <v>0.00007929012022</v>
      </c>
      <c r="G2023" s="4">
        <f t="shared" si="5"/>
        <v>2.062360534</v>
      </c>
      <c r="H2023" s="3">
        <f t="shared" si="6"/>
        <v>0.00007929012022</v>
      </c>
      <c r="I2023" s="5">
        <f t="shared" si="7"/>
        <v>1.522926761</v>
      </c>
    </row>
    <row r="2024">
      <c r="A2024" s="12">
        <f>IFERROR(__xludf.DUMMYFUNCTION("""COMPUTED_VALUE"""),45202.66666666667)</f>
        <v>45202.66667</v>
      </c>
      <c r="B2024" s="13">
        <f>IFERROR(__xludf.DUMMYFUNCTION("""COMPUTED_VALUE"""),4229.45)</f>
        <v>4229.45</v>
      </c>
      <c r="C2024" s="13">
        <f t="shared" si="1"/>
        <v>4336.7</v>
      </c>
      <c r="D2024" s="13">
        <f t="shared" si="2"/>
        <v>4299.58</v>
      </c>
      <c r="E2024" s="13" t="str">
        <f t="shared" si="3"/>
        <v>LONG</v>
      </c>
      <c r="F2024" s="3">
        <f t="shared" si="4"/>
        <v>-0.01374408578</v>
      </c>
      <c r="G2024" s="4">
        <f t="shared" si="5"/>
        <v>2.034015274</v>
      </c>
      <c r="H2024" s="3">
        <f t="shared" si="6"/>
        <v>-0.01374408578</v>
      </c>
      <c r="I2024" s="5">
        <f t="shared" si="7"/>
        <v>1.501995525</v>
      </c>
    </row>
    <row r="2025">
      <c r="A2025" s="12">
        <f>IFERROR(__xludf.DUMMYFUNCTION("""COMPUTED_VALUE"""),45203.66666666667)</f>
        <v>45203.66667</v>
      </c>
      <c r="B2025" s="13">
        <f>IFERROR(__xludf.DUMMYFUNCTION("""COMPUTED_VALUE"""),4263.75)</f>
        <v>4263.75</v>
      </c>
      <c r="C2025" s="13">
        <f t="shared" si="1"/>
        <v>4332.975</v>
      </c>
      <c r="D2025" s="13">
        <f t="shared" si="2"/>
        <v>4331.76</v>
      </c>
      <c r="E2025" s="13" t="str">
        <f t="shared" si="3"/>
        <v>LONG</v>
      </c>
      <c r="F2025" s="3">
        <f t="shared" si="4"/>
        <v>0.008109801511</v>
      </c>
      <c r="G2025" s="4">
        <f t="shared" si="5"/>
        <v>2.050510734</v>
      </c>
      <c r="H2025" s="3">
        <f t="shared" si="6"/>
        <v>0.008109801511</v>
      </c>
      <c r="I2025" s="5">
        <f t="shared" si="7"/>
        <v>1.51417641</v>
      </c>
    </row>
    <row r="2026">
      <c r="A2026" s="12">
        <f>IFERROR(__xludf.DUMMYFUNCTION("""COMPUTED_VALUE"""),45204.66666666667)</f>
        <v>45204.66667</v>
      </c>
      <c r="B2026" s="13">
        <f>IFERROR(__xludf.DUMMYFUNCTION("""COMPUTED_VALUE"""),4258.19)</f>
        <v>4258.19</v>
      </c>
      <c r="C2026" s="13">
        <f t="shared" si="1"/>
        <v>4294.095</v>
      </c>
      <c r="D2026" s="13">
        <f t="shared" si="2"/>
        <v>4322.87</v>
      </c>
      <c r="E2026" s="13" t="str">
        <f t="shared" si="3"/>
        <v/>
      </c>
      <c r="F2026" s="3">
        <f t="shared" si="4"/>
        <v>-0.001304016417</v>
      </c>
      <c r="G2026" s="4">
        <f t="shared" si="5"/>
        <v>2.047836834</v>
      </c>
      <c r="H2026" s="5">
        <f t="shared" si="6"/>
        <v>0</v>
      </c>
      <c r="I2026" s="5">
        <f t="shared" si="7"/>
        <v>1.51417641</v>
      </c>
    </row>
    <row r="2027">
      <c r="A2027" s="12">
        <f>IFERROR(__xludf.DUMMYFUNCTION("""COMPUTED_VALUE"""),45205.66666666667)</f>
        <v>45205.66667</v>
      </c>
      <c r="B2027" s="13">
        <f>IFERROR(__xludf.DUMMYFUNCTION("""COMPUTED_VALUE"""),4308.5)</f>
        <v>4308.5</v>
      </c>
      <c r="C2027" s="13">
        <f t="shared" si="1"/>
        <v>4314.28</v>
      </c>
      <c r="D2027" s="13">
        <f t="shared" si="2"/>
        <v>4372.255</v>
      </c>
      <c r="E2027" s="13" t="str">
        <f t="shared" si="3"/>
        <v/>
      </c>
      <c r="F2027" s="3">
        <f t="shared" si="4"/>
        <v>0.01181487909</v>
      </c>
      <c r="G2027" s="4">
        <f t="shared" si="5"/>
        <v>2.072031779</v>
      </c>
      <c r="H2027" s="5">
        <f t="shared" si="6"/>
        <v>0</v>
      </c>
      <c r="I2027" s="5">
        <f t="shared" si="7"/>
        <v>1.51417641</v>
      </c>
    </row>
    <row r="2028">
      <c r="A2028" s="12">
        <f>IFERROR(__xludf.DUMMYFUNCTION("""COMPUTED_VALUE"""),45208.66666666667)</f>
        <v>45208.66667</v>
      </c>
      <c r="B2028" s="13">
        <f>IFERROR(__xludf.DUMMYFUNCTION("""COMPUTED_VALUE"""),4335.66)</f>
        <v>4335.66</v>
      </c>
      <c r="C2028" s="13">
        <f t="shared" si="1"/>
        <v>4336.55</v>
      </c>
      <c r="D2028" s="13">
        <f t="shared" si="2"/>
        <v>4355.985</v>
      </c>
      <c r="E2028" s="13" t="str">
        <f t="shared" si="3"/>
        <v/>
      </c>
      <c r="F2028" s="3">
        <f t="shared" si="4"/>
        <v>0.006303818034</v>
      </c>
      <c r="G2028" s="4">
        <f t="shared" si="5"/>
        <v>2.08509349</v>
      </c>
      <c r="H2028" s="5">
        <f t="shared" si="6"/>
        <v>0</v>
      </c>
      <c r="I2028" s="5">
        <f t="shared" si="7"/>
        <v>1.51417641</v>
      </c>
    </row>
    <row r="2029">
      <c r="A2029" s="12">
        <f>IFERROR(__xludf.DUMMYFUNCTION("""COMPUTED_VALUE"""),45209.66666666667)</f>
        <v>45209.66667</v>
      </c>
      <c r="B2029" s="13">
        <f>IFERROR(__xludf.DUMMYFUNCTION("""COMPUTED_VALUE"""),4358.24)</f>
        <v>4358.24</v>
      </c>
      <c r="C2029" s="13">
        <f t="shared" si="1"/>
        <v>4315.885</v>
      </c>
      <c r="D2029" s="13">
        <f t="shared" si="2"/>
        <v>4381.975</v>
      </c>
      <c r="E2029" s="13" t="str">
        <f t="shared" si="3"/>
        <v/>
      </c>
      <c r="F2029" s="3">
        <f t="shared" si="4"/>
        <v>0.00520797295</v>
      </c>
      <c r="G2029" s="4">
        <f t="shared" si="5"/>
        <v>2.095952601</v>
      </c>
      <c r="H2029" s="5">
        <f t="shared" si="6"/>
        <v>0</v>
      </c>
      <c r="I2029" s="5">
        <f t="shared" si="7"/>
        <v>1.51417641</v>
      </c>
    </row>
    <row r="2030">
      <c r="A2030" s="12">
        <f>IFERROR(__xludf.DUMMYFUNCTION("""COMPUTED_VALUE"""),45210.66666666667)</f>
        <v>45210.66667</v>
      </c>
      <c r="B2030" s="13">
        <f>IFERROR(__xludf.DUMMYFUNCTION("""COMPUTED_VALUE"""),4376.95)</f>
        <v>4376.95</v>
      </c>
      <c r="C2030" s="13">
        <f t="shared" si="1"/>
        <v>4325.73</v>
      </c>
      <c r="D2030" s="13">
        <f t="shared" si="2"/>
        <v>4405.13</v>
      </c>
      <c r="E2030" s="13" t="str">
        <f t="shared" si="3"/>
        <v/>
      </c>
      <c r="F2030" s="3">
        <f t="shared" si="4"/>
        <v>0.004293017365</v>
      </c>
      <c r="G2030" s="4">
        <f t="shared" si="5"/>
        <v>2.104950562</v>
      </c>
      <c r="H2030" s="5">
        <f t="shared" si="6"/>
        <v>0</v>
      </c>
      <c r="I2030" s="5">
        <f t="shared" si="7"/>
        <v>1.51417641</v>
      </c>
    </row>
    <row r="2031">
      <c r="A2031" s="12">
        <f>IFERROR(__xludf.DUMMYFUNCTION("""COMPUTED_VALUE"""),45211.66666666667)</f>
        <v>45211.66667</v>
      </c>
      <c r="B2031" s="13">
        <f>IFERROR(__xludf.DUMMYFUNCTION("""COMPUTED_VALUE"""),4349.61)</f>
        <v>4349.61</v>
      </c>
      <c r="C2031" s="13">
        <f t="shared" si="1"/>
        <v>4324.655</v>
      </c>
      <c r="D2031" s="13">
        <f t="shared" si="2"/>
        <v>4423.62</v>
      </c>
      <c r="E2031" s="13" t="str">
        <f t="shared" si="3"/>
        <v/>
      </c>
      <c r="F2031" s="3">
        <f t="shared" si="4"/>
        <v>-0.006246358766</v>
      </c>
      <c r="G2031" s="4">
        <f t="shared" si="5"/>
        <v>2.091802285</v>
      </c>
      <c r="H2031" s="5">
        <f t="shared" si="6"/>
        <v>0</v>
      </c>
      <c r="I2031" s="5">
        <f t="shared" si="7"/>
        <v>1.51417641</v>
      </c>
    </row>
    <row r="2032">
      <c r="A2032" s="12">
        <f>IFERROR(__xludf.DUMMYFUNCTION("""COMPUTED_VALUE"""),45212.66666666667)</f>
        <v>45212.66667</v>
      </c>
      <c r="B2032" s="13">
        <f>IFERROR(__xludf.DUMMYFUNCTION("""COMPUTED_VALUE"""),4327.78)</f>
        <v>4327.78</v>
      </c>
      <c r="C2032" s="13">
        <f t="shared" si="1"/>
        <v>4307.915</v>
      </c>
      <c r="D2032" s="13">
        <f t="shared" si="2"/>
        <v>4421.325</v>
      </c>
      <c r="E2032" s="13" t="str">
        <f t="shared" si="3"/>
        <v/>
      </c>
      <c r="F2032" s="3">
        <f t="shared" si="4"/>
        <v>-0.00501884077</v>
      </c>
      <c r="G2032" s="4">
        <f t="shared" si="5"/>
        <v>2.081303863</v>
      </c>
      <c r="H2032" s="5">
        <f t="shared" si="6"/>
        <v>0</v>
      </c>
      <c r="I2032" s="5">
        <f t="shared" si="7"/>
        <v>1.51417641</v>
      </c>
    </row>
    <row r="2033">
      <c r="A2033" s="12">
        <f>IFERROR(__xludf.DUMMYFUNCTION("""COMPUTED_VALUE"""),45215.66666666667)</f>
        <v>45215.66667</v>
      </c>
      <c r="B2033" s="13">
        <f>IFERROR(__xludf.DUMMYFUNCTION("""COMPUTED_VALUE"""),4373.63)</f>
        <v>4373.63</v>
      </c>
      <c r="C2033" s="13">
        <f t="shared" si="1"/>
        <v>4331.01</v>
      </c>
      <c r="D2033" s="13">
        <f t="shared" si="2"/>
        <v>4440.645</v>
      </c>
      <c r="E2033" s="13" t="str">
        <f t="shared" si="3"/>
        <v/>
      </c>
      <c r="F2033" s="3">
        <f t="shared" si="4"/>
        <v>0.01059434629</v>
      </c>
      <c r="G2033" s="4">
        <f t="shared" si="5"/>
        <v>2.103353917</v>
      </c>
      <c r="H2033" s="5">
        <f t="shared" si="6"/>
        <v>0</v>
      </c>
      <c r="I2033" s="5">
        <f t="shared" si="7"/>
        <v>1.51417641</v>
      </c>
    </row>
    <row r="2034">
      <c r="A2034" s="12">
        <f>IFERROR(__xludf.DUMMYFUNCTION("""COMPUTED_VALUE"""),45216.66666666667)</f>
        <v>45216.66667</v>
      </c>
      <c r="B2034" s="13">
        <f>IFERROR(__xludf.DUMMYFUNCTION("""COMPUTED_VALUE"""),4373.2)</f>
        <v>4373.2</v>
      </c>
      <c r="C2034" s="13">
        <f t="shared" si="1"/>
        <v>4301.325</v>
      </c>
      <c r="D2034" s="13">
        <f t="shared" si="2"/>
        <v>4444.485</v>
      </c>
      <c r="E2034" s="13" t="str">
        <f t="shared" si="3"/>
        <v/>
      </c>
      <c r="F2034" s="3">
        <f t="shared" si="4"/>
        <v>-0.0000983165014</v>
      </c>
      <c r="G2034" s="4">
        <f t="shared" si="5"/>
        <v>2.103147122</v>
      </c>
      <c r="H2034" s="5">
        <f t="shared" si="6"/>
        <v>0</v>
      </c>
      <c r="I2034" s="5">
        <f t="shared" si="7"/>
        <v>1.51417641</v>
      </c>
    </row>
    <row r="2035">
      <c r="A2035" s="12">
        <f>IFERROR(__xludf.DUMMYFUNCTION("""COMPUTED_VALUE"""),45217.66666666667)</f>
        <v>45217.66667</v>
      </c>
      <c r="B2035" s="13">
        <f>IFERROR(__xludf.DUMMYFUNCTION("""COMPUTED_VALUE"""),4314.6)</f>
        <v>4314.6</v>
      </c>
      <c r="C2035" s="13">
        <f t="shared" si="1"/>
        <v>4289.175</v>
      </c>
      <c r="D2035" s="13">
        <f t="shared" si="2"/>
        <v>4405.715</v>
      </c>
      <c r="E2035" s="13" t="str">
        <f t="shared" si="3"/>
        <v/>
      </c>
      <c r="F2035" s="3">
        <f t="shared" si="4"/>
        <v>-0.01339979877</v>
      </c>
      <c r="G2035" s="4">
        <f t="shared" si="5"/>
        <v>2.074965374</v>
      </c>
      <c r="H2035" s="5">
        <f t="shared" si="6"/>
        <v>0</v>
      </c>
      <c r="I2035" s="5">
        <f t="shared" si="7"/>
        <v>1.51417641</v>
      </c>
    </row>
    <row r="2036">
      <c r="A2036" s="12">
        <f>IFERROR(__xludf.DUMMYFUNCTION("""COMPUTED_VALUE"""),45218.66666666667)</f>
        <v>45218.66667</v>
      </c>
      <c r="B2036" s="13">
        <f>IFERROR(__xludf.DUMMYFUNCTION("""COMPUTED_VALUE"""),4278.0)</f>
        <v>4278</v>
      </c>
      <c r="C2036" s="13">
        <f t="shared" si="1"/>
        <v>4268.095</v>
      </c>
      <c r="D2036" s="13">
        <f t="shared" si="2"/>
        <v>4371.74</v>
      </c>
      <c r="E2036" s="13" t="str">
        <f t="shared" si="3"/>
        <v/>
      </c>
      <c r="F2036" s="3">
        <f t="shared" si="4"/>
        <v>-0.008482825754</v>
      </c>
      <c r="G2036" s="4">
        <f t="shared" si="5"/>
        <v>2.057363804</v>
      </c>
      <c r="H2036" s="5">
        <f t="shared" si="6"/>
        <v>0</v>
      </c>
      <c r="I2036" s="5">
        <f t="shared" si="7"/>
        <v>1.51417641</v>
      </c>
    </row>
    <row r="2037">
      <c r="A2037" s="12">
        <f>IFERROR(__xludf.DUMMYFUNCTION("""COMPUTED_VALUE"""),45219.66666666667)</f>
        <v>45219.66667</v>
      </c>
      <c r="B2037" s="13">
        <f>IFERROR(__xludf.DUMMYFUNCTION("""COMPUTED_VALUE"""),4224.16)</f>
        <v>4224.16</v>
      </c>
      <c r="C2037" s="13">
        <f t="shared" si="1"/>
        <v>4266.33</v>
      </c>
      <c r="D2037" s="13">
        <f t="shared" si="2"/>
        <v>4337.65</v>
      </c>
      <c r="E2037" s="13" t="str">
        <f t="shared" si="3"/>
        <v/>
      </c>
      <c r="F2037" s="3">
        <f t="shared" si="4"/>
        <v>-0.01258532024</v>
      </c>
      <c r="G2037" s="4">
        <f t="shared" si="5"/>
        <v>2.031471222</v>
      </c>
      <c r="H2037" s="5">
        <f t="shared" si="6"/>
        <v>0</v>
      </c>
      <c r="I2037" s="5">
        <f t="shared" si="7"/>
        <v>1.51417641</v>
      </c>
    </row>
    <row r="2038">
      <c r="A2038" s="12">
        <f>IFERROR(__xludf.DUMMYFUNCTION("""COMPUTED_VALUE"""),45222.66666666667)</f>
        <v>45222.66667</v>
      </c>
      <c r="B2038" s="13">
        <f>IFERROR(__xludf.DUMMYFUNCTION("""COMPUTED_VALUE"""),4217.04)</f>
        <v>4217.04</v>
      </c>
      <c r="C2038" s="13">
        <f t="shared" si="1"/>
        <v>4276.35</v>
      </c>
      <c r="D2038" s="13">
        <f t="shared" si="2"/>
        <v>4337.265</v>
      </c>
      <c r="E2038" s="13" t="str">
        <f t="shared" si="3"/>
        <v/>
      </c>
      <c r="F2038" s="3">
        <f t="shared" si="4"/>
        <v>-0.001685542214</v>
      </c>
      <c r="G2038" s="4">
        <f t="shared" si="5"/>
        <v>2.028047091</v>
      </c>
      <c r="H2038" s="5">
        <f t="shared" si="6"/>
        <v>0</v>
      </c>
      <c r="I2038" s="5">
        <f t="shared" si="7"/>
        <v>1.51417641</v>
      </c>
    </row>
    <row r="2039">
      <c r="A2039" s="12">
        <f>IFERROR(__xludf.DUMMYFUNCTION("""COMPUTED_VALUE"""),45223.66666666667)</f>
        <v>45223.66667</v>
      </c>
      <c r="B2039" s="13">
        <f>IFERROR(__xludf.DUMMYFUNCTION("""COMPUTED_VALUE"""),4247.68)</f>
        <v>4247.68</v>
      </c>
      <c r="C2039" s="13">
        <f t="shared" si="1"/>
        <v>4302.96</v>
      </c>
      <c r="D2039" s="13">
        <f t="shared" si="2"/>
        <v>4367.57</v>
      </c>
      <c r="E2039" s="13" t="str">
        <f t="shared" si="3"/>
        <v/>
      </c>
      <c r="F2039" s="3">
        <f t="shared" si="4"/>
        <v>0.007265759869</v>
      </c>
      <c r="G2039" s="4">
        <f t="shared" si="5"/>
        <v>2.042782395</v>
      </c>
      <c r="H2039" s="5">
        <f t="shared" si="6"/>
        <v>0</v>
      </c>
      <c r="I2039" s="5">
        <f t="shared" si="7"/>
        <v>1.51417641</v>
      </c>
    </row>
    <row r="2040">
      <c r="A2040" s="12">
        <f>IFERROR(__xludf.DUMMYFUNCTION("""COMPUTED_VALUE"""),45224.66666666667)</f>
        <v>45224.66667</v>
      </c>
      <c r="B2040" s="13">
        <f>IFERROR(__xludf.DUMMYFUNCTION("""COMPUTED_VALUE"""),4186.77)</f>
        <v>4186.77</v>
      </c>
      <c r="C2040" s="13">
        <f t="shared" si="1"/>
        <v>4281.86</v>
      </c>
      <c r="D2040" s="13">
        <f t="shared" si="2"/>
        <v>4324.335</v>
      </c>
      <c r="E2040" s="13" t="str">
        <f t="shared" si="3"/>
        <v/>
      </c>
      <c r="F2040" s="3">
        <f t="shared" si="4"/>
        <v>-0.01433959244</v>
      </c>
      <c r="G2040" s="4">
        <f t="shared" si="5"/>
        <v>2.013489728</v>
      </c>
      <c r="H2040" s="5">
        <f t="shared" si="6"/>
        <v>0</v>
      </c>
      <c r="I2040" s="5">
        <f t="shared" si="7"/>
        <v>1.51417641</v>
      </c>
    </row>
    <row r="2041">
      <c r="A2041" s="12">
        <f>IFERROR(__xludf.DUMMYFUNCTION("""COMPUTED_VALUE"""),45225.66666666667)</f>
        <v>45225.66667</v>
      </c>
      <c r="B2041" s="13">
        <f>IFERROR(__xludf.DUMMYFUNCTION("""COMPUTED_VALUE"""),4137.23)</f>
        <v>4137.23</v>
      </c>
      <c r="C2041" s="13">
        <f t="shared" si="1"/>
        <v>4243.42</v>
      </c>
      <c r="D2041" s="13">
        <f t="shared" si="2"/>
        <v>4302.335</v>
      </c>
      <c r="E2041" s="13" t="str">
        <f t="shared" si="3"/>
        <v/>
      </c>
      <c r="F2041" s="3">
        <f t="shared" si="4"/>
        <v>-0.0118325105</v>
      </c>
      <c r="G2041" s="4">
        <f t="shared" si="5"/>
        <v>1.989665089</v>
      </c>
      <c r="H2041" s="5">
        <f t="shared" si="6"/>
        <v>0</v>
      </c>
      <c r="I2041" s="5">
        <f t="shared" si="7"/>
        <v>1.51417641</v>
      </c>
    </row>
    <row r="2042">
      <c r="A2042" s="12">
        <f>IFERROR(__xludf.DUMMYFUNCTION("""COMPUTED_VALUE"""),45226.66666666667)</f>
        <v>45226.66667</v>
      </c>
      <c r="B2042" s="13">
        <f>IFERROR(__xludf.DUMMYFUNCTION("""COMPUTED_VALUE"""),4117.37)</f>
        <v>4117.37</v>
      </c>
      <c r="C2042" s="13">
        <f t="shared" si="1"/>
        <v>4222.575</v>
      </c>
      <c r="D2042" s="13">
        <f t="shared" si="2"/>
        <v>4311.235</v>
      </c>
      <c r="E2042" s="13" t="str">
        <f t="shared" si="3"/>
        <v/>
      </c>
      <c r="F2042" s="3">
        <f t="shared" si="4"/>
        <v>-0.004800313253</v>
      </c>
      <c r="G2042" s="4">
        <f t="shared" si="5"/>
        <v>1.980114074</v>
      </c>
      <c r="H2042" s="5">
        <f t="shared" si="6"/>
        <v>0</v>
      </c>
      <c r="I2042" s="5">
        <f t="shared" si="7"/>
        <v>1.51417641</v>
      </c>
    </row>
    <row r="2043">
      <c r="A2043" s="12">
        <f>IFERROR(__xludf.DUMMYFUNCTION("""COMPUTED_VALUE"""),45229.66666666667)</f>
        <v>45229.66667</v>
      </c>
      <c r="B2043" s="13">
        <f>IFERROR(__xludf.DUMMYFUNCTION("""COMPUTED_VALUE"""),4166.82)</f>
        <v>4166.82</v>
      </c>
      <c r="C2043" s="13">
        <f t="shared" si="1"/>
        <v>4270.225</v>
      </c>
      <c r="D2043" s="13">
        <f t="shared" si="2"/>
        <v>4308.57</v>
      </c>
      <c r="E2043" s="13" t="str">
        <f t="shared" si="3"/>
        <v/>
      </c>
      <c r="F2043" s="3">
        <f t="shared" si="4"/>
        <v>0.01201009382</v>
      </c>
      <c r="G2043" s="4">
        <f t="shared" si="5"/>
        <v>2.003895429</v>
      </c>
      <c r="H2043" s="5">
        <f t="shared" si="6"/>
        <v>0</v>
      </c>
      <c r="I2043" s="5">
        <f t="shared" si="7"/>
        <v>1.51417641</v>
      </c>
    </row>
    <row r="2044">
      <c r="A2044" s="12">
        <f>IFERROR(__xludf.DUMMYFUNCTION("""COMPUTED_VALUE"""),45230.66666666667)</f>
        <v>45230.66667</v>
      </c>
      <c r="B2044" s="13">
        <f>IFERROR(__xludf.DUMMYFUNCTION("""COMPUTED_VALUE"""),4193.8)</f>
        <v>4193.8</v>
      </c>
      <c r="C2044" s="13">
        <f t="shared" si="1"/>
        <v>4283.5</v>
      </c>
      <c r="D2044" s="13">
        <f t="shared" si="2"/>
        <v>4323.665</v>
      </c>
      <c r="E2044" s="13" t="str">
        <f t="shared" si="3"/>
        <v/>
      </c>
      <c r="F2044" s="3">
        <f t="shared" si="4"/>
        <v>0.006474961721</v>
      </c>
      <c r="G2044" s="4">
        <f t="shared" si="5"/>
        <v>2.016870576</v>
      </c>
      <c r="H2044" s="5">
        <f t="shared" si="6"/>
        <v>0</v>
      </c>
      <c r="I2044" s="5">
        <f t="shared" si="7"/>
        <v>1.51417641</v>
      </c>
    </row>
    <row r="2045">
      <c r="A2045" s="12">
        <f>IFERROR(__xludf.DUMMYFUNCTION("""COMPUTED_VALUE"""),45231.66666666667)</f>
        <v>45231.66667</v>
      </c>
      <c r="B2045" s="13">
        <f>IFERROR(__xludf.DUMMYFUNCTION("""COMPUTED_VALUE"""),4237.86)</f>
        <v>4237.86</v>
      </c>
      <c r="C2045" s="13">
        <f t="shared" si="1"/>
        <v>4276.23</v>
      </c>
      <c r="D2045" s="13">
        <f t="shared" si="2"/>
        <v>4340.905</v>
      </c>
      <c r="E2045" s="13" t="str">
        <f t="shared" si="3"/>
        <v/>
      </c>
      <c r="F2045" s="3">
        <f t="shared" si="4"/>
        <v>0.01050598503</v>
      </c>
      <c r="G2045" s="4">
        <f t="shared" si="5"/>
        <v>2.038059788</v>
      </c>
      <c r="H2045" s="5">
        <f t="shared" si="6"/>
        <v>0</v>
      </c>
      <c r="I2045" s="5">
        <f t="shared" si="7"/>
        <v>1.51417641</v>
      </c>
    </row>
    <row r="2046">
      <c r="A2046" s="12">
        <f>IFERROR(__xludf.DUMMYFUNCTION("""COMPUTED_VALUE"""),45232.66666666667)</f>
        <v>45232.66667</v>
      </c>
      <c r="B2046" s="13">
        <f>IFERROR(__xludf.DUMMYFUNCTION("""COMPUTED_VALUE"""),4317.78)</f>
        <v>4317.78</v>
      </c>
      <c r="C2046" s="13">
        <f t="shared" si="1"/>
        <v>4297.89</v>
      </c>
      <c r="D2046" s="13">
        <f t="shared" si="2"/>
        <v>4359.99</v>
      </c>
      <c r="E2046" s="13" t="str">
        <f t="shared" si="3"/>
        <v/>
      </c>
      <c r="F2046" s="3">
        <f t="shared" si="4"/>
        <v>0.01885857485</v>
      </c>
      <c r="G2046" s="4">
        <f t="shared" si="5"/>
        <v>2.076494691</v>
      </c>
      <c r="H2046" s="5">
        <f t="shared" si="6"/>
        <v>0</v>
      </c>
      <c r="I2046" s="5">
        <f t="shared" si="7"/>
        <v>1.51417641</v>
      </c>
    </row>
    <row r="2047">
      <c r="A2047" s="12">
        <f>IFERROR(__xludf.DUMMYFUNCTION("""COMPUTED_VALUE"""),45233.66666666667)</f>
        <v>45233.66667</v>
      </c>
      <c r="B2047" s="13">
        <f>IFERROR(__xludf.DUMMYFUNCTION("""COMPUTED_VALUE"""),4358.34)</f>
        <v>4358.34</v>
      </c>
      <c r="C2047" s="13">
        <f t="shared" si="1"/>
        <v>4291.25</v>
      </c>
      <c r="D2047" s="13">
        <f t="shared" si="2"/>
        <v>4344.17</v>
      </c>
      <c r="E2047" s="13" t="str">
        <f t="shared" si="3"/>
        <v/>
      </c>
      <c r="F2047" s="3">
        <f t="shared" si="4"/>
        <v>0.009393716215</v>
      </c>
      <c r="G2047" s="4">
        <f t="shared" si="5"/>
        <v>2.096000693</v>
      </c>
      <c r="H2047" s="5">
        <f t="shared" si="6"/>
        <v>0</v>
      </c>
      <c r="I2047" s="5">
        <f t="shared" si="7"/>
        <v>1.51417641</v>
      </c>
    </row>
    <row r="2048">
      <c r="A2048" s="12">
        <f>IFERROR(__xludf.DUMMYFUNCTION("""COMPUTED_VALUE"""),45236.66666666667)</f>
        <v>45236.66667</v>
      </c>
      <c r="B2048" s="13">
        <f>IFERROR(__xludf.DUMMYFUNCTION("""COMPUTED_VALUE"""),4365.98)</f>
        <v>4365.98</v>
      </c>
      <c r="C2048" s="13">
        <f t="shared" si="1"/>
        <v>4291.51</v>
      </c>
      <c r="D2048" s="13">
        <f t="shared" si="2"/>
        <v>4343.02</v>
      </c>
      <c r="E2048" s="13" t="str">
        <f t="shared" si="3"/>
        <v/>
      </c>
      <c r="F2048" s="3">
        <f t="shared" si="4"/>
        <v>0.00175296099</v>
      </c>
      <c r="G2048" s="4">
        <f t="shared" si="5"/>
        <v>2.0996749</v>
      </c>
      <c r="H2048" s="5">
        <f t="shared" si="6"/>
        <v>0</v>
      </c>
      <c r="I2048" s="5">
        <f t="shared" si="7"/>
        <v>1.51417641</v>
      </c>
    </row>
    <row r="2049">
      <c r="A2049" s="12">
        <f>IFERROR(__xludf.DUMMYFUNCTION("""COMPUTED_VALUE"""),45237.66666666667)</f>
        <v>45237.66667</v>
      </c>
      <c r="B2049" s="13">
        <f>IFERROR(__xludf.DUMMYFUNCTION("""COMPUTED_VALUE"""),4378.38)</f>
        <v>4378.38</v>
      </c>
      <c r="C2049" s="13">
        <f t="shared" si="1"/>
        <v>4313.03</v>
      </c>
      <c r="D2049" s="13">
        <f t="shared" si="2"/>
        <v>4357.91</v>
      </c>
      <c r="E2049" s="13" t="str">
        <f t="shared" si="3"/>
        <v/>
      </c>
      <c r="F2049" s="3">
        <f t="shared" si="4"/>
        <v>0.002840141274</v>
      </c>
      <c r="G2049" s="4">
        <f t="shared" si="5"/>
        <v>2.105638273</v>
      </c>
      <c r="H2049" s="5">
        <f t="shared" si="6"/>
        <v>0</v>
      </c>
      <c r="I2049" s="5">
        <f t="shared" si="7"/>
        <v>1.51417641</v>
      </c>
    </row>
    <row r="2050">
      <c r="A2050" s="12">
        <f>IFERROR(__xludf.DUMMYFUNCTION("""COMPUTED_VALUE"""),45238.66666666667)</f>
        <v>45238.66667</v>
      </c>
      <c r="B2050" s="13">
        <f>IFERROR(__xludf.DUMMYFUNCTION("""COMPUTED_VALUE"""),4382.78)</f>
        <v>4382.78</v>
      </c>
      <c r="C2050" s="13">
        <f t="shared" si="1"/>
        <v>4284.775</v>
      </c>
      <c r="D2050" s="13">
        <f t="shared" si="2"/>
        <v>4328.155</v>
      </c>
      <c r="E2050" s="13" t="str">
        <f t="shared" si="3"/>
        <v/>
      </c>
      <c r="F2050" s="3">
        <f t="shared" si="4"/>
        <v>0.001004937899</v>
      </c>
      <c r="G2050" s="4">
        <f t="shared" si="5"/>
        <v>2.107754309</v>
      </c>
      <c r="H2050" s="5">
        <f t="shared" si="6"/>
        <v>0</v>
      </c>
      <c r="I2050" s="5">
        <f t="shared" si="7"/>
        <v>1.51417641</v>
      </c>
    </row>
    <row r="2051">
      <c r="A2051" s="12">
        <f>IFERROR(__xludf.DUMMYFUNCTION("""COMPUTED_VALUE"""),45239.66666666667)</f>
        <v>45239.66667</v>
      </c>
      <c r="B2051" s="13">
        <f>IFERROR(__xludf.DUMMYFUNCTION("""COMPUTED_VALUE"""),4347.35)</f>
        <v>4347.35</v>
      </c>
      <c r="C2051" s="13">
        <f t="shared" si="1"/>
        <v>4242.29</v>
      </c>
      <c r="D2051" s="13">
        <f t="shared" si="2"/>
        <v>4310.93</v>
      </c>
      <c r="E2051" s="13" t="str">
        <f t="shared" si="3"/>
        <v/>
      </c>
      <c r="F2051" s="3">
        <f t="shared" si="4"/>
        <v>-0.008083910212</v>
      </c>
      <c r="G2051" s="4">
        <f t="shared" si="5"/>
        <v>2.090715412</v>
      </c>
      <c r="H2051" s="5">
        <f t="shared" si="6"/>
        <v>0</v>
      </c>
      <c r="I2051" s="5">
        <f t="shared" si="7"/>
        <v>1.51417641</v>
      </c>
    </row>
    <row r="2052">
      <c r="A2052" s="12">
        <f>IFERROR(__xludf.DUMMYFUNCTION("""COMPUTED_VALUE"""),45240.66666666667)</f>
        <v>45240.66667</v>
      </c>
      <c r="B2052" s="13">
        <f>IFERROR(__xludf.DUMMYFUNCTION("""COMPUTED_VALUE"""),4415.24)</f>
        <v>4415.24</v>
      </c>
      <c r="C2052" s="13">
        <f t="shared" si="1"/>
        <v>4266.305</v>
      </c>
      <c r="D2052" s="13">
        <f t="shared" si="2"/>
        <v>4357.47</v>
      </c>
      <c r="E2052" s="13" t="str">
        <f t="shared" si="3"/>
        <v/>
      </c>
      <c r="F2052" s="3">
        <f t="shared" si="4"/>
        <v>0.01561641</v>
      </c>
      <c r="G2052" s="4">
        <f t="shared" si="5"/>
        <v>2.123364882</v>
      </c>
      <c r="H2052" s="5">
        <f t="shared" si="6"/>
        <v>0</v>
      </c>
      <c r="I2052" s="5">
        <f t="shared" si="7"/>
        <v>1.51417641</v>
      </c>
    </row>
    <row r="2053">
      <c r="A2053" s="12">
        <f>IFERROR(__xludf.DUMMYFUNCTION("""COMPUTED_VALUE"""),45243.66666666667)</f>
        <v>45243.66667</v>
      </c>
      <c r="B2053" s="13">
        <f>IFERROR(__xludf.DUMMYFUNCTION("""COMPUTED_VALUE"""),4411.55)</f>
        <v>4411.55</v>
      </c>
      <c r="C2053" s="13">
        <f t="shared" si="1"/>
        <v>4289.185</v>
      </c>
      <c r="D2053" s="13">
        <f t="shared" si="2"/>
        <v>4349.8</v>
      </c>
      <c r="E2053" s="13" t="str">
        <f t="shared" si="3"/>
        <v/>
      </c>
      <c r="F2053" s="3">
        <f t="shared" si="4"/>
        <v>-0.0008357416584</v>
      </c>
      <c r="G2053" s="4">
        <f t="shared" si="5"/>
        <v>2.121590297</v>
      </c>
      <c r="H2053" s="5">
        <f t="shared" si="6"/>
        <v>0</v>
      </c>
      <c r="I2053" s="5">
        <f t="shared" si="7"/>
        <v>1.51417641</v>
      </c>
    </row>
    <row r="2054">
      <c r="A2054" s="12">
        <f>IFERROR(__xludf.DUMMYFUNCTION("""COMPUTED_VALUE"""),45244.66666666667)</f>
        <v>45244.66667</v>
      </c>
      <c r="B2054" s="13">
        <f>IFERROR(__xludf.DUMMYFUNCTION("""COMPUTED_VALUE"""),4495.7)</f>
        <v>4495.7</v>
      </c>
      <c r="C2054" s="13">
        <f t="shared" si="1"/>
        <v>4344.75</v>
      </c>
      <c r="D2054" s="13">
        <f t="shared" si="2"/>
        <v>4392.045</v>
      </c>
      <c r="E2054" s="13" t="str">
        <f t="shared" si="3"/>
        <v/>
      </c>
      <c r="F2054" s="3">
        <f t="shared" si="4"/>
        <v>0.01907492831</v>
      </c>
      <c r="G2054" s="4">
        <f t="shared" si="5"/>
        <v>2.16205948</v>
      </c>
      <c r="H2054" s="5">
        <f t="shared" si="6"/>
        <v>0</v>
      </c>
      <c r="I2054" s="5">
        <f t="shared" si="7"/>
        <v>1.51417641</v>
      </c>
    </row>
    <row r="2055">
      <c r="A2055" s="12">
        <f>IFERROR(__xludf.DUMMYFUNCTION("""COMPUTED_VALUE"""),45245.66666666667)</f>
        <v>45245.66667</v>
      </c>
      <c r="B2055" s="13">
        <f>IFERROR(__xludf.DUMMYFUNCTION("""COMPUTED_VALUE"""),4502.88)</f>
        <v>4502.88</v>
      </c>
      <c r="C2055" s="13">
        <f t="shared" si="1"/>
        <v>4370.37</v>
      </c>
      <c r="D2055" s="13">
        <f t="shared" si="2"/>
        <v>4366.165</v>
      </c>
      <c r="E2055" s="13" t="str">
        <f t="shared" si="3"/>
        <v>LONG</v>
      </c>
      <c r="F2055" s="3">
        <f t="shared" si="4"/>
        <v>0.001597081656</v>
      </c>
      <c r="G2055" s="4">
        <f t="shared" si="5"/>
        <v>2.165512465</v>
      </c>
      <c r="H2055" s="3">
        <f t="shared" si="6"/>
        <v>0.001597081656</v>
      </c>
      <c r="I2055" s="5">
        <f t="shared" si="7"/>
        <v>1.516594673</v>
      </c>
    </row>
    <row r="2056">
      <c r="A2056" s="12">
        <f>IFERROR(__xludf.DUMMYFUNCTION("""COMPUTED_VALUE"""),45246.66666666667)</f>
        <v>45246.66667</v>
      </c>
      <c r="B2056" s="13">
        <f>IFERROR(__xludf.DUMMYFUNCTION("""COMPUTED_VALUE"""),4508.24)</f>
        <v>4508.24</v>
      </c>
      <c r="C2056" s="13">
        <f t="shared" si="1"/>
        <v>4413.01</v>
      </c>
      <c r="D2056" s="13">
        <f t="shared" si="2"/>
        <v>4385.995</v>
      </c>
      <c r="E2056" s="13" t="str">
        <f t="shared" si="3"/>
        <v>LONG</v>
      </c>
      <c r="F2056" s="3">
        <f t="shared" si="4"/>
        <v>0.001190349288</v>
      </c>
      <c r="G2056" s="4">
        <f t="shared" si="5"/>
        <v>2.168090182</v>
      </c>
      <c r="H2056" s="3">
        <f t="shared" si="6"/>
        <v>0.001190349288</v>
      </c>
      <c r="I2056" s="5">
        <f t="shared" si="7"/>
        <v>1.518399951</v>
      </c>
    </row>
    <row r="2057">
      <c r="A2057" s="12">
        <f>IFERROR(__xludf.DUMMYFUNCTION("""COMPUTED_VALUE"""),45247.66666666667)</f>
        <v>45247.66667</v>
      </c>
      <c r="B2057" s="13">
        <f>IFERROR(__xludf.DUMMYFUNCTION("""COMPUTED_VALUE"""),4514.02)</f>
        <v>4514.02</v>
      </c>
      <c r="C2057" s="13">
        <f t="shared" si="1"/>
        <v>4436.18</v>
      </c>
      <c r="D2057" s="13">
        <f t="shared" si="2"/>
        <v>4386.105</v>
      </c>
      <c r="E2057" s="13" t="str">
        <f t="shared" si="3"/>
        <v>LONG</v>
      </c>
      <c r="F2057" s="3">
        <f t="shared" si="4"/>
        <v>0.001282096783</v>
      </c>
      <c r="G2057" s="4">
        <f t="shared" si="5"/>
        <v>2.170869883</v>
      </c>
      <c r="H2057" s="3">
        <f t="shared" si="6"/>
        <v>0.001282096783</v>
      </c>
      <c r="I2057" s="5">
        <f t="shared" si="7"/>
        <v>1.520346687</v>
      </c>
    </row>
    <row r="2058">
      <c r="A2058" s="12">
        <f>IFERROR(__xludf.DUMMYFUNCTION("""COMPUTED_VALUE"""),45250.66666666667)</f>
        <v>45250.66667</v>
      </c>
      <c r="B2058" s="13">
        <f>IFERROR(__xludf.DUMMYFUNCTION("""COMPUTED_VALUE"""),4547.38)</f>
        <v>4547.38</v>
      </c>
      <c r="C2058" s="13">
        <f t="shared" si="1"/>
        <v>4456.68</v>
      </c>
      <c r="D2058" s="13">
        <f t="shared" si="2"/>
        <v>4427.94</v>
      </c>
      <c r="E2058" s="13" t="str">
        <f t="shared" si="3"/>
        <v>LONG</v>
      </c>
      <c r="F2058" s="3">
        <f t="shared" si="4"/>
        <v>0.007390308417</v>
      </c>
      <c r="G2058" s="4">
        <f t="shared" si="5"/>
        <v>2.186913281</v>
      </c>
      <c r="H2058" s="3">
        <f t="shared" si="6"/>
        <v>0.007390308417</v>
      </c>
      <c r="I2058" s="5">
        <f t="shared" si="7"/>
        <v>1.531582517</v>
      </c>
    </row>
    <row r="2059">
      <c r="A2059" s="12">
        <f>IFERROR(__xludf.DUMMYFUNCTION("""COMPUTED_VALUE"""),45251.66666666667)</f>
        <v>45251.66667</v>
      </c>
      <c r="B2059" s="13">
        <f>IFERROR(__xludf.DUMMYFUNCTION("""COMPUTED_VALUE"""),4538.19)</f>
        <v>4538.19</v>
      </c>
      <c r="C2059" s="13">
        <f t="shared" si="1"/>
        <v>4458.285</v>
      </c>
      <c r="D2059" s="13">
        <f t="shared" si="2"/>
        <v>4436.925</v>
      </c>
      <c r="E2059" s="13" t="str">
        <f t="shared" si="3"/>
        <v>LONG</v>
      </c>
      <c r="F2059" s="3">
        <f t="shared" si="4"/>
        <v>-0.002020943928</v>
      </c>
      <c r="G2059" s="4">
        <f t="shared" si="5"/>
        <v>2.182493652</v>
      </c>
      <c r="H2059" s="3">
        <f t="shared" si="6"/>
        <v>-0.002020943928</v>
      </c>
      <c r="I2059" s="5">
        <f t="shared" si="7"/>
        <v>1.528487275</v>
      </c>
    </row>
    <row r="2060">
      <c r="A2060" s="12">
        <f>IFERROR(__xludf.DUMMYFUNCTION("""COMPUTED_VALUE"""),45252.66666666667)</f>
        <v>45252.66667</v>
      </c>
      <c r="B2060" s="13">
        <f>IFERROR(__xludf.DUMMYFUNCTION("""COMPUTED_VALUE"""),4556.62)</f>
        <v>4556.62</v>
      </c>
      <c r="C2060" s="13">
        <f t="shared" si="1"/>
        <v>4469.7</v>
      </c>
      <c r="D2060" s="13">
        <f t="shared" si="2"/>
        <v>4457.43</v>
      </c>
      <c r="E2060" s="13" t="str">
        <f t="shared" si="3"/>
        <v>LONG</v>
      </c>
      <c r="F2060" s="3">
        <f t="shared" si="4"/>
        <v>0.004061090435</v>
      </c>
      <c r="G2060" s="4">
        <f t="shared" si="5"/>
        <v>2.191356956</v>
      </c>
      <c r="H2060" s="3">
        <f t="shared" si="6"/>
        <v>0.004061090435</v>
      </c>
      <c r="I2060" s="5">
        <f t="shared" si="7"/>
        <v>1.5346946</v>
      </c>
    </row>
    <row r="2061">
      <c r="A2061" s="12">
        <f>IFERROR(__xludf.DUMMYFUNCTION("""COMPUTED_VALUE"""),45254.54166666667)</f>
        <v>45254.54167</v>
      </c>
      <c r="B2061" s="13">
        <f>IFERROR(__xludf.DUMMYFUNCTION("""COMPUTED_VALUE"""),4559.34)</f>
        <v>4559.34</v>
      </c>
      <c r="C2061" s="13">
        <f t="shared" si="1"/>
        <v>4453.345</v>
      </c>
      <c r="D2061" s="13">
        <f t="shared" si="2"/>
        <v>4468.145</v>
      </c>
      <c r="E2061" s="13" t="str">
        <f t="shared" si="3"/>
        <v/>
      </c>
      <c r="F2061" s="3">
        <f t="shared" si="4"/>
        <v>0.0005969336921</v>
      </c>
      <c r="G2061" s="4">
        <f t="shared" si="5"/>
        <v>2.192665051</v>
      </c>
      <c r="H2061" s="5">
        <f t="shared" si="6"/>
        <v>0</v>
      </c>
      <c r="I2061" s="5">
        <f t="shared" si="7"/>
        <v>1.5346946</v>
      </c>
    </row>
    <row r="2062">
      <c r="A2062" s="12">
        <f>IFERROR(__xludf.DUMMYFUNCTION("""COMPUTED_VALUE"""),45257.66666666667)</f>
        <v>45257.66667</v>
      </c>
      <c r="B2062" s="13">
        <f>IFERROR(__xludf.DUMMYFUNCTION("""COMPUTED_VALUE"""),4550.43)</f>
        <v>4550.43</v>
      </c>
      <c r="C2062" s="13">
        <f t="shared" si="1"/>
        <v>4482.835</v>
      </c>
      <c r="D2062" s="13">
        <f t="shared" si="2"/>
        <v>4450.02</v>
      </c>
      <c r="E2062" s="13" t="str">
        <f t="shared" si="3"/>
        <v>LONG</v>
      </c>
      <c r="F2062" s="3">
        <f t="shared" si="4"/>
        <v>-0.001954230218</v>
      </c>
      <c r="G2062" s="4">
        <f t="shared" si="5"/>
        <v>2.188380078</v>
      </c>
      <c r="H2062" s="3">
        <f t="shared" si="6"/>
        <v>-0.001954230218</v>
      </c>
      <c r="I2062" s="5">
        <f t="shared" si="7"/>
        <v>1.531695454</v>
      </c>
    </row>
    <row r="2063">
      <c r="A2063" s="12">
        <f>IFERROR(__xludf.DUMMYFUNCTION("""COMPUTED_VALUE"""),45258.66666666667)</f>
        <v>45258.66667</v>
      </c>
      <c r="B2063" s="13">
        <f>IFERROR(__xludf.DUMMYFUNCTION("""COMPUTED_VALUE"""),4554.89)</f>
        <v>4554.89</v>
      </c>
      <c r="C2063" s="13">
        <f t="shared" si="1"/>
        <v>4483.22</v>
      </c>
      <c r="D2063" s="13">
        <f t="shared" si="2"/>
        <v>4441.335</v>
      </c>
      <c r="E2063" s="13" t="str">
        <f t="shared" si="3"/>
        <v>LONG</v>
      </c>
      <c r="F2063" s="3">
        <f t="shared" si="4"/>
        <v>0.0009801271528</v>
      </c>
      <c r="G2063" s="4">
        <f t="shared" si="5"/>
        <v>2.190524969</v>
      </c>
      <c r="H2063" s="3">
        <f t="shared" si="6"/>
        <v>0.0009801271528</v>
      </c>
      <c r="I2063" s="5">
        <f t="shared" si="7"/>
        <v>1.53319671</v>
      </c>
    </row>
    <row r="2064">
      <c r="A2064" s="12">
        <f>IFERROR(__xludf.DUMMYFUNCTION("""COMPUTED_VALUE"""),45259.66666666667)</f>
        <v>45259.66667</v>
      </c>
      <c r="B2064" s="13">
        <f>IFERROR(__xludf.DUMMYFUNCTION("""COMPUTED_VALUE"""),4550.58)</f>
        <v>4550.58</v>
      </c>
      <c r="C2064" s="13">
        <f t="shared" si="1"/>
        <v>4523.14</v>
      </c>
      <c r="D2064" s="13">
        <f t="shared" si="2"/>
        <v>4462.105</v>
      </c>
      <c r="E2064" s="13" t="str">
        <f t="shared" si="3"/>
        <v>LONG</v>
      </c>
      <c r="F2064" s="3">
        <f t="shared" si="4"/>
        <v>-0.0009462358037</v>
      </c>
      <c r="G2064" s="4">
        <f t="shared" si="5"/>
        <v>2.188452216</v>
      </c>
      <c r="H2064" s="3">
        <f t="shared" si="6"/>
        <v>-0.0009462358037</v>
      </c>
      <c r="I2064" s="5">
        <f t="shared" si="7"/>
        <v>1.531745944</v>
      </c>
    </row>
    <row r="2065">
      <c r="A2065" s="12">
        <f>IFERROR(__xludf.DUMMYFUNCTION("""COMPUTED_VALUE"""),45260.66666666667)</f>
        <v>45260.66667</v>
      </c>
      <c r="B2065" s="13">
        <f>IFERROR(__xludf.DUMMYFUNCTION("""COMPUTED_VALUE"""),4567.8)</f>
        <v>4567.8</v>
      </c>
      <c r="C2065" s="13">
        <f t="shared" si="1"/>
        <v>4535.34</v>
      </c>
      <c r="D2065" s="13">
        <f t="shared" si="2"/>
        <v>4470.5</v>
      </c>
      <c r="E2065" s="13" t="str">
        <f t="shared" si="3"/>
        <v>LONG</v>
      </c>
      <c r="F2065" s="3">
        <f t="shared" si="4"/>
        <v>0.003784133012</v>
      </c>
      <c r="G2065" s="4">
        <f t="shared" si="5"/>
        <v>2.19673361</v>
      </c>
      <c r="H2065" s="3">
        <f t="shared" si="6"/>
        <v>0.003784133012</v>
      </c>
      <c r="I2065" s="5">
        <f t="shared" si="7"/>
        <v>1.537542275</v>
      </c>
    </row>
    <row r="2066">
      <c r="A2066" s="12">
        <f>IFERROR(__xludf.DUMMYFUNCTION("""COMPUTED_VALUE"""),45261.66666666667)</f>
        <v>45261.66667</v>
      </c>
      <c r="B2066" s="13">
        <f>IFERROR(__xludf.DUMMYFUNCTION("""COMPUTED_VALUE"""),4594.63)</f>
        <v>4594.63</v>
      </c>
      <c r="C2066" s="13">
        <f t="shared" si="1"/>
        <v>4551.435</v>
      </c>
      <c r="D2066" s="13">
        <f t="shared" si="2"/>
        <v>4454.615</v>
      </c>
      <c r="E2066" s="13" t="str">
        <f t="shared" si="3"/>
        <v>LONG</v>
      </c>
      <c r="F2066" s="3">
        <f t="shared" si="4"/>
        <v>0.005873724769</v>
      </c>
      <c r="G2066" s="4">
        <f t="shared" si="5"/>
        <v>2.209636619</v>
      </c>
      <c r="H2066" s="3">
        <f t="shared" si="6"/>
        <v>0.005873724769</v>
      </c>
      <c r="I2066" s="5">
        <f t="shared" si="7"/>
        <v>1.546573375</v>
      </c>
    </row>
    <row r="2067">
      <c r="A2067" s="12">
        <f>IFERROR(__xludf.DUMMYFUNCTION("""COMPUTED_VALUE"""),45264.66666666667)</f>
        <v>45264.66667</v>
      </c>
      <c r="B2067" s="13">
        <f>IFERROR(__xludf.DUMMYFUNCTION("""COMPUTED_VALUE"""),4569.78)</f>
        <v>4569.78</v>
      </c>
      <c r="C2067" s="13">
        <f t="shared" si="1"/>
        <v>4541.9</v>
      </c>
      <c r="D2067" s="13">
        <f t="shared" si="2"/>
        <v>4423.89</v>
      </c>
      <c r="E2067" s="13" t="str">
        <f t="shared" si="3"/>
        <v>LONG</v>
      </c>
      <c r="F2067" s="3">
        <f t="shared" si="4"/>
        <v>-0.005408487735</v>
      </c>
      <c r="G2067" s="4">
        <f t="shared" si="5"/>
        <v>2.197685826</v>
      </c>
      <c r="H2067" s="3">
        <f t="shared" si="6"/>
        <v>-0.005408487735</v>
      </c>
      <c r="I2067" s="5">
        <f t="shared" si="7"/>
        <v>1.538208752</v>
      </c>
    </row>
    <row r="2068">
      <c r="A2068" s="12">
        <f>IFERROR(__xludf.DUMMYFUNCTION("""COMPUTED_VALUE"""),45265.66666666667)</f>
        <v>45265.66667</v>
      </c>
      <c r="B2068" s="13">
        <f>IFERROR(__xludf.DUMMYFUNCTION("""COMPUTED_VALUE"""),4567.18)</f>
        <v>4567.18</v>
      </c>
      <c r="C2068" s="13">
        <f t="shared" si="1"/>
        <v>4557.28</v>
      </c>
      <c r="D2068" s="13">
        <f t="shared" si="2"/>
        <v>4395.67</v>
      </c>
      <c r="E2068" s="13" t="str">
        <f t="shared" si="3"/>
        <v>LONG</v>
      </c>
      <c r="F2068" s="3">
        <f t="shared" si="4"/>
        <v>-0.0005689551795</v>
      </c>
      <c r="G2068" s="4">
        <f t="shared" si="5"/>
        <v>2.196435442</v>
      </c>
      <c r="H2068" s="3">
        <f t="shared" si="6"/>
        <v>-0.0005689551795</v>
      </c>
      <c r="I2068" s="5">
        <f t="shared" si="7"/>
        <v>1.53733358</v>
      </c>
    </row>
    <row r="2069">
      <c r="A2069" s="12">
        <f>IFERROR(__xludf.DUMMYFUNCTION("""COMPUTED_VALUE"""),45266.66666666667)</f>
        <v>45266.66667</v>
      </c>
      <c r="B2069" s="13">
        <f>IFERROR(__xludf.DUMMYFUNCTION("""COMPUTED_VALUE"""),4549.34)</f>
        <v>4549.34</v>
      </c>
      <c r="C2069" s="13">
        <f t="shared" si="1"/>
        <v>4543.765</v>
      </c>
      <c r="D2069" s="13">
        <f t="shared" si="2"/>
        <v>4383.19</v>
      </c>
      <c r="E2069" s="13" t="str">
        <f t="shared" si="3"/>
        <v>LONG</v>
      </c>
      <c r="F2069" s="3">
        <f t="shared" si="4"/>
        <v>-0.00390613026</v>
      </c>
      <c r="G2069" s="4">
        <f t="shared" si="5"/>
        <v>2.187855879</v>
      </c>
      <c r="H2069" s="3">
        <f t="shared" si="6"/>
        <v>-0.00390613026</v>
      </c>
      <c r="I2069" s="5">
        <f t="shared" si="7"/>
        <v>1.531328555</v>
      </c>
    </row>
    <row r="2070">
      <c r="A2070" s="12">
        <f>IFERROR(__xludf.DUMMYFUNCTION("""COMPUTED_VALUE"""),45267.66666666667)</f>
        <v>45267.66667</v>
      </c>
      <c r="B2070" s="13">
        <f>IFERROR(__xludf.DUMMYFUNCTION("""COMPUTED_VALUE"""),4585.59)</f>
        <v>4585.59</v>
      </c>
      <c r="C2070" s="13">
        <f t="shared" si="1"/>
        <v>4571.105</v>
      </c>
      <c r="D2070" s="13">
        <f t="shared" si="2"/>
        <v>4416.635</v>
      </c>
      <c r="E2070" s="13" t="str">
        <f t="shared" si="3"/>
        <v>LONG</v>
      </c>
      <c r="F2070" s="3">
        <f t="shared" si="4"/>
        <v>0.007968188792</v>
      </c>
      <c r="G2070" s="4">
        <f t="shared" si="5"/>
        <v>2.205289127</v>
      </c>
      <c r="H2070" s="3">
        <f t="shared" si="6"/>
        <v>0.007968188792</v>
      </c>
      <c r="I2070" s="5">
        <f t="shared" si="7"/>
        <v>1.54353047</v>
      </c>
    </row>
    <row r="2071">
      <c r="A2071" s="12">
        <f>IFERROR(__xludf.DUMMYFUNCTION("""COMPUTED_VALUE"""),45268.66666666667)</f>
        <v>45268.66667</v>
      </c>
      <c r="B2071" s="13">
        <f>IFERROR(__xludf.DUMMYFUNCTION("""COMPUTED_VALUE"""),4604.37)</f>
        <v>4604.37</v>
      </c>
      <c r="C2071" s="13">
        <f t="shared" si="1"/>
        <v>4581.855</v>
      </c>
      <c r="D2071" s="13">
        <f t="shared" si="2"/>
        <v>4395.57</v>
      </c>
      <c r="E2071" s="13" t="str">
        <f t="shared" si="3"/>
        <v>LONG</v>
      </c>
      <c r="F2071" s="3">
        <f t="shared" si="4"/>
        <v>0.004095438101</v>
      </c>
      <c r="G2071" s="4">
        <f t="shared" si="5"/>
        <v>2.214320753</v>
      </c>
      <c r="H2071" s="3">
        <f t="shared" si="6"/>
        <v>0.004095438101</v>
      </c>
      <c r="I2071" s="5">
        <f t="shared" si="7"/>
        <v>1.549851903</v>
      </c>
    </row>
    <row r="2072">
      <c r="A2072" s="12">
        <f>IFERROR(__xludf.DUMMYFUNCTION("""COMPUTED_VALUE"""),45271.66666666667)</f>
        <v>45271.66667</v>
      </c>
      <c r="B2072" s="13">
        <f>IFERROR(__xludf.DUMMYFUNCTION("""COMPUTED_VALUE"""),4622.44)</f>
        <v>4622.44</v>
      </c>
      <c r="C2072" s="13">
        <f t="shared" si="1"/>
        <v>4586.435</v>
      </c>
      <c r="D2072" s="13">
        <f t="shared" si="2"/>
        <v>4379.835</v>
      </c>
      <c r="E2072" s="13" t="str">
        <f t="shared" si="3"/>
        <v>LONG</v>
      </c>
      <c r="F2072" s="3">
        <f t="shared" si="4"/>
        <v>0.003924532564</v>
      </c>
      <c r="G2072" s="4">
        <f t="shared" si="5"/>
        <v>2.223010926</v>
      </c>
      <c r="H2072" s="3">
        <f t="shared" si="6"/>
        <v>0.003924532564</v>
      </c>
      <c r="I2072" s="5">
        <f t="shared" si="7"/>
        <v>1.555934347</v>
      </c>
    </row>
    <row r="2073">
      <c r="A2073" s="12">
        <f>IFERROR(__xludf.DUMMYFUNCTION("""COMPUTED_VALUE"""),45272.66666666667)</f>
        <v>45272.66667</v>
      </c>
      <c r="B2073" s="13">
        <f>IFERROR(__xludf.DUMMYFUNCTION("""COMPUTED_VALUE"""),4643.7)</f>
        <v>4643.7</v>
      </c>
      <c r="C2073" s="13">
        <f t="shared" si="1"/>
        <v>4599.295</v>
      </c>
      <c r="D2073" s="13">
        <f t="shared" si="2"/>
        <v>4380.535</v>
      </c>
      <c r="E2073" s="13" t="str">
        <f t="shared" si="3"/>
        <v>LONG</v>
      </c>
      <c r="F2073" s="3">
        <f t="shared" si="4"/>
        <v>0.004599302533</v>
      </c>
      <c r="G2073" s="4">
        <f t="shared" si="5"/>
        <v>2.233235226</v>
      </c>
      <c r="H2073" s="3">
        <f t="shared" si="6"/>
        <v>0.004599302533</v>
      </c>
      <c r="I2073" s="5">
        <f t="shared" si="7"/>
        <v>1.56309056</v>
      </c>
    </row>
    <row r="2074">
      <c r="A2074" s="12">
        <f>IFERROR(__xludf.DUMMYFUNCTION("""COMPUTED_VALUE"""),45273.66666666667)</f>
        <v>45273.66667</v>
      </c>
      <c r="B2074" s="13">
        <f>IFERROR(__xludf.DUMMYFUNCTION("""COMPUTED_VALUE"""),4707.09)</f>
        <v>4707.09</v>
      </c>
      <c r="C2074" s="13">
        <f t="shared" si="1"/>
        <v>4628.835</v>
      </c>
      <c r="D2074" s="13">
        <f t="shared" si="2"/>
        <v>4436.955</v>
      </c>
      <c r="E2074" s="13" t="str">
        <f t="shared" si="3"/>
        <v>LONG</v>
      </c>
      <c r="F2074" s="3">
        <f t="shared" si="4"/>
        <v>0.01365075263</v>
      </c>
      <c r="G2074" s="4">
        <f t="shared" si="5"/>
        <v>2.263720568</v>
      </c>
      <c r="H2074" s="3">
        <f t="shared" si="6"/>
        <v>0.01365075263</v>
      </c>
      <c r="I2074" s="5">
        <f t="shared" si="7"/>
        <v>1.584427923</v>
      </c>
    </row>
    <row r="2075">
      <c r="A2075" s="12">
        <f>IFERROR(__xludf.DUMMYFUNCTION("""COMPUTED_VALUE"""),45274.66666666667)</f>
        <v>45274.66667</v>
      </c>
      <c r="B2075" s="13">
        <f>IFERROR(__xludf.DUMMYFUNCTION("""COMPUTED_VALUE"""),4719.55)</f>
        <v>4719.55</v>
      </c>
      <c r="C2075" s="13">
        <f t="shared" si="1"/>
        <v>4643.675</v>
      </c>
      <c r="D2075" s="13">
        <f t="shared" si="2"/>
        <v>4456.675</v>
      </c>
      <c r="E2075" s="13" t="str">
        <f t="shared" si="3"/>
        <v>LONG</v>
      </c>
      <c r="F2075" s="3">
        <f t="shared" si="4"/>
        <v>0.002647070695</v>
      </c>
      <c r="G2075" s="4">
        <f t="shared" si="5"/>
        <v>2.269712796</v>
      </c>
      <c r="H2075" s="3">
        <f t="shared" si="6"/>
        <v>0.002647070695</v>
      </c>
      <c r="I2075" s="5">
        <f t="shared" si="7"/>
        <v>1.588622015</v>
      </c>
    </row>
    <row r="2076">
      <c r="A2076" s="12">
        <f>IFERROR(__xludf.DUMMYFUNCTION("""COMPUTED_VALUE"""),45275.66666666667)</f>
        <v>45275.66667</v>
      </c>
      <c r="B2076" s="13">
        <f>IFERROR(__xludf.DUMMYFUNCTION("""COMPUTED_VALUE"""),4719.19)</f>
        <v>4719.19</v>
      </c>
      <c r="C2076" s="13">
        <f t="shared" si="1"/>
        <v>4656.91</v>
      </c>
      <c r="D2076" s="13">
        <f t="shared" si="2"/>
        <v>4478.525</v>
      </c>
      <c r="E2076" s="13" t="str">
        <f t="shared" si="3"/>
        <v>LONG</v>
      </c>
      <c r="F2076" s="3">
        <f t="shared" si="4"/>
        <v>-0.00007627845875</v>
      </c>
      <c r="G2076" s="4">
        <f t="shared" si="5"/>
        <v>2.269539666</v>
      </c>
      <c r="H2076" s="3">
        <f t="shared" si="6"/>
        <v>-0.00007627845875</v>
      </c>
      <c r="I2076" s="5">
        <f t="shared" si="7"/>
        <v>1.588500838</v>
      </c>
    </row>
    <row r="2077">
      <c r="A2077" s="12">
        <f>IFERROR(__xludf.DUMMYFUNCTION("""COMPUTED_VALUE"""),45278.66666666667)</f>
        <v>45278.66667</v>
      </c>
      <c r="B2077" s="13">
        <f>IFERROR(__xludf.DUMMYFUNCTION("""COMPUTED_VALUE"""),4740.56)</f>
        <v>4740.56</v>
      </c>
      <c r="C2077" s="13">
        <f t="shared" si="1"/>
        <v>4655.17</v>
      </c>
      <c r="D2077" s="13">
        <f t="shared" si="2"/>
        <v>4529.17</v>
      </c>
      <c r="E2077" s="13" t="str">
        <f t="shared" si="3"/>
        <v>LONG</v>
      </c>
      <c r="F2077" s="3">
        <f t="shared" si="4"/>
        <v>0.004528319479</v>
      </c>
      <c r="G2077" s="4">
        <f t="shared" si="5"/>
        <v>2.279816867</v>
      </c>
      <c r="H2077" s="3">
        <f t="shared" si="6"/>
        <v>0.004528319479</v>
      </c>
      <c r="I2077" s="5">
        <f t="shared" si="7"/>
        <v>1.595694077</v>
      </c>
    </row>
    <row r="2078">
      <c r="A2078" s="12">
        <f>IFERROR(__xludf.DUMMYFUNCTION("""COMPUTED_VALUE"""),45279.66666666667)</f>
        <v>45279.66667</v>
      </c>
      <c r="B2078" s="13">
        <f>IFERROR(__xludf.DUMMYFUNCTION("""COMPUTED_VALUE"""),4768.37)</f>
        <v>4768.37</v>
      </c>
      <c r="C2078" s="13">
        <f t="shared" si="1"/>
        <v>4667.775</v>
      </c>
      <c r="D2078" s="13">
        <f t="shared" si="2"/>
        <v>4563.355</v>
      </c>
      <c r="E2078" s="13" t="str">
        <f t="shared" si="3"/>
        <v>LONG</v>
      </c>
      <c r="F2078" s="3">
        <f t="shared" si="4"/>
        <v>0.005866395531</v>
      </c>
      <c r="G2078" s="4">
        <f t="shared" si="5"/>
        <v>2.293191174</v>
      </c>
      <c r="H2078" s="3">
        <f t="shared" si="6"/>
        <v>0.005866395531</v>
      </c>
      <c r="I2078" s="5">
        <f t="shared" si="7"/>
        <v>1.60505505</v>
      </c>
    </row>
    <row r="2079">
      <c r="A2079" s="12">
        <f>IFERROR(__xludf.DUMMYFUNCTION("""COMPUTED_VALUE"""),45280.66666666667)</f>
        <v>45280.66667</v>
      </c>
      <c r="B2079" s="13">
        <f>IFERROR(__xludf.DUMMYFUNCTION("""COMPUTED_VALUE"""),4698.35)</f>
        <v>4698.35</v>
      </c>
      <c r="C2079" s="13">
        <f t="shared" si="1"/>
        <v>4623.845</v>
      </c>
      <c r="D2079" s="13">
        <f t="shared" si="2"/>
        <v>4532.165</v>
      </c>
      <c r="E2079" s="13" t="str">
        <f t="shared" si="3"/>
        <v>LONG</v>
      </c>
      <c r="F2079" s="3">
        <f t="shared" si="4"/>
        <v>-0.01468426318</v>
      </c>
      <c r="G2079" s="4">
        <f t="shared" si="5"/>
        <v>2.259517351</v>
      </c>
      <c r="H2079" s="3">
        <f t="shared" si="6"/>
        <v>-0.01468426318</v>
      </c>
      <c r="I2079" s="5">
        <f t="shared" si="7"/>
        <v>1.581485999</v>
      </c>
    </row>
    <row r="2080">
      <c r="A2080" s="12">
        <f>IFERROR(__xludf.DUMMYFUNCTION("""COMPUTED_VALUE"""),45281.66666666667)</f>
        <v>45281.66667</v>
      </c>
      <c r="B2080" s="13">
        <f>IFERROR(__xludf.DUMMYFUNCTION("""COMPUTED_VALUE"""),4746.75)</f>
        <v>4746.75</v>
      </c>
      <c r="C2080" s="13">
        <f t="shared" si="1"/>
        <v>4666.17</v>
      </c>
      <c r="D2080" s="13">
        <f t="shared" si="2"/>
        <v>4562.565</v>
      </c>
      <c r="E2080" s="13" t="str">
        <f t="shared" si="3"/>
        <v>LONG</v>
      </c>
      <c r="F2080" s="3">
        <f t="shared" si="4"/>
        <v>0.01030148882</v>
      </c>
      <c r="G2080" s="4">
        <f t="shared" si="5"/>
        <v>2.282793744</v>
      </c>
      <c r="H2080" s="3">
        <f t="shared" si="6"/>
        <v>0.01030148882</v>
      </c>
      <c r="I2080" s="5">
        <f t="shared" si="7"/>
        <v>1.597777659</v>
      </c>
    </row>
    <row r="2081">
      <c r="A2081" s="12">
        <f>IFERROR(__xludf.DUMMYFUNCTION("""COMPUTED_VALUE"""),45282.66666666667)</f>
        <v>45282.66667</v>
      </c>
      <c r="B2081" s="13">
        <f>IFERROR(__xludf.DUMMYFUNCTION("""COMPUTED_VALUE"""),4754.63)</f>
        <v>4754.63</v>
      </c>
      <c r="C2081" s="13">
        <f t="shared" si="1"/>
        <v>4679.5</v>
      </c>
      <c r="D2081" s="13">
        <f t="shared" si="2"/>
        <v>4568.705</v>
      </c>
      <c r="E2081" s="13" t="str">
        <f t="shared" si="3"/>
        <v>LONG</v>
      </c>
      <c r="F2081" s="3">
        <f t="shared" si="4"/>
        <v>0.001660083215</v>
      </c>
      <c r="G2081" s="4">
        <f t="shared" si="5"/>
        <v>2.286583372</v>
      </c>
      <c r="H2081" s="3">
        <f t="shared" si="6"/>
        <v>0.001660083215</v>
      </c>
      <c r="I2081" s="5">
        <f t="shared" si="7"/>
        <v>1.600430103</v>
      </c>
    </row>
    <row r="2082">
      <c r="A2082" s="12">
        <f>IFERROR(__xludf.DUMMYFUNCTION("""COMPUTED_VALUE"""),45286.66666666667)</f>
        <v>45286.66667</v>
      </c>
      <c r="B2082" s="13">
        <f>IFERROR(__xludf.DUMMYFUNCTION("""COMPUTED_VALUE"""),4774.75)</f>
        <v>4774.75</v>
      </c>
      <c r="C2082" s="13">
        <f t="shared" si="1"/>
        <v>4698.595</v>
      </c>
      <c r="D2082" s="13">
        <f t="shared" si="2"/>
        <v>4561.05</v>
      </c>
      <c r="E2082" s="13" t="str">
        <f t="shared" si="3"/>
        <v>LONG</v>
      </c>
      <c r="F2082" s="3">
        <f t="shared" si="4"/>
        <v>0.004231664714</v>
      </c>
      <c r="G2082" s="4">
        <f t="shared" si="5"/>
        <v>2.296259426</v>
      </c>
      <c r="H2082" s="3">
        <f t="shared" si="6"/>
        <v>0.004231664714</v>
      </c>
      <c r="I2082" s="5">
        <f t="shared" si="7"/>
        <v>1.607202587</v>
      </c>
    </row>
    <row r="2083">
      <c r="A2083" s="12">
        <f>IFERROR(__xludf.DUMMYFUNCTION("""COMPUTED_VALUE"""),45287.66666666667)</f>
        <v>45287.66667</v>
      </c>
      <c r="B2083" s="13">
        <f>IFERROR(__xludf.DUMMYFUNCTION("""COMPUTED_VALUE"""),4781.58)</f>
        <v>4781.58</v>
      </c>
      <c r="C2083" s="13">
        <f t="shared" si="1"/>
        <v>4712.64</v>
      </c>
      <c r="D2083" s="13">
        <f t="shared" si="2"/>
        <v>4598.41</v>
      </c>
      <c r="E2083" s="13" t="str">
        <f t="shared" si="3"/>
        <v>LONG</v>
      </c>
      <c r="F2083" s="3">
        <f t="shared" si="4"/>
        <v>0.001430441384</v>
      </c>
      <c r="G2083" s="4">
        <f t="shared" si="5"/>
        <v>2.29954409</v>
      </c>
      <c r="H2083" s="3">
        <f t="shared" si="6"/>
        <v>0.001430441384</v>
      </c>
      <c r="I2083" s="5">
        <f t="shared" si="7"/>
        <v>1.609501596</v>
      </c>
    </row>
    <row r="2084">
      <c r="A2084" s="12">
        <f>IFERROR(__xludf.DUMMYFUNCTION("""COMPUTED_VALUE"""),45288.66666666667)</f>
        <v>45288.66667</v>
      </c>
      <c r="B2084" s="13">
        <f>IFERROR(__xludf.DUMMYFUNCTION("""COMPUTED_VALUE"""),4783.35)</f>
        <v>4783.35</v>
      </c>
      <c r="C2084" s="13">
        <f t="shared" si="1"/>
        <v>4745.22</v>
      </c>
      <c r="D2084" s="13">
        <f t="shared" si="2"/>
        <v>4597.45</v>
      </c>
      <c r="E2084" s="13" t="str">
        <f t="shared" si="3"/>
        <v>LONG</v>
      </c>
      <c r="F2084" s="3">
        <f t="shared" si="4"/>
        <v>0.0003701705294</v>
      </c>
      <c r="G2084" s="4">
        <f t="shared" si="5"/>
        <v>2.300395314</v>
      </c>
      <c r="H2084" s="3">
        <f t="shared" si="6"/>
        <v>0.0003701705294</v>
      </c>
      <c r="I2084" s="5">
        <f t="shared" si="7"/>
        <v>1.610097386</v>
      </c>
    </row>
    <row r="2085">
      <c r="A2085" s="12">
        <f>IFERROR(__xludf.DUMMYFUNCTION("""COMPUTED_VALUE"""),45289.66666666667)</f>
        <v>45289.66667</v>
      </c>
      <c r="B2085" s="13">
        <f>IFERROR(__xludf.DUMMYFUNCTION("""COMPUTED_VALUE"""),4769.83)</f>
        <v>4769.83</v>
      </c>
      <c r="C2085" s="13">
        <f t="shared" si="1"/>
        <v>4744.69</v>
      </c>
      <c r="D2085" s="13">
        <f t="shared" si="2"/>
        <v>4632.765</v>
      </c>
      <c r="E2085" s="13" t="str">
        <f t="shared" si="3"/>
        <v>LONG</v>
      </c>
      <c r="F2085" s="3">
        <f t="shared" si="4"/>
        <v>-0.002826470988</v>
      </c>
      <c r="G2085" s="4">
        <f t="shared" si="5"/>
        <v>2.293893313</v>
      </c>
      <c r="H2085" s="3">
        <f t="shared" si="6"/>
        <v>-0.002826470988</v>
      </c>
      <c r="I2085" s="5">
        <f t="shared" si="7"/>
        <v>1.605546492</v>
      </c>
    </row>
    <row r="2086">
      <c r="A2086" s="12">
        <f>IFERROR(__xludf.DUMMYFUNCTION("""COMPUTED_VALUE"""),45293.66666666667)</f>
        <v>45293.66667</v>
      </c>
      <c r="B2086" s="13">
        <f>IFERROR(__xludf.DUMMYFUNCTION("""COMPUTED_VALUE"""),4742.83)</f>
        <v>4742.83</v>
      </c>
      <c r="C2086" s="13">
        <f t="shared" si="1"/>
        <v>4731.01</v>
      </c>
      <c r="D2086" s="13">
        <f t="shared" si="2"/>
        <v>4622.855</v>
      </c>
      <c r="E2086" s="13" t="str">
        <f t="shared" si="3"/>
        <v>LONG</v>
      </c>
      <c r="F2086" s="3">
        <f t="shared" si="4"/>
        <v>-0.005660579098</v>
      </c>
      <c r="G2086" s="4">
        <f t="shared" si="5"/>
        <v>2.280908549</v>
      </c>
      <c r="H2086" s="3">
        <f t="shared" si="6"/>
        <v>-0.005660579098</v>
      </c>
      <c r="I2086" s="5">
        <f t="shared" si="7"/>
        <v>1.596458169</v>
      </c>
    </row>
    <row r="2087">
      <c r="A2087" s="12">
        <f>IFERROR(__xludf.DUMMYFUNCTION("""COMPUTED_VALUE"""),45294.66666666667)</f>
        <v>45294.66667</v>
      </c>
      <c r="B2087" s="13">
        <f>IFERROR(__xludf.DUMMYFUNCTION("""COMPUTED_VALUE"""),4704.81)</f>
        <v>4704.81</v>
      </c>
      <c r="C2087" s="13">
        <f t="shared" si="1"/>
        <v>4722.685</v>
      </c>
      <c r="D2087" s="13">
        <f t="shared" si="2"/>
        <v>4606.525</v>
      </c>
      <c r="E2087" s="13" t="str">
        <f t="shared" si="3"/>
        <v>LONG</v>
      </c>
      <c r="F2087" s="3">
        <f t="shared" si="4"/>
        <v>-0.008016310937</v>
      </c>
      <c r="G2087" s="4">
        <f t="shared" si="5"/>
        <v>2.262624077</v>
      </c>
      <c r="H2087" s="3">
        <f t="shared" si="6"/>
        <v>-0.008016310937</v>
      </c>
      <c r="I2087" s="5">
        <f t="shared" si="7"/>
        <v>1.583660464</v>
      </c>
    </row>
    <row r="2088">
      <c r="A2088" s="12">
        <f>IFERROR(__xludf.DUMMYFUNCTION("""COMPUTED_VALUE"""),45295.66666666667)</f>
        <v>45295.66667</v>
      </c>
      <c r="B2088" s="13">
        <f>IFERROR(__xludf.DUMMYFUNCTION("""COMPUTED_VALUE"""),4688.68)</f>
        <v>4688.68</v>
      </c>
      <c r="C2088" s="13">
        <f t="shared" si="1"/>
        <v>4728.525</v>
      </c>
      <c r="D2088" s="13">
        <f t="shared" si="2"/>
        <v>4601.35</v>
      </c>
      <c r="E2088" s="13" t="str">
        <f t="shared" si="3"/>
        <v>LONG</v>
      </c>
      <c r="F2088" s="3">
        <f t="shared" si="4"/>
        <v>-0.003428406248</v>
      </c>
      <c r="G2088" s="4">
        <f t="shared" si="5"/>
        <v>2.254866882</v>
      </c>
      <c r="H2088" s="3">
        <f t="shared" si="6"/>
        <v>-0.003428406248</v>
      </c>
      <c r="I2088" s="5">
        <f t="shared" si="7"/>
        <v>1.578231033</v>
      </c>
    </row>
    <row r="2089">
      <c r="A2089" s="12">
        <f>IFERROR(__xludf.DUMMYFUNCTION("""COMPUTED_VALUE"""),45296.66666666667)</f>
        <v>45296.66667</v>
      </c>
      <c r="B2089" s="13">
        <f>IFERROR(__xludf.DUMMYFUNCTION("""COMPUTED_VALUE"""),4697.24)</f>
        <v>4697.24</v>
      </c>
      <c r="C2089" s="13">
        <f t="shared" si="1"/>
        <v>4697.795</v>
      </c>
      <c r="D2089" s="13">
        <f t="shared" si="2"/>
        <v>4622.31</v>
      </c>
      <c r="E2089" s="13" t="str">
        <f t="shared" si="3"/>
        <v>LONG</v>
      </c>
      <c r="F2089" s="3">
        <f t="shared" si="4"/>
        <v>0.00182567375</v>
      </c>
      <c r="G2089" s="4">
        <f t="shared" si="5"/>
        <v>2.258983533</v>
      </c>
      <c r="H2089" s="3">
        <f t="shared" si="6"/>
        <v>0.00182567375</v>
      </c>
      <c r="I2089" s="5">
        <f t="shared" si="7"/>
        <v>1.581112368</v>
      </c>
    </row>
    <row r="2090">
      <c r="A2090" s="12">
        <f>IFERROR(__xludf.DUMMYFUNCTION("""COMPUTED_VALUE"""),45299.66666666667)</f>
        <v>45299.66667</v>
      </c>
      <c r="B2090" s="13">
        <f>IFERROR(__xludf.DUMMYFUNCTION("""COMPUTED_VALUE"""),4763.54)</f>
        <v>4763.54</v>
      </c>
      <c r="C2090" s="13">
        <f t="shared" si="1"/>
        <v>4755.145</v>
      </c>
      <c r="D2090" s="13">
        <f t="shared" si="2"/>
        <v>4650.865</v>
      </c>
      <c r="E2090" s="13" t="str">
        <f t="shared" si="3"/>
        <v>LONG</v>
      </c>
      <c r="F2090" s="3">
        <f t="shared" si="4"/>
        <v>0.01411467159</v>
      </c>
      <c r="G2090" s="4">
        <f t="shared" si="5"/>
        <v>2.290868344</v>
      </c>
      <c r="H2090" s="3">
        <f t="shared" si="6"/>
        <v>0.01411467159</v>
      </c>
      <c r="I2090" s="5">
        <f t="shared" si="7"/>
        <v>1.60342925</v>
      </c>
    </row>
    <row r="2091">
      <c r="A2091" s="12">
        <f>IFERROR(__xludf.DUMMYFUNCTION("""COMPUTED_VALUE"""),45300.66666666667)</f>
        <v>45300.66667</v>
      </c>
      <c r="B2091" s="13">
        <f>IFERROR(__xludf.DUMMYFUNCTION("""COMPUTED_VALUE"""),4756.5)</f>
        <v>4756.5</v>
      </c>
      <c r="C2091" s="13">
        <f t="shared" si="1"/>
        <v>4755.565</v>
      </c>
      <c r="D2091" s="13">
        <f t="shared" si="2"/>
        <v>4656.56</v>
      </c>
      <c r="E2091" s="13" t="str">
        <f t="shared" si="3"/>
        <v>LONG</v>
      </c>
      <c r="F2091" s="3">
        <f t="shared" si="4"/>
        <v>-0.001477892492</v>
      </c>
      <c r="G2091" s="4">
        <f t="shared" si="5"/>
        <v>2.287482687</v>
      </c>
      <c r="H2091" s="3">
        <f t="shared" si="6"/>
        <v>-0.001477892492</v>
      </c>
      <c r="I2091" s="5">
        <f t="shared" si="7"/>
        <v>1.601059554</v>
      </c>
    </row>
    <row r="2092">
      <c r="A2092" s="12">
        <f>IFERROR(__xludf.DUMMYFUNCTION("""COMPUTED_VALUE"""),45301.66666666667)</f>
        <v>45301.66667</v>
      </c>
      <c r="B2092" s="13">
        <f>IFERROR(__xludf.DUMMYFUNCTION("""COMPUTED_VALUE"""),4783.45)</f>
        <v>4783.45</v>
      </c>
      <c r="C2092" s="13">
        <f t="shared" si="1"/>
        <v>4779.1</v>
      </c>
      <c r="D2092" s="13">
        <f t="shared" si="2"/>
        <v>4671.395</v>
      </c>
      <c r="E2092" s="13" t="str">
        <f t="shared" si="3"/>
        <v>LONG</v>
      </c>
      <c r="F2092" s="3">
        <f t="shared" si="4"/>
        <v>0.005665930831</v>
      </c>
      <c r="G2092" s="4">
        <f t="shared" si="5"/>
        <v>2.300443406</v>
      </c>
      <c r="H2092" s="3">
        <f t="shared" si="6"/>
        <v>0.005665930831</v>
      </c>
      <c r="I2092" s="5">
        <f t="shared" si="7"/>
        <v>1.610131046</v>
      </c>
    </row>
    <row r="2093">
      <c r="A2093" s="12">
        <f>IFERROR(__xludf.DUMMYFUNCTION("""COMPUTED_VALUE"""),45302.66666666667)</f>
        <v>45302.66667</v>
      </c>
      <c r="B2093" s="13">
        <f>IFERROR(__xludf.DUMMYFUNCTION("""COMPUTED_VALUE"""),4780.24)</f>
        <v>4780.24</v>
      </c>
      <c r="C2093" s="13">
        <f t="shared" si="1"/>
        <v>4780.91</v>
      </c>
      <c r="D2093" s="13">
        <f t="shared" si="2"/>
        <v>4665.335</v>
      </c>
      <c r="E2093" s="13" t="str">
        <f t="shared" si="3"/>
        <v>LONG</v>
      </c>
      <c r="F2093" s="3">
        <f t="shared" si="4"/>
        <v>-0.000671063772</v>
      </c>
      <c r="G2093" s="4">
        <f t="shared" si="5"/>
        <v>2.298899661</v>
      </c>
      <c r="H2093" s="3">
        <f t="shared" si="6"/>
        <v>-0.000671063772</v>
      </c>
      <c r="I2093" s="5">
        <f t="shared" si="7"/>
        <v>1.609050546</v>
      </c>
    </row>
    <row r="2094">
      <c r="A2094" s="12">
        <f>IFERROR(__xludf.DUMMYFUNCTION("""COMPUTED_VALUE"""),45303.66666666667)</f>
        <v>45303.66667</v>
      </c>
      <c r="B2094" s="13">
        <f>IFERROR(__xludf.DUMMYFUNCTION("""COMPUTED_VALUE"""),4783.83)</f>
        <v>4783.83</v>
      </c>
      <c r="C2094" s="13">
        <f t="shared" si="1"/>
        <v>4783.59</v>
      </c>
      <c r="D2094" s="13">
        <f t="shared" si="2"/>
        <v>4669.36</v>
      </c>
      <c r="E2094" s="13" t="str">
        <f t="shared" si="3"/>
        <v>LONG</v>
      </c>
      <c r="F2094" s="3">
        <f t="shared" si="4"/>
        <v>0.0007510083176</v>
      </c>
      <c r="G2094" s="4">
        <f t="shared" si="5"/>
        <v>2.300626154</v>
      </c>
      <c r="H2094" s="3">
        <f t="shared" si="6"/>
        <v>0.0007510083176</v>
      </c>
      <c r="I2094" s="5">
        <f t="shared" si="7"/>
        <v>1.610258956</v>
      </c>
    </row>
    <row r="2095">
      <c r="A2095" s="12">
        <f>IFERROR(__xludf.DUMMYFUNCTION("""COMPUTED_VALUE"""),45307.66666666667)</f>
        <v>45307.66667</v>
      </c>
      <c r="B2095" s="13">
        <f>IFERROR(__xludf.DUMMYFUNCTION("""COMPUTED_VALUE"""),4765.98)</f>
        <v>4765.98</v>
      </c>
      <c r="C2095" s="13">
        <f t="shared" si="1"/>
        <v>4767.905</v>
      </c>
      <c r="D2095" s="13">
        <f t="shared" si="2"/>
        <v>4658.28</v>
      </c>
      <c r="E2095" s="13" t="str">
        <f t="shared" si="3"/>
        <v>LONG</v>
      </c>
      <c r="F2095" s="3">
        <f t="shared" si="4"/>
        <v>-0.003731319884</v>
      </c>
      <c r="G2095" s="4">
        <f t="shared" si="5"/>
        <v>2.292041782</v>
      </c>
      <c r="H2095" s="3">
        <f t="shared" si="6"/>
        <v>-0.003731319884</v>
      </c>
      <c r="I2095" s="5">
        <f t="shared" si="7"/>
        <v>1.604250565</v>
      </c>
    </row>
    <row r="2096">
      <c r="A2096" s="12">
        <f>IFERROR(__xludf.DUMMYFUNCTION("""COMPUTED_VALUE"""),45308.66666666667)</f>
        <v>45308.66667</v>
      </c>
      <c r="B2096" s="13">
        <f>IFERROR(__xludf.DUMMYFUNCTION("""COMPUTED_VALUE"""),4739.21)</f>
        <v>4739.21</v>
      </c>
      <c r="C2096" s="13">
        <f t="shared" si="1"/>
        <v>4741.02</v>
      </c>
      <c r="D2096" s="13">
        <f t="shared" si="2"/>
        <v>4653.505</v>
      </c>
      <c r="E2096" s="13" t="str">
        <f t="shared" si="3"/>
        <v>LONG</v>
      </c>
      <c r="F2096" s="3">
        <f t="shared" si="4"/>
        <v>-0.005616893063</v>
      </c>
      <c r="G2096" s="4">
        <f t="shared" si="5"/>
        <v>2.279167629</v>
      </c>
      <c r="H2096" s="3">
        <f t="shared" si="6"/>
        <v>-0.005616893063</v>
      </c>
      <c r="I2096" s="5">
        <f t="shared" si="7"/>
        <v>1.595239661</v>
      </c>
    </row>
    <row r="2097">
      <c r="A2097" s="12">
        <f>IFERROR(__xludf.DUMMYFUNCTION("""COMPUTED_VALUE"""),45309.66666666667)</f>
        <v>45309.66667</v>
      </c>
      <c r="B2097" s="13">
        <f>IFERROR(__xludf.DUMMYFUNCTION("""COMPUTED_VALUE"""),4780.94)</f>
        <v>4780.94</v>
      </c>
      <c r="C2097" s="13">
        <f t="shared" si="1"/>
        <v>4742.875</v>
      </c>
      <c r="D2097" s="13">
        <f t="shared" si="2"/>
        <v>4687.785</v>
      </c>
      <c r="E2097" s="13" t="str">
        <f t="shared" si="3"/>
        <v>LONG</v>
      </c>
      <c r="F2097" s="3">
        <f t="shared" si="4"/>
        <v>0.008805265013</v>
      </c>
      <c r="G2097" s="4">
        <f t="shared" si="5"/>
        <v>2.299236303</v>
      </c>
      <c r="H2097" s="3">
        <f t="shared" si="6"/>
        <v>0.008805265013</v>
      </c>
      <c r="I2097" s="5">
        <f t="shared" si="7"/>
        <v>1.609286169</v>
      </c>
    </row>
    <row r="2098">
      <c r="A2098" s="12">
        <f>IFERROR(__xludf.DUMMYFUNCTION("""COMPUTED_VALUE"""),45310.66666666667)</f>
        <v>45310.66667</v>
      </c>
      <c r="B2098" s="13">
        <f>IFERROR(__xludf.DUMMYFUNCTION("""COMPUTED_VALUE"""),4839.81)</f>
        <v>4839.81</v>
      </c>
      <c r="C2098" s="13">
        <f t="shared" si="1"/>
        <v>4764.245</v>
      </c>
      <c r="D2098" s="13">
        <f t="shared" si="2"/>
        <v>4704.795</v>
      </c>
      <c r="E2098" s="13" t="str">
        <f t="shared" si="3"/>
        <v>LONG</v>
      </c>
      <c r="F2098" s="3">
        <f t="shared" si="4"/>
        <v>0.0123134781</v>
      </c>
      <c r="G2098" s="4">
        <f t="shared" si="5"/>
        <v>2.327547899</v>
      </c>
      <c r="H2098" s="3">
        <f t="shared" si="6"/>
        <v>0.0123134781</v>
      </c>
      <c r="I2098" s="5">
        <f t="shared" si="7"/>
        <v>1.629102079</v>
      </c>
    </row>
    <row r="2099">
      <c r="A2099" s="12">
        <f>IFERROR(__xludf.DUMMYFUNCTION("""COMPUTED_VALUE"""),45313.66666666667)</f>
        <v>45313.66667</v>
      </c>
      <c r="B2099" s="13">
        <f>IFERROR(__xludf.DUMMYFUNCTION("""COMPUTED_VALUE"""),4850.43)</f>
        <v>4850.43</v>
      </c>
      <c r="C2099" s="13">
        <f t="shared" si="1"/>
        <v>4773.835</v>
      </c>
      <c r="D2099" s="13">
        <f t="shared" si="2"/>
        <v>4708.805</v>
      </c>
      <c r="E2099" s="13" t="str">
        <f t="shared" si="3"/>
        <v>LONG</v>
      </c>
      <c r="F2099" s="3">
        <f t="shared" si="4"/>
        <v>0.002194301016</v>
      </c>
      <c r="G2099" s="4">
        <f t="shared" si="5"/>
        <v>2.33265524</v>
      </c>
      <c r="H2099" s="3">
        <f t="shared" si="6"/>
        <v>0.002194301016</v>
      </c>
      <c r="I2099" s="5">
        <f t="shared" si="7"/>
        <v>1.632676819</v>
      </c>
    </row>
    <row r="2100">
      <c r="A2100" s="12">
        <f>IFERROR(__xludf.DUMMYFUNCTION("""COMPUTED_VALUE"""),45314.66666666667)</f>
        <v>45314.66667</v>
      </c>
      <c r="B2100" s="13">
        <f>IFERROR(__xludf.DUMMYFUNCTION("""COMPUTED_VALUE"""),4864.6)</f>
        <v>4864.6</v>
      </c>
      <c r="C2100" s="13">
        <f t="shared" si="1"/>
        <v>4814.07</v>
      </c>
      <c r="D2100" s="13">
        <f t="shared" si="2"/>
        <v>4706.97</v>
      </c>
      <c r="E2100" s="13" t="str">
        <f t="shared" si="3"/>
        <v>LONG</v>
      </c>
      <c r="F2100" s="3">
        <f t="shared" si="4"/>
        <v>0.002921390475</v>
      </c>
      <c r="G2100" s="4">
        <f t="shared" si="5"/>
        <v>2.339469837</v>
      </c>
      <c r="H2100" s="3">
        <f t="shared" si="6"/>
        <v>0.002921390475</v>
      </c>
      <c r="I2100" s="5">
        <f t="shared" si="7"/>
        <v>1.637446506</v>
      </c>
    </row>
    <row r="2101">
      <c r="A2101" s="12">
        <f>IFERROR(__xludf.DUMMYFUNCTION("""COMPUTED_VALUE"""),45315.66666666667)</f>
        <v>45315.66667</v>
      </c>
      <c r="B2101" s="13">
        <f>IFERROR(__xludf.DUMMYFUNCTION("""COMPUTED_VALUE"""),4868.55)</f>
        <v>4868.55</v>
      </c>
      <c r="C2101" s="13">
        <f t="shared" si="1"/>
        <v>4812.525</v>
      </c>
      <c r="D2101" s="13">
        <f t="shared" si="2"/>
        <v>4727.07</v>
      </c>
      <c r="E2101" s="13" t="str">
        <f t="shared" si="3"/>
        <v>LONG</v>
      </c>
      <c r="F2101" s="3">
        <f t="shared" si="4"/>
        <v>0.0008119886527</v>
      </c>
      <c r="G2101" s="4">
        <f t="shared" si="5"/>
        <v>2.34136946</v>
      </c>
      <c r="H2101" s="3">
        <f t="shared" si="6"/>
        <v>0.0008119886527</v>
      </c>
      <c r="I2101" s="5">
        <f t="shared" si="7"/>
        <v>1.638776094</v>
      </c>
    </row>
    <row r="2102">
      <c r="A2102" s="12">
        <f>IFERROR(__xludf.DUMMYFUNCTION("""COMPUTED_VALUE"""),45316.66666666667)</f>
        <v>45316.66667</v>
      </c>
      <c r="B2102" s="13">
        <f>IFERROR(__xludf.DUMMYFUNCTION("""COMPUTED_VALUE"""),4894.16)</f>
        <v>4894.16</v>
      </c>
      <c r="C2102" s="13">
        <f t="shared" si="1"/>
        <v>4838.805</v>
      </c>
      <c r="D2102" s="13">
        <f t="shared" si="2"/>
        <v>4749.265</v>
      </c>
      <c r="E2102" s="13" t="str">
        <f t="shared" si="3"/>
        <v>LONG</v>
      </c>
      <c r="F2102" s="3">
        <f t="shared" si="4"/>
        <v>0.005260293106</v>
      </c>
      <c r="G2102" s="4">
        <f t="shared" si="5"/>
        <v>2.353685749</v>
      </c>
      <c r="H2102" s="3">
        <f t="shared" si="6"/>
        <v>0.005260293106</v>
      </c>
      <c r="I2102" s="5">
        <f t="shared" si="7"/>
        <v>1.647396536</v>
      </c>
    </row>
    <row r="2103">
      <c r="A2103" s="12">
        <f>IFERROR(__xludf.DUMMYFUNCTION("""COMPUTED_VALUE"""),45317.66666666667)</f>
        <v>45317.66667</v>
      </c>
      <c r="B2103" s="13">
        <f>IFERROR(__xludf.DUMMYFUNCTION("""COMPUTED_VALUE"""),4890.97)</f>
        <v>4890.97</v>
      </c>
      <c r="C2103" s="13">
        <f t="shared" si="1"/>
        <v>4835.605</v>
      </c>
      <c r="D2103" s="13">
        <f t="shared" si="2"/>
        <v>4756.705</v>
      </c>
      <c r="E2103" s="13" t="str">
        <f t="shared" si="3"/>
        <v>LONG</v>
      </c>
      <c r="F2103" s="3">
        <f t="shared" si="4"/>
        <v>-0.0006517972441</v>
      </c>
      <c r="G2103" s="4">
        <f t="shared" si="5"/>
        <v>2.352151624</v>
      </c>
      <c r="H2103" s="3">
        <f t="shared" si="6"/>
        <v>-0.0006517972441</v>
      </c>
      <c r="I2103" s="5">
        <f t="shared" si="7"/>
        <v>1.646322768</v>
      </c>
    </row>
    <row r="2104">
      <c r="A2104" s="12">
        <f>IFERROR(__xludf.DUMMYFUNCTION("""COMPUTED_VALUE"""),45320.66666666667)</f>
        <v>45320.66667</v>
      </c>
      <c r="B2104" s="13">
        <f>IFERROR(__xludf.DUMMYFUNCTION("""COMPUTED_VALUE"""),4927.93)</f>
        <v>4927.93</v>
      </c>
      <c r="C2104" s="13">
        <f t="shared" si="1"/>
        <v>4855.88</v>
      </c>
      <c r="D2104" s="13">
        <f t="shared" si="2"/>
        <v>4785.815</v>
      </c>
      <c r="E2104" s="13" t="str">
        <f t="shared" si="3"/>
        <v>LONG</v>
      </c>
      <c r="F2104" s="3">
        <f t="shared" si="4"/>
        <v>0.007556783215</v>
      </c>
      <c r="G2104" s="4">
        <f t="shared" si="5"/>
        <v>2.369926323</v>
      </c>
      <c r="H2104" s="3">
        <f t="shared" si="6"/>
        <v>0.007556783215</v>
      </c>
      <c r="I2104" s="5">
        <f t="shared" si="7"/>
        <v>1.658763672</v>
      </c>
    </row>
    <row r="2105">
      <c r="A2105" s="12">
        <f>IFERROR(__xludf.DUMMYFUNCTION("""COMPUTED_VALUE"""),45321.66666666667)</f>
        <v>45321.66667</v>
      </c>
      <c r="B2105" s="13">
        <f>IFERROR(__xludf.DUMMYFUNCTION("""COMPUTED_VALUE"""),4924.97)</f>
        <v>4924.97</v>
      </c>
      <c r="C2105" s="13">
        <f t="shared" si="1"/>
        <v>4845.475</v>
      </c>
      <c r="D2105" s="13">
        <f t="shared" si="2"/>
        <v>4816.03</v>
      </c>
      <c r="E2105" s="13" t="str">
        <f t="shared" si="3"/>
        <v>LONG</v>
      </c>
      <c r="F2105" s="3">
        <f t="shared" si="4"/>
        <v>-0.0006006578827</v>
      </c>
      <c r="G2105" s="4">
        <f t="shared" si="5"/>
        <v>2.368502809</v>
      </c>
      <c r="H2105" s="3">
        <f t="shared" si="6"/>
        <v>-0.0006006578827</v>
      </c>
      <c r="I2105" s="5">
        <f t="shared" si="7"/>
        <v>1.657767323</v>
      </c>
    </row>
    <row r="2106">
      <c r="A2106" s="12">
        <f>IFERROR(__xludf.DUMMYFUNCTION("""COMPUTED_VALUE"""),45322.66666666667)</f>
        <v>45322.66667</v>
      </c>
      <c r="B2106" s="13">
        <f>IFERROR(__xludf.DUMMYFUNCTION("""COMPUTED_VALUE"""),4845.65)</f>
        <v>4845.65</v>
      </c>
      <c r="C2106" s="13">
        <f t="shared" si="1"/>
        <v>4792.43</v>
      </c>
      <c r="D2106" s="13">
        <f t="shared" si="2"/>
        <v>4782.6</v>
      </c>
      <c r="E2106" s="13" t="str">
        <f t="shared" si="3"/>
        <v>LONG</v>
      </c>
      <c r="F2106" s="3">
        <f t="shared" si="4"/>
        <v>-0.01610568186</v>
      </c>
      <c r="G2106" s="4">
        <f t="shared" si="5"/>
        <v>2.330356456</v>
      </c>
      <c r="H2106" s="3">
        <f t="shared" si="6"/>
        <v>-0.01610568186</v>
      </c>
      <c r="I2106" s="5">
        <f t="shared" si="7"/>
        <v>1.63106785</v>
      </c>
    </row>
    <row r="2107">
      <c r="A2107" s="12">
        <f>IFERROR(__xludf.DUMMYFUNCTION("""COMPUTED_VALUE"""),45323.66666666667)</f>
        <v>45323.66667</v>
      </c>
      <c r="B2107" s="13">
        <f>IFERROR(__xludf.DUMMYFUNCTION("""COMPUTED_VALUE"""),4906.19)</f>
        <v>4906.19</v>
      </c>
      <c r="C2107" s="13">
        <f t="shared" si="1"/>
        <v>4843.565</v>
      </c>
      <c r="D2107" s="13">
        <f t="shared" si="2"/>
        <v>4812.69</v>
      </c>
      <c r="E2107" s="13" t="str">
        <f t="shared" si="3"/>
        <v>LONG</v>
      </c>
      <c r="F2107" s="3">
        <f t="shared" si="4"/>
        <v>0.0124936799</v>
      </c>
      <c r="G2107" s="4">
        <f t="shared" si="5"/>
        <v>2.359471183</v>
      </c>
      <c r="H2107" s="3">
        <f t="shared" si="6"/>
        <v>0.0124936799</v>
      </c>
      <c r="I2107" s="5">
        <f t="shared" si="7"/>
        <v>1.651445889</v>
      </c>
    </row>
    <row r="2108">
      <c r="A2108" s="12">
        <f>IFERROR(__xludf.DUMMYFUNCTION("""COMPUTED_VALUE"""),45324.66666666667)</f>
        <v>45324.66667</v>
      </c>
      <c r="B2108" s="13">
        <f>IFERROR(__xludf.DUMMYFUNCTION("""COMPUTED_VALUE"""),4958.61)</f>
        <v>4958.61</v>
      </c>
      <c r="C2108" s="13">
        <f t="shared" si="1"/>
        <v>4899.21</v>
      </c>
      <c r="D2108" s="13">
        <f t="shared" si="2"/>
        <v>4849.585</v>
      </c>
      <c r="E2108" s="13" t="str">
        <f t="shared" si="3"/>
        <v>LONG</v>
      </c>
      <c r="F2108" s="3">
        <f t="shared" si="4"/>
        <v>0.01068446187</v>
      </c>
      <c r="G2108" s="4">
        <f t="shared" si="5"/>
        <v>2.384680863</v>
      </c>
      <c r="H2108" s="3">
        <f t="shared" si="6"/>
        <v>0.01068446187</v>
      </c>
      <c r="I2108" s="5">
        <f t="shared" si="7"/>
        <v>1.6690907</v>
      </c>
    </row>
    <row r="2109">
      <c r="A2109" s="12">
        <f>IFERROR(__xludf.DUMMYFUNCTION("""COMPUTED_VALUE"""),45327.66666666667)</f>
        <v>45327.66667</v>
      </c>
      <c r="B2109" s="13">
        <f>IFERROR(__xludf.DUMMYFUNCTION("""COMPUTED_VALUE"""),4942.81)</f>
        <v>4942.81</v>
      </c>
      <c r="C2109" s="13">
        <f t="shared" si="1"/>
        <v>4896.62</v>
      </c>
      <c r="D2109" s="13">
        <f t="shared" si="2"/>
        <v>4855.59</v>
      </c>
      <c r="E2109" s="13" t="str">
        <f t="shared" si="3"/>
        <v>LONG</v>
      </c>
      <c r="F2109" s="3">
        <f t="shared" si="4"/>
        <v>-0.003186376827</v>
      </c>
      <c r="G2109" s="4">
        <f t="shared" si="5"/>
        <v>2.377082371</v>
      </c>
      <c r="H2109" s="3">
        <f t="shared" si="6"/>
        <v>-0.003186376827</v>
      </c>
      <c r="I2109" s="5">
        <f t="shared" si="7"/>
        <v>1.663772348</v>
      </c>
    </row>
    <row r="2110">
      <c r="A2110" s="12">
        <f>IFERROR(__xludf.DUMMYFUNCTION("""COMPUTED_VALUE"""),45328.66666666667)</f>
        <v>45328.66667</v>
      </c>
      <c r="B2110" s="13">
        <f>IFERROR(__xludf.DUMMYFUNCTION("""COMPUTED_VALUE"""),4954.23)</f>
        <v>4954.23</v>
      </c>
      <c r="C2110" s="13">
        <f t="shared" si="1"/>
        <v>4909.415</v>
      </c>
      <c r="D2110" s="13">
        <f t="shared" si="2"/>
        <v>4826.29</v>
      </c>
      <c r="E2110" s="13" t="str">
        <f t="shared" si="3"/>
        <v>LONG</v>
      </c>
      <c r="F2110" s="3">
        <f t="shared" si="4"/>
        <v>0.00231042666</v>
      </c>
      <c r="G2110" s="4">
        <f t="shared" si="5"/>
        <v>2.382574446</v>
      </c>
      <c r="H2110" s="3">
        <f t="shared" si="6"/>
        <v>0.00231042666</v>
      </c>
      <c r="I2110" s="5">
        <f t="shared" si="7"/>
        <v>1.667616372</v>
      </c>
    </row>
    <row r="2111">
      <c r="A2111" s="12">
        <f>IFERROR(__xludf.DUMMYFUNCTION("""COMPUTED_VALUE"""),45329.66666666667)</f>
        <v>45329.66667</v>
      </c>
      <c r="B2111" s="13">
        <f>IFERROR(__xludf.DUMMYFUNCTION("""COMPUTED_VALUE"""),4995.06)</f>
        <v>4995.06</v>
      </c>
      <c r="C2111" s="13">
        <f t="shared" si="1"/>
        <v>4931.805</v>
      </c>
      <c r="D2111" s="13">
        <f t="shared" si="2"/>
        <v>4870.905</v>
      </c>
      <c r="E2111" s="13" t="str">
        <f t="shared" si="3"/>
        <v>LONG</v>
      </c>
      <c r="F2111" s="3">
        <f t="shared" si="4"/>
        <v>0.008241442162</v>
      </c>
      <c r="G2111" s="4">
        <f t="shared" si="5"/>
        <v>2.402210295</v>
      </c>
      <c r="H2111" s="3">
        <f t="shared" si="6"/>
        <v>0.008241442162</v>
      </c>
      <c r="I2111" s="5">
        <f t="shared" si="7"/>
        <v>1.681359936</v>
      </c>
    </row>
    <row r="2112">
      <c r="A2112" s="12">
        <f>IFERROR(__xludf.DUMMYFUNCTION("""COMPUTED_VALUE"""),45330.66666666667)</f>
        <v>45330.66667</v>
      </c>
      <c r="B2112" s="13">
        <f>IFERROR(__xludf.DUMMYFUNCTION("""COMPUTED_VALUE"""),4997.91)</f>
        <v>4997.91</v>
      </c>
      <c r="C2112" s="13">
        <f t="shared" si="1"/>
        <v>4946.035</v>
      </c>
      <c r="D2112" s="13">
        <f t="shared" si="2"/>
        <v>4876.27</v>
      </c>
      <c r="E2112" s="13" t="str">
        <f t="shared" si="3"/>
        <v>LONG</v>
      </c>
      <c r="F2112" s="3">
        <f t="shared" si="4"/>
        <v>0.000570563717</v>
      </c>
      <c r="G2112" s="4">
        <f t="shared" si="5"/>
        <v>2.40358091</v>
      </c>
      <c r="H2112" s="3">
        <f t="shared" si="6"/>
        <v>0.000570563717</v>
      </c>
      <c r="I2112" s="5">
        <f t="shared" si="7"/>
        <v>1.682319259</v>
      </c>
    </row>
    <row r="2113">
      <c r="A2113" s="12">
        <f>IFERROR(__xludf.DUMMYFUNCTION("""COMPUTED_VALUE"""),45331.66666666667)</f>
        <v>45331.66667</v>
      </c>
      <c r="B2113" s="13">
        <f>IFERROR(__xludf.DUMMYFUNCTION("""COMPUTED_VALUE"""),5026.61)</f>
        <v>5026.61</v>
      </c>
      <c r="C2113" s="13">
        <f t="shared" si="1"/>
        <v>4958.79</v>
      </c>
      <c r="D2113" s="13">
        <f t="shared" si="2"/>
        <v>4900.68</v>
      </c>
      <c r="E2113" s="13" t="str">
        <f t="shared" si="3"/>
        <v>LONG</v>
      </c>
      <c r="F2113" s="3">
        <f t="shared" si="4"/>
        <v>0.005742400323</v>
      </c>
      <c r="G2113" s="4">
        <f t="shared" si="5"/>
        <v>2.417383233</v>
      </c>
      <c r="H2113" s="3">
        <f t="shared" si="6"/>
        <v>0.005742400323</v>
      </c>
      <c r="I2113" s="5">
        <f t="shared" si="7"/>
        <v>1.691979809</v>
      </c>
    </row>
    <row r="2114">
      <c r="A2114" s="12">
        <f>IFERROR(__xludf.DUMMYFUNCTION("""COMPUTED_VALUE"""),45334.66666666667)</f>
        <v>45334.66667</v>
      </c>
      <c r="B2114" s="13">
        <f>IFERROR(__xludf.DUMMYFUNCTION("""COMPUTED_VALUE"""),5021.84)</f>
        <v>5021.84</v>
      </c>
      <c r="C2114" s="13">
        <f t="shared" si="1"/>
        <v>4974.885</v>
      </c>
      <c r="D2114" s="13">
        <f t="shared" si="2"/>
        <v>4901.71</v>
      </c>
      <c r="E2114" s="13" t="str">
        <f t="shared" si="3"/>
        <v>LONG</v>
      </c>
      <c r="F2114" s="3">
        <f t="shared" si="4"/>
        <v>-0.0009489496898</v>
      </c>
      <c r="G2114" s="4">
        <f t="shared" si="5"/>
        <v>2.415089258</v>
      </c>
      <c r="H2114" s="3">
        <f t="shared" si="6"/>
        <v>-0.0009489496898</v>
      </c>
      <c r="I2114" s="5">
        <f t="shared" si="7"/>
        <v>1.690374206</v>
      </c>
    </row>
    <row r="2115">
      <c r="A2115" s="12">
        <f>IFERROR(__xludf.DUMMYFUNCTION("""COMPUTED_VALUE"""),45335.66666666667)</f>
        <v>45335.66667</v>
      </c>
      <c r="B2115" s="13">
        <f>IFERROR(__xludf.DUMMYFUNCTION("""COMPUTED_VALUE"""),4953.17)</f>
        <v>4953.17</v>
      </c>
      <c r="C2115" s="13">
        <f t="shared" si="1"/>
        <v>4939.07</v>
      </c>
      <c r="D2115" s="13">
        <f t="shared" si="2"/>
        <v>4868.26</v>
      </c>
      <c r="E2115" s="13" t="str">
        <f t="shared" si="3"/>
        <v>LONG</v>
      </c>
      <c r="F2115" s="3">
        <f t="shared" si="4"/>
        <v>-0.01367427079</v>
      </c>
      <c r="G2115" s="4">
        <f t="shared" si="5"/>
        <v>2.382064674</v>
      </c>
      <c r="H2115" s="3">
        <f t="shared" si="6"/>
        <v>-0.01367427079</v>
      </c>
      <c r="I2115" s="5">
        <f t="shared" si="7"/>
        <v>1.667259571</v>
      </c>
    </row>
    <row r="2116">
      <c r="A2116" s="12">
        <f>IFERROR(__xludf.DUMMYFUNCTION("""COMPUTED_VALUE"""),45336.66666666667)</f>
        <v>45336.66667</v>
      </c>
      <c r="B2116" s="13">
        <f>IFERROR(__xludf.DUMMYFUNCTION("""COMPUTED_VALUE"""),5000.62)</f>
        <v>5000.62</v>
      </c>
      <c r="C2116" s="13">
        <f t="shared" si="1"/>
        <v>4923.135</v>
      </c>
      <c r="D2116" s="13">
        <f t="shared" si="2"/>
        <v>4885.225</v>
      </c>
      <c r="E2116" s="13" t="str">
        <f t="shared" si="3"/>
        <v>LONG</v>
      </c>
      <c r="F2116" s="3">
        <f t="shared" si="4"/>
        <v>0.009579723692</v>
      </c>
      <c r="G2116" s="4">
        <f t="shared" si="5"/>
        <v>2.404884195</v>
      </c>
      <c r="H2116" s="3">
        <f t="shared" si="6"/>
        <v>0.009579723692</v>
      </c>
      <c r="I2116" s="5">
        <f t="shared" si="7"/>
        <v>1.683231457</v>
      </c>
    </row>
    <row r="2117">
      <c r="A2117" s="12">
        <f>IFERROR(__xludf.DUMMYFUNCTION("""COMPUTED_VALUE"""),45337.66666666667)</f>
        <v>45337.66667</v>
      </c>
      <c r="B2117" s="13">
        <f>IFERROR(__xludf.DUMMYFUNCTION("""COMPUTED_VALUE"""),5029.73)</f>
        <v>5029.73</v>
      </c>
      <c r="C2117" s="13">
        <f t="shared" si="1"/>
        <v>4967.96</v>
      </c>
      <c r="D2117" s="13">
        <f t="shared" si="2"/>
        <v>4886.28</v>
      </c>
      <c r="E2117" s="13" t="str">
        <f t="shared" si="3"/>
        <v>LONG</v>
      </c>
      <c r="F2117" s="3">
        <f t="shared" si="4"/>
        <v>0.005821278162</v>
      </c>
      <c r="G2117" s="4">
        <f t="shared" si="5"/>
        <v>2.418883695</v>
      </c>
      <c r="H2117" s="3">
        <f t="shared" si="6"/>
        <v>0.005821278162</v>
      </c>
      <c r="I2117" s="5">
        <f t="shared" si="7"/>
        <v>1.693030016</v>
      </c>
    </row>
    <row r="2118">
      <c r="A2118" s="12">
        <f>IFERROR(__xludf.DUMMYFUNCTION("""COMPUTED_VALUE"""),45338.66666666667)</f>
        <v>45338.66667</v>
      </c>
      <c r="B2118" s="13">
        <f>IFERROR(__xludf.DUMMYFUNCTION("""COMPUTED_VALUE"""),5005.57)</f>
        <v>5005.57</v>
      </c>
      <c r="C2118" s="13">
        <f t="shared" si="1"/>
        <v>4982.09</v>
      </c>
      <c r="D2118" s="13">
        <f t="shared" si="2"/>
        <v>4855.19</v>
      </c>
      <c r="E2118" s="13" t="str">
        <f t="shared" si="3"/>
        <v>LONG</v>
      </c>
      <c r="F2118" s="3">
        <f t="shared" si="4"/>
        <v>-0.004803438753</v>
      </c>
      <c r="G2118" s="4">
        <f t="shared" si="5"/>
        <v>2.407264735</v>
      </c>
      <c r="H2118" s="3">
        <f t="shared" si="6"/>
        <v>-0.004803438753</v>
      </c>
      <c r="I2118" s="5">
        <f t="shared" si="7"/>
        <v>1.68489765</v>
      </c>
    </row>
    <row r="2119">
      <c r="A2119" s="12">
        <f>IFERROR(__xludf.DUMMYFUNCTION("""COMPUTED_VALUE"""),45342.66666666667)</f>
        <v>45342.66667</v>
      </c>
      <c r="B2119" s="13">
        <f>IFERROR(__xludf.DUMMYFUNCTION("""COMPUTED_VALUE"""),4975.51)</f>
        <v>4975.51</v>
      </c>
      <c r="C2119" s="13">
        <f t="shared" si="1"/>
        <v>4959.16</v>
      </c>
      <c r="D2119" s="13">
        <f t="shared" si="2"/>
        <v>4832.095</v>
      </c>
      <c r="E2119" s="13" t="str">
        <f t="shared" si="3"/>
        <v>LONG</v>
      </c>
      <c r="F2119" s="3">
        <f t="shared" si="4"/>
        <v>-0.006005310085</v>
      </c>
      <c r="G2119" s="4">
        <f t="shared" si="5"/>
        <v>2.392808364</v>
      </c>
      <c r="H2119" s="3">
        <f t="shared" si="6"/>
        <v>-0.006005310085</v>
      </c>
      <c r="I2119" s="5">
        <f t="shared" si="7"/>
        <v>1.674779317</v>
      </c>
    </row>
    <row r="2120">
      <c r="A2120" s="12">
        <f>IFERROR(__xludf.DUMMYFUNCTION("""COMPUTED_VALUE"""),45343.66666666667)</f>
        <v>45343.66667</v>
      </c>
      <c r="B2120" s="13">
        <f>IFERROR(__xludf.DUMMYFUNCTION("""COMPUTED_VALUE"""),4981.8)</f>
        <v>4981.8</v>
      </c>
      <c r="C2120" s="13">
        <f t="shared" si="1"/>
        <v>4968.015</v>
      </c>
      <c r="D2120" s="13">
        <f t="shared" si="2"/>
        <v>4839.52</v>
      </c>
      <c r="E2120" s="13" t="str">
        <f t="shared" si="3"/>
        <v>LONG</v>
      </c>
      <c r="F2120" s="3">
        <f t="shared" si="4"/>
        <v>0.001264192012</v>
      </c>
      <c r="G2120" s="4">
        <f t="shared" si="5"/>
        <v>2.395833333</v>
      </c>
      <c r="H2120" s="3">
        <f t="shared" si="6"/>
        <v>0.001264192012</v>
      </c>
      <c r="I2120" s="5">
        <f t="shared" si="7"/>
        <v>1.676896559</v>
      </c>
    </row>
    <row r="2121">
      <c r="A2121" s="12">
        <f>IFERROR(__xludf.DUMMYFUNCTION("""COMPUTED_VALUE"""),45344.66666666667)</f>
        <v>45344.66667</v>
      </c>
      <c r="B2121" s="13">
        <f>IFERROR(__xludf.DUMMYFUNCTION("""COMPUTED_VALUE"""),5087.03)</f>
        <v>5087.03</v>
      </c>
      <c r="C2121" s="13">
        <f t="shared" si="1"/>
        <v>5041.045</v>
      </c>
      <c r="D2121" s="13">
        <f t="shared" si="2"/>
        <v>4925.285</v>
      </c>
      <c r="E2121" s="13" t="str">
        <f t="shared" si="3"/>
        <v>LONG</v>
      </c>
      <c r="F2121" s="3">
        <f t="shared" si="4"/>
        <v>0.02112288731</v>
      </c>
      <c r="G2121" s="4">
        <f t="shared" si="5"/>
        <v>2.446440251</v>
      </c>
      <c r="H2121" s="3">
        <f t="shared" si="6"/>
        <v>0.02112288731</v>
      </c>
      <c r="I2121" s="5">
        <f t="shared" si="7"/>
        <v>1.712317456</v>
      </c>
    </row>
    <row r="2122">
      <c r="A2122" s="12">
        <f>IFERROR(__xludf.DUMMYFUNCTION("""COMPUTED_VALUE"""),45345.66666666667)</f>
        <v>45345.66667</v>
      </c>
      <c r="B2122" s="13">
        <f>IFERROR(__xludf.DUMMYFUNCTION("""COMPUTED_VALUE"""),5088.8)</f>
        <v>5088.8</v>
      </c>
      <c r="C2122" s="13">
        <f t="shared" si="1"/>
        <v>5043.355</v>
      </c>
      <c r="D2122" s="13">
        <f t="shared" si="2"/>
        <v>4922.65</v>
      </c>
      <c r="E2122" s="13" t="str">
        <f t="shared" si="3"/>
        <v>LONG</v>
      </c>
      <c r="F2122" s="3">
        <f t="shared" si="4"/>
        <v>0.0003479436921</v>
      </c>
      <c r="G2122" s="4">
        <f t="shared" si="5"/>
        <v>2.447291474</v>
      </c>
      <c r="H2122" s="3">
        <f t="shared" si="6"/>
        <v>0.0003479436921</v>
      </c>
      <c r="I2122" s="5">
        <f t="shared" si="7"/>
        <v>1.712913246</v>
      </c>
    </row>
    <row r="2123">
      <c r="A2123" s="12">
        <f>IFERROR(__xludf.DUMMYFUNCTION("""COMPUTED_VALUE"""),45348.66666666667)</f>
        <v>45348.66667</v>
      </c>
      <c r="B2123" s="13">
        <f>IFERROR(__xludf.DUMMYFUNCTION("""COMPUTED_VALUE"""),5069.53)</f>
        <v>5069.53</v>
      </c>
      <c r="C2123" s="13">
        <f t="shared" si="1"/>
        <v>5048.07</v>
      </c>
      <c r="D2123" s="13">
        <f t="shared" si="2"/>
        <v>4926.49</v>
      </c>
      <c r="E2123" s="13" t="str">
        <f t="shared" si="3"/>
        <v>LONG</v>
      </c>
      <c r="F2123" s="3">
        <f t="shared" si="4"/>
        <v>-0.003786747367</v>
      </c>
      <c r="G2123" s="4">
        <f t="shared" si="5"/>
        <v>2.4380242</v>
      </c>
      <c r="H2123" s="3">
        <f t="shared" si="6"/>
        <v>-0.003786747367</v>
      </c>
      <c r="I2123" s="5">
        <f t="shared" si="7"/>
        <v>1.706426877</v>
      </c>
    </row>
    <row r="2124">
      <c r="A2124" s="12">
        <f>IFERROR(__xludf.DUMMYFUNCTION("""COMPUTED_VALUE"""),45349.66666666667)</f>
        <v>45349.66667</v>
      </c>
      <c r="B2124" s="13">
        <f>IFERROR(__xludf.DUMMYFUNCTION("""COMPUTED_VALUE"""),5078.18)</f>
        <v>5078.18</v>
      </c>
      <c r="C2124" s="13">
        <f t="shared" si="1"/>
        <v>5050.01</v>
      </c>
      <c r="D2124" s="13">
        <f t="shared" si="2"/>
        <v>4929.21</v>
      </c>
      <c r="E2124" s="13" t="str">
        <f t="shared" si="3"/>
        <v>LONG</v>
      </c>
      <c r="F2124" s="3">
        <f t="shared" si="4"/>
        <v>0.001706272574</v>
      </c>
      <c r="G2124" s="4">
        <f t="shared" si="5"/>
        <v>2.442184134</v>
      </c>
      <c r="H2124" s="3">
        <f t="shared" si="6"/>
        <v>0.001706272574</v>
      </c>
      <c r="I2124" s="5">
        <f t="shared" si="7"/>
        <v>1.709338506</v>
      </c>
    </row>
    <row r="2125">
      <c r="A2125" s="12">
        <f>IFERROR(__xludf.DUMMYFUNCTION("""COMPUTED_VALUE"""),45350.66666666667)</f>
        <v>45350.66667</v>
      </c>
      <c r="B2125" s="13">
        <f>IFERROR(__xludf.DUMMYFUNCTION("""COMPUTED_VALUE"""),5069.76)</f>
        <v>5069.76</v>
      </c>
      <c r="C2125" s="13">
        <f t="shared" si="1"/>
        <v>5011.465</v>
      </c>
      <c r="D2125" s="13">
        <f t="shared" si="2"/>
        <v>4926.795</v>
      </c>
      <c r="E2125" s="13" t="str">
        <f t="shared" si="3"/>
        <v>LONG</v>
      </c>
      <c r="F2125" s="3">
        <f t="shared" si="4"/>
        <v>-0.001658074349</v>
      </c>
      <c r="G2125" s="4">
        <f t="shared" si="5"/>
        <v>2.438134811</v>
      </c>
      <c r="H2125" s="3">
        <f t="shared" si="6"/>
        <v>-0.001658074349</v>
      </c>
      <c r="I2125" s="5">
        <f t="shared" si="7"/>
        <v>1.706504296</v>
      </c>
    </row>
    <row r="2126">
      <c r="A2126" s="12">
        <f>IFERROR(__xludf.DUMMYFUNCTION("""COMPUTED_VALUE"""),45351.66666666667)</f>
        <v>45351.66667</v>
      </c>
      <c r="B2126" s="13">
        <f>IFERROR(__xludf.DUMMYFUNCTION("""COMPUTED_VALUE"""),5096.27)</f>
        <v>5096.27</v>
      </c>
      <c r="C2126" s="13">
        <f t="shared" si="1"/>
        <v>5048.445</v>
      </c>
      <c r="D2126" s="13">
        <f t="shared" si="2"/>
        <v>4931.125</v>
      </c>
      <c r="E2126" s="13" t="str">
        <f t="shared" si="3"/>
        <v>LONG</v>
      </c>
      <c r="F2126" s="3">
        <f t="shared" si="4"/>
        <v>0.005229044373</v>
      </c>
      <c r="G2126" s="4">
        <f t="shared" si="5"/>
        <v>2.450883926</v>
      </c>
      <c r="H2126" s="3">
        <f t="shared" si="6"/>
        <v>0.005229044373</v>
      </c>
      <c r="I2126" s="5">
        <f t="shared" si="7"/>
        <v>1.715427682</v>
      </c>
    </row>
    <row r="2127">
      <c r="A2127" s="12">
        <f>IFERROR(__xludf.DUMMYFUNCTION("""COMPUTED_VALUE"""),45352.66666666667)</f>
        <v>45352.66667</v>
      </c>
      <c r="B2127" s="13">
        <f>IFERROR(__xludf.DUMMYFUNCTION("""COMPUTED_VALUE"""),5137.08)</f>
        <v>5137.08</v>
      </c>
      <c r="C2127" s="13">
        <f t="shared" si="1"/>
        <v>5083.405</v>
      </c>
      <c r="D2127" s="13">
        <f t="shared" si="2"/>
        <v>4938.145</v>
      </c>
      <c r="E2127" s="13" t="str">
        <f t="shared" si="3"/>
        <v>LONG</v>
      </c>
      <c r="F2127" s="3">
        <f t="shared" si="4"/>
        <v>0.008007817482</v>
      </c>
      <c r="G2127" s="4">
        <f t="shared" si="5"/>
        <v>2.470510157</v>
      </c>
      <c r="H2127" s="3">
        <f t="shared" si="6"/>
        <v>0.008007817482</v>
      </c>
      <c r="I2127" s="5">
        <f t="shared" si="7"/>
        <v>1.729164514</v>
      </c>
    </row>
    <row r="2128">
      <c r="A2128" s="12">
        <f>IFERROR(__xludf.DUMMYFUNCTION("""COMPUTED_VALUE"""),45355.66666666667)</f>
        <v>45355.66667</v>
      </c>
      <c r="B2128" s="13">
        <f>IFERROR(__xludf.DUMMYFUNCTION("""COMPUTED_VALUE"""),5130.95)</f>
        <v>5130.95</v>
      </c>
      <c r="C2128" s="13">
        <f t="shared" si="1"/>
        <v>5068.26</v>
      </c>
      <c r="D2128" s="13">
        <f t="shared" si="2"/>
        <v>4955.945</v>
      </c>
      <c r="E2128" s="13" t="str">
        <f t="shared" si="3"/>
        <v>LONG</v>
      </c>
      <c r="F2128" s="3">
        <f t="shared" si="4"/>
        <v>-0.001193284901</v>
      </c>
      <c r="G2128" s="4">
        <f t="shared" si="5"/>
        <v>2.467562135</v>
      </c>
      <c r="H2128" s="3">
        <f t="shared" si="6"/>
        <v>-0.001193284901</v>
      </c>
      <c r="I2128" s="5">
        <f t="shared" si="7"/>
        <v>1.727101128</v>
      </c>
    </row>
    <row r="2129">
      <c r="A2129" s="12">
        <f>IFERROR(__xludf.DUMMYFUNCTION("""COMPUTED_VALUE"""),45356.66666666667)</f>
        <v>45356.66667</v>
      </c>
      <c r="B2129" s="13">
        <f>IFERROR(__xludf.DUMMYFUNCTION("""COMPUTED_VALUE"""),5078.65)</f>
        <v>5078.65</v>
      </c>
      <c r="C2129" s="13">
        <f t="shared" si="1"/>
        <v>5027.08</v>
      </c>
      <c r="D2129" s="13">
        <f t="shared" si="2"/>
        <v>4959.23</v>
      </c>
      <c r="E2129" s="13" t="str">
        <f t="shared" si="3"/>
        <v>LONG</v>
      </c>
      <c r="F2129" s="3">
        <f t="shared" si="4"/>
        <v>-0.01019304417</v>
      </c>
      <c r="G2129" s="4">
        <f t="shared" si="5"/>
        <v>2.442410165</v>
      </c>
      <c r="H2129" s="3">
        <f t="shared" si="6"/>
        <v>-0.01019304417</v>
      </c>
      <c r="I2129" s="5">
        <f t="shared" si="7"/>
        <v>1.70949671</v>
      </c>
    </row>
    <row r="2130">
      <c r="A2130" s="12">
        <f>IFERROR(__xludf.DUMMYFUNCTION("""COMPUTED_VALUE"""),45357.66666666667)</f>
        <v>45357.66667</v>
      </c>
      <c r="B2130" s="13">
        <f>IFERROR(__xludf.DUMMYFUNCTION("""COMPUTED_VALUE"""),5104.76)</f>
        <v>5104.76</v>
      </c>
      <c r="C2130" s="13">
        <f t="shared" si="1"/>
        <v>5043.28</v>
      </c>
      <c r="D2130" s="13">
        <f t="shared" si="2"/>
        <v>4977.595</v>
      </c>
      <c r="E2130" s="13" t="str">
        <f t="shared" si="3"/>
        <v>LONG</v>
      </c>
      <c r="F2130" s="3">
        <f t="shared" si="4"/>
        <v>0.005141130025</v>
      </c>
      <c r="G2130" s="4">
        <f t="shared" si="5"/>
        <v>2.454966913</v>
      </c>
      <c r="H2130" s="3">
        <f t="shared" si="6"/>
        <v>0.005141130025</v>
      </c>
      <c r="I2130" s="5">
        <f t="shared" si="7"/>
        <v>1.718285455</v>
      </c>
    </row>
    <row r="2131">
      <c r="A2131" s="12">
        <f>IFERROR(__xludf.DUMMYFUNCTION("""COMPUTED_VALUE"""),45358.66666666667)</f>
        <v>45358.66667</v>
      </c>
      <c r="B2131" s="13">
        <f>IFERROR(__xludf.DUMMYFUNCTION("""COMPUTED_VALUE"""),5157.36)</f>
        <v>5157.36</v>
      </c>
      <c r="C2131" s="13">
        <f t="shared" si="1"/>
        <v>5122.195</v>
      </c>
      <c r="D2131" s="13">
        <f t="shared" si="2"/>
        <v>5010.98</v>
      </c>
      <c r="E2131" s="13" t="str">
        <f t="shared" si="3"/>
        <v>LONG</v>
      </c>
      <c r="F2131" s="3">
        <f t="shared" si="4"/>
        <v>0.01030410832</v>
      </c>
      <c r="G2131" s="4">
        <f t="shared" si="5"/>
        <v>2.480263158</v>
      </c>
      <c r="H2131" s="3">
        <f t="shared" si="6"/>
        <v>0.01030410832</v>
      </c>
      <c r="I2131" s="5">
        <f t="shared" si="7"/>
        <v>1.735990855</v>
      </c>
    </row>
    <row r="2132">
      <c r="A2132" s="12">
        <f>IFERROR(__xludf.DUMMYFUNCTION("""COMPUTED_VALUE"""),45359.66666666667)</f>
        <v>45359.66667</v>
      </c>
      <c r="B2132" s="13">
        <f>IFERROR(__xludf.DUMMYFUNCTION("""COMPUTED_VALUE"""),5123.69)</f>
        <v>5123.69</v>
      </c>
      <c r="C2132" s="13">
        <f t="shared" si="1"/>
        <v>5106.245</v>
      </c>
      <c r="D2132" s="13">
        <f t="shared" si="2"/>
        <v>4996.12</v>
      </c>
      <c r="E2132" s="13" t="str">
        <f t="shared" si="3"/>
        <v>LONG</v>
      </c>
      <c r="F2132" s="3">
        <f t="shared" si="4"/>
        <v>-0.006528533979</v>
      </c>
      <c r="G2132" s="4">
        <f t="shared" si="5"/>
        <v>2.464070676</v>
      </c>
      <c r="H2132" s="3">
        <f t="shared" si="6"/>
        <v>-0.006528533979</v>
      </c>
      <c r="I2132" s="5">
        <f t="shared" si="7"/>
        <v>1.724657379</v>
      </c>
    </row>
    <row r="2133">
      <c r="A2133" s="12">
        <f>IFERROR(__xludf.DUMMYFUNCTION("""COMPUTED_VALUE"""),45362.66666666667)</f>
        <v>45362.66667</v>
      </c>
      <c r="B2133" s="13">
        <f>IFERROR(__xludf.DUMMYFUNCTION("""COMPUTED_VALUE"""),5117.94)</f>
        <v>5117.94</v>
      </c>
      <c r="C2133" s="13">
        <f t="shared" si="1"/>
        <v>5093.735</v>
      </c>
      <c r="D2133" s="13">
        <f t="shared" si="2"/>
        <v>5006.05</v>
      </c>
      <c r="E2133" s="13" t="str">
        <f t="shared" si="3"/>
        <v>LONG</v>
      </c>
      <c r="F2133" s="3">
        <f t="shared" si="4"/>
        <v>-0.001122238075</v>
      </c>
      <c r="G2133" s="4">
        <f t="shared" si="5"/>
        <v>2.461305402</v>
      </c>
      <c r="H2133" s="3">
        <f t="shared" si="6"/>
        <v>-0.001122238075</v>
      </c>
      <c r="I2133" s="5">
        <f t="shared" si="7"/>
        <v>1.722721903</v>
      </c>
    </row>
    <row r="2134">
      <c r="A2134" s="12">
        <f>IFERROR(__xludf.DUMMYFUNCTION("""COMPUTED_VALUE"""),45363.66666666667)</f>
        <v>45363.66667</v>
      </c>
      <c r="B2134" s="13">
        <f>IFERROR(__xludf.DUMMYFUNCTION("""COMPUTED_VALUE"""),5175.27)</f>
        <v>5175.27</v>
      </c>
      <c r="C2134" s="13">
        <f t="shared" si="1"/>
        <v>5126.725</v>
      </c>
      <c r="D2134" s="13">
        <f t="shared" si="2"/>
        <v>5033.12</v>
      </c>
      <c r="E2134" s="13" t="str">
        <f t="shared" si="3"/>
        <v>LONG</v>
      </c>
      <c r="F2134" s="3">
        <f t="shared" si="4"/>
        <v>0.01120177259</v>
      </c>
      <c r="G2134" s="4">
        <f t="shared" si="5"/>
        <v>2.488876385</v>
      </c>
      <c r="H2134" s="3">
        <f t="shared" si="6"/>
        <v>0.01120177259</v>
      </c>
      <c r="I2134" s="5">
        <f t="shared" si="7"/>
        <v>1.742019442</v>
      </c>
    </row>
    <row r="2135">
      <c r="A2135" s="12">
        <f>IFERROR(__xludf.DUMMYFUNCTION("""COMPUTED_VALUE"""),45364.66666666667)</f>
        <v>45364.66667</v>
      </c>
      <c r="B2135" s="13">
        <f>IFERROR(__xludf.DUMMYFUNCTION("""COMPUTED_VALUE"""),5165.31)</f>
        <v>5165.31</v>
      </c>
      <c r="C2135" s="13">
        <f t="shared" si="1"/>
        <v>5117.535</v>
      </c>
      <c r="D2135" s="13">
        <f t="shared" si="2"/>
        <v>5046.62</v>
      </c>
      <c r="E2135" s="13" t="str">
        <f t="shared" si="3"/>
        <v>LONG</v>
      </c>
      <c r="F2135" s="3">
        <f t="shared" si="4"/>
        <v>-0.001924537271</v>
      </c>
      <c r="G2135" s="4">
        <f t="shared" si="5"/>
        <v>2.48408645</v>
      </c>
      <c r="H2135" s="3">
        <f t="shared" si="6"/>
        <v>-0.001924537271</v>
      </c>
      <c r="I2135" s="5">
        <f t="shared" si="7"/>
        <v>1.738666861</v>
      </c>
    </row>
    <row r="2136">
      <c r="A2136" s="12">
        <f>IFERROR(__xludf.DUMMYFUNCTION("""COMPUTED_VALUE"""),45365.66666666667)</f>
        <v>45365.66667</v>
      </c>
      <c r="B2136" s="13">
        <f>IFERROR(__xludf.DUMMYFUNCTION("""COMPUTED_VALUE"""),5150.48)</f>
        <v>5150.48</v>
      </c>
      <c r="C2136" s="13">
        <f t="shared" si="1"/>
        <v>5123.375</v>
      </c>
      <c r="D2136" s="13">
        <f t="shared" si="2"/>
        <v>5037.725</v>
      </c>
      <c r="E2136" s="13" t="str">
        <f t="shared" si="3"/>
        <v>LONG</v>
      </c>
      <c r="F2136" s="3">
        <f t="shared" si="4"/>
        <v>-0.00287107647</v>
      </c>
      <c r="G2136" s="4">
        <f t="shared" si="5"/>
        <v>2.476954448</v>
      </c>
      <c r="H2136" s="3">
        <f t="shared" si="6"/>
        <v>-0.00287107647</v>
      </c>
      <c r="I2136" s="5">
        <f t="shared" si="7"/>
        <v>1.733675015</v>
      </c>
    </row>
    <row r="2137">
      <c r="A2137" s="12">
        <f>IFERROR(__xludf.DUMMYFUNCTION("""COMPUTED_VALUE"""),45366.66666666667)</f>
        <v>45366.66667</v>
      </c>
      <c r="B2137" s="13">
        <f>IFERROR(__xludf.DUMMYFUNCTION("""COMPUTED_VALUE"""),5117.09)</f>
        <v>5117.09</v>
      </c>
      <c r="C2137" s="13">
        <f t="shared" si="1"/>
        <v>5127.085</v>
      </c>
      <c r="D2137" s="13">
        <f t="shared" si="2"/>
        <v>4981.37</v>
      </c>
      <c r="E2137" s="13" t="str">
        <f t="shared" si="3"/>
        <v>LONG</v>
      </c>
      <c r="F2137" s="3">
        <f t="shared" si="4"/>
        <v>-0.006482890915</v>
      </c>
      <c r="G2137" s="4">
        <f t="shared" si="5"/>
        <v>2.460896622</v>
      </c>
      <c r="H2137" s="3">
        <f t="shared" si="6"/>
        <v>-0.006482890915</v>
      </c>
      <c r="I2137" s="5">
        <f t="shared" si="7"/>
        <v>1.722435789</v>
      </c>
    </row>
    <row r="2138">
      <c r="A2138" s="12">
        <f>IFERROR(__xludf.DUMMYFUNCTION("""COMPUTED_VALUE"""),45369.66666666667)</f>
        <v>45369.66667</v>
      </c>
      <c r="B2138" s="13">
        <f>IFERROR(__xludf.DUMMYFUNCTION("""COMPUTED_VALUE"""),5149.42)</f>
        <v>5149.42</v>
      </c>
      <c r="C2138" s="13">
        <f t="shared" si="1"/>
        <v>5140.185</v>
      </c>
      <c r="D2138" s="13">
        <f t="shared" si="2"/>
        <v>5027.805</v>
      </c>
      <c r="E2138" s="13" t="str">
        <f t="shared" si="3"/>
        <v>LONG</v>
      </c>
      <c r="F2138" s="3">
        <f t="shared" si="4"/>
        <v>0.006318044045</v>
      </c>
      <c r="G2138" s="4">
        <f t="shared" si="5"/>
        <v>2.476444675</v>
      </c>
      <c r="H2138" s="3">
        <f t="shared" si="6"/>
        <v>0.006318044045</v>
      </c>
      <c r="I2138" s="5">
        <f t="shared" si="7"/>
        <v>1.733318214</v>
      </c>
    </row>
    <row r="2139">
      <c r="A2139" s="12">
        <f>IFERROR(__xludf.DUMMYFUNCTION("""COMPUTED_VALUE"""),45370.66666666667)</f>
        <v>45370.66667</v>
      </c>
      <c r="B2139" s="13">
        <f>IFERROR(__xludf.DUMMYFUNCTION("""COMPUTED_VALUE"""),5178.51)</f>
        <v>5178.51</v>
      </c>
      <c r="C2139" s="13">
        <f t="shared" si="1"/>
        <v>5128.58</v>
      </c>
      <c r="D2139" s="13">
        <f t="shared" si="2"/>
        <v>5068.56</v>
      </c>
      <c r="E2139" s="13" t="str">
        <f t="shared" si="3"/>
        <v>LONG</v>
      </c>
      <c r="F2139" s="3">
        <f t="shared" si="4"/>
        <v>0.005649179908</v>
      </c>
      <c r="G2139" s="4">
        <f t="shared" si="5"/>
        <v>2.490434557</v>
      </c>
      <c r="H2139" s="3">
        <f t="shared" si="6"/>
        <v>0.005649179908</v>
      </c>
      <c r="I2139" s="5">
        <f t="shared" si="7"/>
        <v>1.743110041</v>
      </c>
    </row>
    <row r="2140">
      <c r="A2140" s="12">
        <f>IFERROR(__xludf.DUMMYFUNCTION("""COMPUTED_VALUE"""),45371.66666666667)</f>
        <v>45371.66667</v>
      </c>
      <c r="B2140" s="13">
        <f>IFERROR(__xludf.DUMMYFUNCTION("""COMPUTED_VALUE"""),5224.62)</f>
        <v>5224.62</v>
      </c>
      <c r="C2140" s="13">
        <f t="shared" si="1"/>
        <v>5164.69</v>
      </c>
      <c r="D2140" s="13">
        <f t="shared" si="2"/>
        <v>5083.715</v>
      </c>
      <c r="E2140" s="13" t="str">
        <f t="shared" si="3"/>
        <v>LONG</v>
      </c>
      <c r="F2140" s="3">
        <f t="shared" si="4"/>
        <v>0.008904105621</v>
      </c>
      <c r="G2140" s="4">
        <f t="shared" si="5"/>
        <v>2.512609649</v>
      </c>
      <c r="H2140" s="3">
        <f t="shared" si="6"/>
        <v>0.008904105621</v>
      </c>
      <c r="I2140" s="5">
        <f t="shared" si="7"/>
        <v>1.758630877</v>
      </c>
    </row>
    <row r="2141">
      <c r="A2141" s="12">
        <f>IFERROR(__xludf.DUMMYFUNCTION("""COMPUTED_VALUE"""),45372.66666666667)</f>
        <v>45372.66667</v>
      </c>
      <c r="B2141" s="13">
        <f>IFERROR(__xludf.DUMMYFUNCTION("""COMPUTED_VALUE"""),5241.53)</f>
        <v>5241.53</v>
      </c>
      <c r="C2141" s="13">
        <f t="shared" si="1"/>
        <v>5199.445</v>
      </c>
      <c r="D2141" s="13">
        <f t="shared" si="2"/>
        <v>5097.88</v>
      </c>
      <c r="E2141" s="13" t="str">
        <f t="shared" si="3"/>
        <v>LONG</v>
      </c>
      <c r="F2141" s="3">
        <f t="shared" si="4"/>
        <v>0.003236599025</v>
      </c>
      <c r="G2141" s="4">
        <f t="shared" si="5"/>
        <v>2.520741959</v>
      </c>
      <c r="H2141" s="3">
        <f t="shared" si="6"/>
        <v>0.003236599025</v>
      </c>
      <c r="I2141" s="5">
        <f t="shared" si="7"/>
        <v>1.76432286</v>
      </c>
    </row>
    <row r="2142">
      <c r="A2142" s="12">
        <f>IFERROR(__xludf.DUMMYFUNCTION("""COMPUTED_VALUE"""),45373.66666666667)</f>
        <v>45373.66667</v>
      </c>
      <c r="B2142" s="13">
        <f>IFERROR(__xludf.DUMMYFUNCTION("""COMPUTED_VALUE"""),5234.18)</f>
        <v>5234.18</v>
      </c>
      <c r="C2142" s="13">
        <f t="shared" si="1"/>
        <v>5178.935</v>
      </c>
      <c r="D2142" s="13">
        <f t="shared" si="2"/>
        <v>5114.62</v>
      </c>
      <c r="E2142" s="13" t="str">
        <f t="shared" si="3"/>
        <v>LONG</v>
      </c>
      <c r="F2142" s="3">
        <f t="shared" si="4"/>
        <v>-0.001402262317</v>
      </c>
      <c r="G2142" s="4">
        <f t="shared" si="5"/>
        <v>2.517207218</v>
      </c>
      <c r="H2142" s="3">
        <f t="shared" si="6"/>
        <v>-0.001402262317</v>
      </c>
      <c r="I2142" s="5">
        <f t="shared" si="7"/>
        <v>1.761848816</v>
      </c>
    </row>
    <row r="2143">
      <c r="A2143" s="12">
        <f>IFERROR(__xludf.DUMMYFUNCTION("""COMPUTED_VALUE"""),45376.66666666667)</f>
        <v>45376.66667</v>
      </c>
      <c r="B2143" s="13">
        <f>IFERROR(__xludf.DUMMYFUNCTION("""COMPUTED_VALUE"""),5218.19)</f>
        <v>5218.19</v>
      </c>
      <c r="C2143" s="13">
        <f t="shared" si="1"/>
        <v>5168.065</v>
      </c>
      <c r="D2143" s="13">
        <f t="shared" si="2"/>
        <v>5108.05</v>
      </c>
      <c r="E2143" s="13" t="str">
        <f t="shared" si="3"/>
        <v>LONG</v>
      </c>
      <c r="F2143" s="3">
        <f t="shared" si="4"/>
        <v>-0.003054919777</v>
      </c>
      <c r="G2143" s="4">
        <f t="shared" si="5"/>
        <v>2.509517351</v>
      </c>
      <c r="H2143" s="3">
        <f t="shared" si="6"/>
        <v>-0.003054919777</v>
      </c>
      <c r="I2143" s="5">
        <f t="shared" si="7"/>
        <v>1.756466509</v>
      </c>
    </row>
    <row r="2144">
      <c r="A2144" s="12">
        <f>IFERROR(__xludf.DUMMYFUNCTION("""COMPUTED_VALUE"""),45377.66666666667)</f>
        <v>45377.66667</v>
      </c>
      <c r="B2144" s="13">
        <f>IFERROR(__xludf.DUMMYFUNCTION("""COMPUTED_VALUE"""),5203.58)</f>
        <v>5203.58</v>
      </c>
      <c r="C2144" s="13">
        <f t="shared" si="1"/>
        <v>5189.425</v>
      </c>
      <c r="D2144" s="13">
        <f t="shared" si="2"/>
        <v>5115.095</v>
      </c>
      <c r="E2144" s="13" t="str">
        <f t="shared" si="3"/>
        <v>LONG</v>
      </c>
      <c r="F2144" s="3">
        <f t="shared" si="4"/>
        <v>-0.002799821394</v>
      </c>
      <c r="G2144" s="4">
        <f t="shared" si="5"/>
        <v>2.502491151</v>
      </c>
      <c r="H2144" s="3">
        <f t="shared" si="6"/>
        <v>-0.002799821394</v>
      </c>
      <c r="I2144" s="5">
        <f t="shared" si="7"/>
        <v>1.751548717</v>
      </c>
    </row>
    <row r="2145">
      <c r="A2145" s="12">
        <f>IFERROR(__xludf.DUMMYFUNCTION("""COMPUTED_VALUE"""),45378.66666666667)</f>
        <v>45378.66667</v>
      </c>
      <c r="B2145" s="13">
        <f>IFERROR(__xludf.DUMMYFUNCTION("""COMPUTED_VALUE"""),5248.49)</f>
        <v>5248.49</v>
      </c>
      <c r="C2145" s="13">
        <f t="shared" si="1"/>
        <v>5206.9</v>
      </c>
      <c r="D2145" s="13">
        <f t="shared" si="2"/>
        <v>5135.165</v>
      </c>
      <c r="E2145" s="13" t="str">
        <f t="shared" si="3"/>
        <v>LONG</v>
      </c>
      <c r="F2145" s="3">
        <f t="shared" si="4"/>
        <v>0.008630596628</v>
      </c>
      <c r="G2145" s="4">
        <f t="shared" si="5"/>
        <v>2.524089143</v>
      </c>
      <c r="H2145" s="3">
        <f t="shared" si="6"/>
        <v>0.008630596628</v>
      </c>
      <c r="I2145" s="5">
        <f t="shared" si="7"/>
        <v>1.766665627</v>
      </c>
    </row>
    <row r="2146">
      <c r="A2146" s="12">
        <f>IFERROR(__xludf.DUMMYFUNCTION("""COMPUTED_VALUE"""),45379.66666666667)</f>
        <v>45379.66667</v>
      </c>
      <c r="B2146" s="13">
        <f>IFERROR(__xludf.DUMMYFUNCTION("""COMPUTED_VALUE"""),5254.35)</f>
        <v>5254.35</v>
      </c>
      <c r="C2146" s="13">
        <f t="shared" si="1"/>
        <v>5202.415</v>
      </c>
      <c r="D2146" s="13">
        <f t="shared" si="2"/>
        <v>5103.76</v>
      </c>
      <c r="E2146" s="13" t="str">
        <f t="shared" si="3"/>
        <v>LONG</v>
      </c>
      <c r="F2146" s="3">
        <f t="shared" si="4"/>
        <v>0.001116511606</v>
      </c>
      <c r="G2146" s="4">
        <f t="shared" si="5"/>
        <v>2.526907318</v>
      </c>
      <c r="H2146" s="3">
        <f t="shared" si="6"/>
        <v>0.001116511606</v>
      </c>
      <c r="I2146" s="5">
        <f t="shared" si="7"/>
        <v>1.76863813</v>
      </c>
    </row>
    <row r="2147">
      <c r="A2147" s="12">
        <f>IFERROR(__xludf.DUMMYFUNCTION("""COMPUTED_VALUE"""),45383.66666666667)</f>
        <v>45383.66667</v>
      </c>
      <c r="B2147" s="13">
        <f>IFERROR(__xludf.DUMMYFUNCTION("""COMPUTED_VALUE"""),5243.77)</f>
        <v>5243.77</v>
      </c>
      <c r="C2147" s="13">
        <f t="shared" si="1"/>
        <v>5180.43</v>
      </c>
      <c r="D2147" s="13">
        <f t="shared" si="2"/>
        <v>5122.195</v>
      </c>
      <c r="E2147" s="13" t="str">
        <f t="shared" si="3"/>
        <v>LONG</v>
      </c>
      <c r="F2147" s="3">
        <f t="shared" si="4"/>
        <v>-0.002013569709</v>
      </c>
      <c r="G2147" s="4">
        <f t="shared" si="5"/>
        <v>2.521819214</v>
      </c>
      <c r="H2147" s="3">
        <f t="shared" si="6"/>
        <v>-0.002013569709</v>
      </c>
      <c r="I2147" s="5">
        <f t="shared" si="7"/>
        <v>1.765076854</v>
      </c>
    </row>
    <row r="2148">
      <c r="A2148" s="12">
        <f>IFERROR(__xludf.DUMMYFUNCTION("""COMPUTED_VALUE"""),45384.66666666667)</f>
        <v>45384.66667</v>
      </c>
      <c r="B2148" s="13">
        <f>IFERROR(__xludf.DUMMYFUNCTION("""COMPUTED_VALUE"""),5205.81)</f>
        <v>5205.81</v>
      </c>
      <c r="C2148" s="13">
        <f t="shared" si="1"/>
        <v>5177.615</v>
      </c>
      <c r="D2148" s="13">
        <f t="shared" si="2"/>
        <v>5117.77</v>
      </c>
      <c r="E2148" s="13" t="str">
        <f t="shared" si="3"/>
        <v>LONG</v>
      </c>
      <c r="F2148" s="3">
        <f t="shared" si="4"/>
        <v>-0.007239066549</v>
      </c>
      <c r="G2148" s="4">
        <f t="shared" si="5"/>
        <v>2.503563596</v>
      </c>
      <c r="H2148" s="3">
        <f t="shared" si="6"/>
        <v>-0.007239066549</v>
      </c>
      <c r="I2148" s="5">
        <f t="shared" si="7"/>
        <v>1.752299345</v>
      </c>
    </row>
    <row r="2149">
      <c r="A2149" s="12">
        <f>IFERROR(__xludf.DUMMYFUNCTION("""COMPUTED_VALUE"""),45385.66666666667)</f>
        <v>45385.66667</v>
      </c>
      <c r="B2149" s="13">
        <f>IFERROR(__xludf.DUMMYFUNCTION("""COMPUTED_VALUE"""),5211.49)</f>
        <v>5211.49</v>
      </c>
      <c r="C2149" s="13">
        <f t="shared" si="1"/>
        <v>5195</v>
      </c>
      <c r="D2149" s="13">
        <f t="shared" si="2"/>
        <v>5108.53</v>
      </c>
      <c r="E2149" s="13" t="str">
        <f t="shared" si="3"/>
        <v>LONG</v>
      </c>
      <c r="F2149" s="3">
        <f t="shared" si="4"/>
        <v>0.001091088611</v>
      </c>
      <c r="G2149" s="4">
        <f t="shared" si="5"/>
        <v>2.506295206</v>
      </c>
      <c r="H2149" s="3">
        <f t="shared" si="6"/>
        <v>0.001091088611</v>
      </c>
      <c r="I2149" s="5">
        <f t="shared" si="7"/>
        <v>1.754211259</v>
      </c>
    </row>
    <row r="2150">
      <c r="A2150" s="12">
        <f>IFERROR(__xludf.DUMMYFUNCTION("""COMPUTED_VALUE"""),45386.66666666667)</f>
        <v>45386.66667</v>
      </c>
      <c r="B2150" s="13">
        <f>IFERROR(__xludf.DUMMYFUNCTION("""COMPUTED_VALUE"""),5147.21)</f>
        <v>5147.21</v>
      </c>
      <c r="C2150" s="13">
        <f t="shared" si="1"/>
        <v>5185.915</v>
      </c>
      <c r="D2150" s="13">
        <f t="shared" si="2"/>
        <v>5061.36</v>
      </c>
      <c r="E2150" s="13" t="str">
        <f t="shared" si="3"/>
        <v>LONG</v>
      </c>
      <c r="F2150" s="3">
        <f t="shared" si="4"/>
        <v>-0.01233428444</v>
      </c>
      <c r="G2150" s="4">
        <f t="shared" si="5"/>
        <v>2.475381848</v>
      </c>
      <c r="H2150" s="3">
        <f t="shared" si="6"/>
        <v>-0.01233428444</v>
      </c>
      <c r="I2150" s="5">
        <f t="shared" si="7"/>
        <v>1.732574318</v>
      </c>
    </row>
    <row r="2151">
      <c r="A2151" s="12">
        <f>IFERROR(__xludf.DUMMYFUNCTION("""COMPUTED_VALUE"""),45387.66666666667)</f>
        <v>45387.66667</v>
      </c>
      <c r="B2151" s="13">
        <f>IFERROR(__xludf.DUMMYFUNCTION("""COMPUTED_VALUE"""),5204.34)</f>
        <v>5204.34</v>
      </c>
      <c r="C2151" s="13">
        <f t="shared" si="1"/>
        <v>5222.935</v>
      </c>
      <c r="D2151" s="13">
        <f t="shared" si="2"/>
        <v>5093.07</v>
      </c>
      <c r="E2151" s="13" t="str">
        <f t="shared" si="3"/>
        <v>LONG</v>
      </c>
      <c r="F2151" s="3">
        <f t="shared" si="4"/>
        <v>0.01109921686</v>
      </c>
      <c r="G2151" s="4">
        <f t="shared" si="5"/>
        <v>2.502856648</v>
      </c>
      <c r="H2151" s="3">
        <f t="shared" si="6"/>
        <v>0.01109921686</v>
      </c>
      <c r="I2151" s="5">
        <f t="shared" si="7"/>
        <v>1.751804536</v>
      </c>
    </row>
    <row r="2152">
      <c r="A2152" s="12">
        <f>IFERROR(__xludf.DUMMYFUNCTION("""COMPUTED_VALUE"""),45390.66666666667)</f>
        <v>45390.66667</v>
      </c>
      <c r="B2152" s="13">
        <f>IFERROR(__xludf.DUMMYFUNCTION("""COMPUTED_VALUE"""),5202.39)</f>
        <v>5202.39</v>
      </c>
      <c r="C2152" s="13">
        <f t="shared" si="1"/>
        <v>5218.285</v>
      </c>
      <c r="D2152" s="13">
        <f t="shared" si="2"/>
        <v>5144.71</v>
      </c>
      <c r="E2152" s="13" t="str">
        <f t="shared" si="3"/>
        <v>LONG</v>
      </c>
      <c r="F2152" s="3">
        <f t="shared" si="4"/>
        <v>-0.0003746872802</v>
      </c>
      <c r="G2152" s="4">
        <f t="shared" si="5"/>
        <v>2.50191886</v>
      </c>
      <c r="H2152" s="3">
        <f t="shared" si="6"/>
        <v>-0.0003746872802</v>
      </c>
      <c r="I2152" s="5">
        <f t="shared" si="7"/>
        <v>1.751148158</v>
      </c>
    </row>
    <row r="2153">
      <c r="A2153" s="12">
        <f>IFERROR(__xludf.DUMMYFUNCTION("""COMPUTED_VALUE"""),45391.66666666667)</f>
        <v>45391.66667</v>
      </c>
      <c r="B2153" s="13">
        <f>IFERROR(__xludf.DUMMYFUNCTION("""COMPUTED_VALUE"""),5209.91)</f>
        <v>5209.91</v>
      </c>
      <c r="C2153" s="13">
        <f t="shared" si="1"/>
        <v>5214.05</v>
      </c>
      <c r="D2153" s="13">
        <f t="shared" si="2"/>
        <v>5149.355</v>
      </c>
      <c r="E2153" s="13" t="str">
        <f t="shared" si="3"/>
        <v>LONG</v>
      </c>
      <c r="F2153" s="3">
        <f t="shared" si="4"/>
        <v>0.001445489477</v>
      </c>
      <c r="G2153" s="4">
        <f t="shared" si="5"/>
        <v>2.505535357</v>
      </c>
      <c r="H2153" s="3">
        <f t="shared" si="6"/>
        <v>0.001445489477</v>
      </c>
      <c r="I2153" s="5">
        <f t="shared" si="7"/>
        <v>1.753679424</v>
      </c>
    </row>
    <row r="2154">
      <c r="A2154" s="12">
        <f>IFERROR(__xludf.DUMMYFUNCTION("""COMPUTED_VALUE"""),45392.66666666667)</f>
        <v>45392.66667</v>
      </c>
      <c r="B2154" s="13">
        <f>IFERROR(__xludf.DUMMYFUNCTION("""COMPUTED_VALUE"""),5160.64)</f>
        <v>5160.64</v>
      </c>
      <c r="C2154" s="13">
        <f t="shared" si="1"/>
        <v>5182.11</v>
      </c>
      <c r="D2154" s="13">
        <f t="shared" si="2"/>
        <v>5115.085</v>
      </c>
      <c r="E2154" s="13" t="str">
        <f t="shared" si="3"/>
        <v>LONG</v>
      </c>
      <c r="F2154" s="3">
        <f t="shared" si="4"/>
        <v>-0.009456977184</v>
      </c>
      <c r="G2154" s="4">
        <f t="shared" si="5"/>
        <v>2.481840566</v>
      </c>
      <c r="H2154" s="3">
        <f t="shared" si="6"/>
        <v>-0.009456977184</v>
      </c>
      <c r="I2154" s="5">
        <f t="shared" si="7"/>
        <v>1.737094917</v>
      </c>
    </row>
    <row r="2155">
      <c r="A2155" s="12">
        <f>IFERROR(__xludf.DUMMYFUNCTION("""COMPUTED_VALUE"""),45393.66666666667)</f>
        <v>45393.66667</v>
      </c>
      <c r="B2155" s="13">
        <f>IFERROR(__xludf.DUMMYFUNCTION("""COMPUTED_VALUE"""),5199.06)</f>
        <v>5199.06</v>
      </c>
      <c r="C2155" s="13">
        <f t="shared" si="1"/>
        <v>5223.775</v>
      </c>
      <c r="D2155" s="13">
        <f t="shared" si="2"/>
        <v>5138.62</v>
      </c>
      <c r="E2155" s="13" t="str">
        <f t="shared" si="3"/>
        <v>LONG</v>
      </c>
      <c r="F2155" s="3">
        <f t="shared" si="4"/>
        <v>0.007444813046</v>
      </c>
      <c r="G2155" s="4">
        <f t="shared" si="5"/>
        <v>2.500317405</v>
      </c>
      <c r="H2155" s="3">
        <f t="shared" si="6"/>
        <v>0.007444813046</v>
      </c>
      <c r="I2155" s="5">
        <f t="shared" si="7"/>
        <v>1.750027264</v>
      </c>
    </row>
    <row r="2156">
      <c r="A2156" s="12">
        <f>IFERROR(__xludf.DUMMYFUNCTION("""COMPUTED_VALUE"""),45394.66666666667)</f>
        <v>45394.66667</v>
      </c>
      <c r="B2156" s="13">
        <f>IFERROR(__xludf.DUMMYFUNCTION("""COMPUTED_VALUE"""),5123.41)</f>
        <v>5123.41</v>
      </c>
      <c r="C2156" s="13">
        <f t="shared" si="1"/>
        <v>5188.88</v>
      </c>
      <c r="D2156" s="13">
        <f t="shared" si="2"/>
        <v>5096.585</v>
      </c>
      <c r="E2156" s="13" t="str">
        <f t="shared" si="3"/>
        <v>LONG</v>
      </c>
      <c r="F2156" s="3">
        <f t="shared" si="4"/>
        <v>-0.01455070724</v>
      </c>
      <c r="G2156" s="4">
        <f t="shared" si="5"/>
        <v>2.463936019</v>
      </c>
      <c r="H2156" s="3">
        <f t="shared" si="6"/>
        <v>-0.01455070724</v>
      </c>
      <c r="I2156" s="5">
        <f t="shared" si="7"/>
        <v>1.72456313</v>
      </c>
    </row>
    <row r="2157">
      <c r="A2157" s="12">
        <f>IFERROR(__xludf.DUMMYFUNCTION("""COMPUTED_VALUE"""),45397.66666666667)</f>
        <v>45397.66667</v>
      </c>
      <c r="B2157" s="13">
        <f>IFERROR(__xludf.DUMMYFUNCTION("""COMPUTED_VALUE"""),5061.82)</f>
        <v>5061.82</v>
      </c>
      <c r="C2157" s="13">
        <f t="shared" si="1"/>
        <v>5152.795</v>
      </c>
      <c r="D2157" s="13">
        <f t="shared" si="2"/>
        <v>5079.045</v>
      </c>
      <c r="E2157" s="13" t="str">
        <f t="shared" si="3"/>
        <v>LONG</v>
      </c>
      <c r="F2157" s="3">
        <f t="shared" si="4"/>
        <v>-0.01202129051</v>
      </c>
      <c r="G2157" s="4">
        <f t="shared" si="5"/>
        <v>2.434316328</v>
      </c>
      <c r="H2157" s="3">
        <f t="shared" si="6"/>
        <v>-0.01202129051</v>
      </c>
      <c r="I2157" s="5">
        <f t="shared" si="7"/>
        <v>1.703831656</v>
      </c>
    </row>
    <row r="2158">
      <c r="A2158" s="12">
        <f>IFERROR(__xludf.DUMMYFUNCTION("""COMPUTED_VALUE"""),45398.66666666667)</f>
        <v>45398.66667</v>
      </c>
      <c r="B2158" s="13">
        <f>IFERROR(__xludf.DUMMYFUNCTION("""COMPUTED_VALUE"""),5051.41)</f>
        <v>5051.41</v>
      </c>
      <c r="C2158" s="13">
        <f t="shared" si="1"/>
        <v>5128.61</v>
      </c>
      <c r="D2158" s="13">
        <f t="shared" si="2"/>
        <v>5094.245</v>
      </c>
      <c r="E2158" s="13" t="str">
        <f t="shared" si="3"/>
        <v>LONG</v>
      </c>
      <c r="F2158" s="3">
        <f t="shared" si="4"/>
        <v>-0.002056572537</v>
      </c>
      <c r="G2158" s="4">
        <f t="shared" si="5"/>
        <v>2.42930998</v>
      </c>
      <c r="H2158" s="3">
        <f t="shared" si="6"/>
        <v>-0.002056572537</v>
      </c>
      <c r="I2158" s="5">
        <f t="shared" si="7"/>
        <v>1.700327602</v>
      </c>
    </row>
    <row r="2159">
      <c r="A2159" s="12">
        <f>IFERROR(__xludf.DUMMYFUNCTION("""COMPUTED_VALUE"""),45399.66666666667)</f>
        <v>45399.66667</v>
      </c>
      <c r="B2159" s="13">
        <f>IFERROR(__xludf.DUMMYFUNCTION("""COMPUTED_VALUE"""),5022.21)</f>
        <v>5022.21</v>
      </c>
      <c r="C2159" s="13">
        <f t="shared" si="1"/>
        <v>5116.85</v>
      </c>
      <c r="D2159" s="13">
        <f t="shared" si="2"/>
        <v>5076.58</v>
      </c>
      <c r="E2159" s="13" t="str">
        <f t="shared" si="3"/>
        <v>LONG</v>
      </c>
      <c r="F2159" s="3">
        <f t="shared" si="4"/>
        <v>-0.005780564238</v>
      </c>
      <c r="G2159" s="4">
        <f t="shared" si="5"/>
        <v>2.415267198</v>
      </c>
      <c r="H2159" s="3">
        <f t="shared" si="6"/>
        <v>-0.005780564238</v>
      </c>
      <c r="I2159" s="5">
        <f t="shared" si="7"/>
        <v>1.690498749</v>
      </c>
    </row>
    <row r="2160">
      <c r="A2160" s="12">
        <f>IFERROR(__xludf.DUMMYFUNCTION("""COMPUTED_VALUE"""),45400.66666666667)</f>
        <v>45400.66667</v>
      </c>
      <c r="B2160" s="13">
        <f>IFERROR(__xludf.DUMMYFUNCTION("""COMPUTED_VALUE"""),5011.12)</f>
        <v>5011.12</v>
      </c>
      <c r="C2160" s="13">
        <f t="shared" si="1"/>
        <v>5079.165</v>
      </c>
      <c r="D2160" s="13">
        <f t="shared" si="2"/>
        <v>5044.885</v>
      </c>
      <c r="E2160" s="13" t="str">
        <f t="shared" si="3"/>
        <v>LONG</v>
      </c>
      <c r="F2160" s="3">
        <f t="shared" si="4"/>
        <v>-0.002208191215</v>
      </c>
      <c r="G2160" s="4">
        <f t="shared" si="5"/>
        <v>2.409933826</v>
      </c>
      <c r="H2160" s="3">
        <f t="shared" si="6"/>
        <v>-0.002208191215</v>
      </c>
      <c r="I2160" s="5">
        <f t="shared" si="7"/>
        <v>1.686765805</v>
      </c>
    </row>
    <row r="2161">
      <c r="A2161" s="12">
        <f>IFERROR(__xludf.DUMMYFUNCTION("""COMPUTED_VALUE"""),45401.66666666667)</f>
        <v>45401.66667</v>
      </c>
      <c r="B2161" s="13">
        <f>IFERROR(__xludf.DUMMYFUNCTION("""COMPUTED_VALUE"""),4967.23)</f>
        <v>4967.23</v>
      </c>
      <c r="C2161" s="13">
        <f t="shared" si="1"/>
        <v>5085.785</v>
      </c>
      <c r="D2161" s="13">
        <f t="shared" si="2"/>
        <v>5035.995</v>
      </c>
      <c r="E2161" s="13" t="str">
        <f t="shared" si="3"/>
        <v>LONG</v>
      </c>
      <c r="F2161" s="3">
        <f t="shared" si="4"/>
        <v>-0.008758521049</v>
      </c>
      <c r="G2161" s="4">
        <f t="shared" si="5"/>
        <v>2.38882637</v>
      </c>
      <c r="H2161" s="3">
        <f t="shared" si="6"/>
        <v>-0.008758521049</v>
      </c>
      <c r="I2161" s="5">
        <f t="shared" si="7"/>
        <v>1.671992231</v>
      </c>
    </row>
    <row r="2162">
      <c r="A2162" s="12">
        <f>IFERROR(__xludf.DUMMYFUNCTION("""COMPUTED_VALUE"""),45404.66666666667)</f>
        <v>45404.66667</v>
      </c>
      <c r="B2162" s="13">
        <f>IFERROR(__xludf.DUMMYFUNCTION("""COMPUTED_VALUE"""),5010.6)</f>
        <v>5010.6</v>
      </c>
      <c r="C2162" s="13">
        <f t="shared" si="1"/>
        <v>5106.495</v>
      </c>
      <c r="D2162" s="13">
        <f t="shared" si="2"/>
        <v>5083.98</v>
      </c>
      <c r="E2162" s="13" t="str">
        <f t="shared" si="3"/>
        <v>LONG</v>
      </c>
      <c r="F2162" s="3">
        <f t="shared" si="4"/>
        <v>0.008731224445</v>
      </c>
      <c r="G2162" s="4">
        <f t="shared" si="5"/>
        <v>2.409683749</v>
      </c>
      <c r="H2162" s="3">
        <f t="shared" si="6"/>
        <v>0.008731224445</v>
      </c>
      <c r="I2162" s="5">
        <f t="shared" si="7"/>
        <v>1.68659077</v>
      </c>
    </row>
    <row r="2163">
      <c r="A2163" s="12">
        <f>IFERROR(__xludf.DUMMYFUNCTION("""COMPUTED_VALUE"""),45405.66666666667)</f>
        <v>45405.66667</v>
      </c>
      <c r="B2163" s="13">
        <f>IFERROR(__xludf.DUMMYFUNCTION("""COMPUTED_VALUE"""),5070.55)</f>
        <v>5070.55</v>
      </c>
      <c r="C2163" s="13">
        <f t="shared" si="1"/>
        <v>5140.23</v>
      </c>
      <c r="D2163" s="13">
        <f t="shared" si="2"/>
        <v>5097.12</v>
      </c>
      <c r="E2163" s="13" t="str">
        <f t="shared" si="3"/>
        <v>LONG</v>
      </c>
      <c r="F2163" s="3">
        <f t="shared" si="4"/>
        <v>0.01196463497</v>
      </c>
      <c r="G2163" s="4">
        <f t="shared" si="5"/>
        <v>2.438514735</v>
      </c>
      <c r="H2163" s="3">
        <f t="shared" si="6"/>
        <v>0.01196463497</v>
      </c>
      <c r="I2163" s="5">
        <f t="shared" si="7"/>
        <v>1.706770213</v>
      </c>
    </row>
    <row r="2164">
      <c r="A2164" s="12">
        <f>IFERROR(__xludf.DUMMYFUNCTION("""COMPUTED_VALUE"""),45406.66666666667)</f>
        <v>45406.66667</v>
      </c>
      <c r="B2164" s="13">
        <f>IFERROR(__xludf.DUMMYFUNCTION("""COMPUTED_VALUE"""),5071.63)</f>
        <v>5071.63</v>
      </c>
      <c r="C2164" s="13">
        <f t="shared" si="1"/>
        <v>5116.135</v>
      </c>
      <c r="D2164" s="13">
        <f t="shared" si="2"/>
        <v>5094.785</v>
      </c>
      <c r="E2164" s="13" t="str">
        <f t="shared" si="3"/>
        <v>LONG</v>
      </c>
      <c r="F2164" s="3">
        <f t="shared" si="4"/>
        <v>0.0002129946456</v>
      </c>
      <c r="G2164" s="4">
        <f t="shared" si="5"/>
        <v>2.439034126</v>
      </c>
      <c r="H2164" s="3">
        <f t="shared" si="6"/>
        <v>0.0002129946456</v>
      </c>
      <c r="I2164" s="5">
        <f t="shared" si="7"/>
        <v>1.707133746</v>
      </c>
    </row>
    <row r="2165">
      <c r="A2165" s="12">
        <f>IFERROR(__xludf.DUMMYFUNCTION("""COMPUTED_VALUE"""),45407.66666666667)</f>
        <v>45407.66667</v>
      </c>
      <c r="B2165" s="13">
        <f>IFERROR(__xludf.DUMMYFUNCTION("""COMPUTED_VALUE"""),5048.42)</f>
        <v>5048.42</v>
      </c>
      <c r="C2165" s="13">
        <f t="shared" si="1"/>
        <v>5123.74</v>
      </c>
      <c r="D2165" s="13">
        <f t="shared" si="2"/>
        <v>5111.845</v>
      </c>
      <c r="E2165" s="13" t="str">
        <f t="shared" si="3"/>
        <v>LONG</v>
      </c>
      <c r="F2165" s="3">
        <f t="shared" si="4"/>
        <v>-0.00457643795</v>
      </c>
      <c r="G2165" s="4">
        <f t="shared" si="5"/>
        <v>2.427872038</v>
      </c>
      <c r="H2165" s="3">
        <f t="shared" si="6"/>
        <v>-0.00457643795</v>
      </c>
      <c r="I2165" s="5">
        <f t="shared" si="7"/>
        <v>1.699321155</v>
      </c>
    </row>
    <row r="2166">
      <c r="A2166" s="12">
        <f>IFERROR(__xludf.DUMMYFUNCTION("""COMPUTED_VALUE"""),45408.66666666667)</f>
        <v>45408.66667</v>
      </c>
      <c r="B2166" s="13">
        <f>IFERROR(__xludf.DUMMYFUNCTION("""COMPUTED_VALUE"""),5099.96)</f>
        <v>5099.96</v>
      </c>
      <c r="C2166" s="13">
        <f t="shared" si="1"/>
        <v>5111.685</v>
      </c>
      <c r="D2166" s="13">
        <f t="shared" si="2"/>
        <v>5132.635</v>
      </c>
      <c r="E2166" s="13" t="str">
        <f t="shared" si="3"/>
        <v/>
      </c>
      <c r="F2166" s="3">
        <f t="shared" si="4"/>
        <v>0.01020913474</v>
      </c>
      <c r="G2166" s="4">
        <f t="shared" si="5"/>
        <v>2.45265851</v>
      </c>
      <c r="H2166" s="5">
        <f t="shared" si="6"/>
        <v>0</v>
      </c>
      <c r="I2166" s="5">
        <f t="shared" si="7"/>
        <v>1.699321155</v>
      </c>
    </row>
    <row r="2167">
      <c r="A2167" s="12">
        <f>IFERROR(__xludf.DUMMYFUNCTION("""COMPUTED_VALUE"""),45411.66666666667)</f>
        <v>45411.66667</v>
      </c>
      <c r="B2167" s="13">
        <f>IFERROR(__xludf.DUMMYFUNCTION("""COMPUTED_VALUE"""),5116.17)</f>
        <v>5116.17</v>
      </c>
      <c r="C2167" s="13">
        <f t="shared" si="1"/>
        <v>5088.995</v>
      </c>
      <c r="D2167" s="13">
        <f t="shared" si="2"/>
        <v>5133.325</v>
      </c>
      <c r="E2167" s="13" t="str">
        <f t="shared" si="3"/>
        <v/>
      </c>
      <c r="F2167" s="3">
        <f t="shared" si="4"/>
        <v>0.003178456302</v>
      </c>
      <c r="G2167" s="4">
        <f t="shared" si="5"/>
        <v>2.460454178</v>
      </c>
      <c r="H2167" s="5">
        <f t="shared" si="6"/>
        <v>0</v>
      </c>
      <c r="I2167" s="5">
        <f t="shared" si="7"/>
        <v>1.699321155</v>
      </c>
    </row>
    <row r="2168">
      <c r="A2168" s="12">
        <f>IFERROR(__xludf.DUMMYFUNCTION("""COMPUTED_VALUE"""),45412.66666666667)</f>
        <v>45412.66667</v>
      </c>
      <c r="B2168" s="13">
        <f>IFERROR(__xludf.DUMMYFUNCTION("""COMPUTED_VALUE"""),5035.69)</f>
        <v>5035.69</v>
      </c>
      <c r="C2168" s="13">
        <f t="shared" si="1"/>
        <v>5043.55</v>
      </c>
      <c r="D2168" s="13">
        <f t="shared" si="2"/>
        <v>5076.39</v>
      </c>
      <c r="E2168" s="13" t="str">
        <f t="shared" si="3"/>
        <v/>
      </c>
      <c r="F2168" s="3">
        <f t="shared" si="4"/>
        <v>-0.01573051716</v>
      </c>
      <c r="G2168" s="4">
        <f t="shared" si="5"/>
        <v>2.421749962</v>
      </c>
      <c r="H2168" s="5">
        <f t="shared" si="6"/>
        <v>0</v>
      </c>
      <c r="I2168" s="5">
        <f t="shared" si="7"/>
        <v>1.699321155</v>
      </c>
    </row>
    <row r="2169">
      <c r="A2169" s="12">
        <f>IFERROR(__xludf.DUMMYFUNCTION("""COMPUTED_VALUE"""),45413.66666666667)</f>
        <v>45413.66667</v>
      </c>
      <c r="B2169" s="13">
        <f>IFERROR(__xludf.DUMMYFUNCTION("""COMPUTED_VALUE"""),5018.39)</f>
        <v>5018.39</v>
      </c>
      <c r="C2169" s="13">
        <f t="shared" si="1"/>
        <v>5020.3</v>
      </c>
      <c r="D2169" s="13">
        <f t="shared" si="2"/>
        <v>5083.905</v>
      </c>
      <c r="E2169" s="13" t="str">
        <f t="shared" si="3"/>
        <v/>
      </c>
      <c r="F2169" s="3">
        <f t="shared" si="4"/>
        <v>-0.003435477561</v>
      </c>
      <c r="G2169" s="4">
        <f t="shared" si="5"/>
        <v>2.413430094</v>
      </c>
      <c r="H2169" s="5">
        <f t="shared" si="6"/>
        <v>0</v>
      </c>
      <c r="I2169" s="5">
        <f t="shared" si="7"/>
        <v>1.699321155</v>
      </c>
    </row>
    <row r="2170">
      <c r="A2170" s="12">
        <f>IFERROR(__xludf.DUMMYFUNCTION("""COMPUTED_VALUE"""),45414.66666666667)</f>
        <v>45414.66667</v>
      </c>
      <c r="B2170" s="13">
        <f>IFERROR(__xludf.DUMMYFUNCTION("""COMPUTED_VALUE"""),5064.2)</f>
        <v>5064.2</v>
      </c>
      <c r="C2170" s="13">
        <f t="shared" si="1"/>
        <v>5037.66</v>
      </c>
      <c r="D2170" s="13">
        <f t="shared" si="2"/>
        <v>5121.355</v>
      </c>
      <c r="E2170" s="13" t="str">
        <f t="shared" si="3"/>
        <v/>
      </c>
      <c r="F2170" s="3">
        <f t="shared" si="4"/>
        <v>0.00912842565</v>
      </c>
      <c r="G2170" s="4">
        <f t="shared" si="5"/>
        <v>2.435460911</v>
      </c>
      <c r="H2170" s="5">
        <f t="shared" si="6"/>
        <v>0</v>
      </c>
      <c r="I2170" s="5">
        <f t="shared" si="7"/>
        <v>1.699321155</v>
      </c>
    </row>
    <row r="2171">
      <c r="A2171" s="12">
        <f>IFERROR(__xludf.DUMMYFUNCTION("""COMPUTED_VALUE"""),45415.66666666667)</f>
        <v>45415.66667</v>
      </c>
      <c r="B2171" s="13">
        <f>IFERROR(__xludf.DUMMYFUNCTION("""COMPUTED_VALUE"""),5127.79)</f>
        <v>5127.79</v>
      </c>
      <c r="C2171" s="13">
        <f t="shared" si="1"/>
        <v>5047.51</v>
      </c>
      <c r="D2171" s="13">
        <f t="shared" si="2"/>
        <v>5176.205</v>
      </c>
      <c r="E2171" s="13" t="str">
        <f t="shared" si="3"/>
        <v/>
      </c>
      <c r="F2171" s="3">
        <f t="shared" si="4"/>
        <v>0.01255677106</v>
      </c>
      <c r="G2171" s="4">
        <f t="shared" si="5"/>
        <v>2.466042436</v>
      </c>
      <c r="H2171" s="5">
        <f t="shared" si="6"/>
        <v>0</v>
      </c>
      <c r="I2171" s="5">
        <f t="shared" si="7"/>
        <v>1.699321155</v>
      </c>
    </row>
    <row r="2172">
      <c r="A2172" s="12">
        <f>IFERROR(__xludf.DUMMYFUNCTION("""COMPUTED_VALUE"""),45418.66666666667)</f>
        <v>45418.66667</v>
      </c>
      <c r="B2172" s="13">
        <f>IFERROR(__xludf.DUMMYFUNCTION("""COMPUTED_VALUE"""),5180.74)</f>
        <v>5180.74</v>
      </c>
      <c r="C2172" s="13">
        <f t="shared" si="1"/>
        <v>5095.67</v>
      </c>
      <c r="D2172" s="13">
        <f t="shared" si="2"/>
        <v>5211.135</v>
      </c>
      <c r="E2172" s="13" t="str">
        <f t="shared" si="3"/>
        <v/>
      </c>
      <c r="F2172" s="3">
        <f t="shared" si="4"/>
        <v>0.0103260859</v>
      </c>
      <c r="G2172" s="4">
        <f t="shared" si="5"/>
        <v>2.491507002</v>
      </c>
      <c r="H2172" s="5">
        <f t="shared" si="6"/>
        <v>0</v>
      </c>
      <c r="I2172" s="5">
        <f t="shared" si="7"/>
        <v>1.699321155</v>
      </c>
    </row>
    <row r="2173">
      <c r="A2173" s="12">
        <f>IFERROR(__xludf.DUMMYFUNCTION("""COMPUTED_VALUE"""),45419.66666666667)</f>
        <v>45419.66667</v>
      </c>
      <c r="B2173" s="13">
        <f>IFERROR(__xludf.DUMMYFUNCTION("""COMPUTED_VALUE"""),5187.7)</f>
        <v>5187.7</v>
      </c>
      <c r="C2173" s="13">
        <f t="shared" si="1"/>
        <v>5129.125</v>
      </c>
      <c r="D2173" s="13">
        <f t="shared" si="2"/>
        <v>5210.94</v>
      </c>
      <c r="E2173" s="13" t="str">
        <f t="shared" si="3"/>
        <v/>
      </c>
      <c r="F2173" s="3">
        <f t="shared" si="4"/>
        <v>0.001343437424</v>
      </c>
      <c r="G2173" s="4">
        <f t="shared" si="5"/>
        <v>2.494854186</v>
      </c>
      <c r="H2173" s="5">
        <f t="shared" si="6"/>
        <v>0</v>
      </c>
      <c r="I2173" s="5">
        <f t="shared" si="7"/>
        <v>1.699321155</v>
      </c>
    </row>
    <row r="2174">
      <c r="A2174" s="12">
        <f>IFERROR(__xludf.DUMMYFUNCTION("""COMPUTED_VALUE"""),45420.66666666667)</f>
        <v>45420.66667</v>
      </c>
      <c r="B2174" s="13">
        <f>IFERROR(__xludf.DUMMYFUNCTION("""COMPUTED_VALUE"""),5187.67)</f>
        <v>5187.67</v>
      </c>
      <c r="C2174" s="13">
        <f t="shared" si="1"/>
        <v>5129.65</v>
      </c>
      <c r="D2174" s="13">
        <f t="shared" si="2"/>
        <v>5202.93</v>
      </c>
      <c r="E2174" s="13" t="str">
        <f t="shared" si="3"/>
        <v/>
      </c>
      <c r="F2174" s="3">
        <f t="shared" si="4"/>
        <v>-0.000005782909575</v>
      </c>
      <c r="G2174" s="4">
        <f t="shared" si="5"/>
        <v>2.494839758</v>
      </c>
      <c r="H2174" s="5">
        <f t="shared" si="6"/>
        <v>0</v>
      </c>
      <c r="I2174" s="5">
        <f t="shared" si="7"/>
        <v>1.699321155</v>
      </c>
    </row>
    <row r="2175">
      <c r="A2175" s="12">
        <f>IFERROR(__xludf.DUMMYFUNCTION("""COMPUTED_VALUE"""),45421.66666666667)</f>
        <v>45421.66667</v>
      </c>
      <c r="B2175" s="13">
        <f>IFERROR(__xludf.DUMMYFUNCTION("""COMPUTED_VALUE"""),5214.08)</f>
        <v>5214.08</v>
      </c>
      <c r="C2175" s="13">
        <f t="shared" si="1"/>
        <v>5131.25</v>
      </c>
      <c r="D2175" s="13">
        <f t="shared" si="2"/>
        <v>5208.83</v>
      </c>
      <c r="E2175" s="13" t="str">
        <f t="shared" si="3"/>
        <v/>
      </c>
      <c r="F2175" s="3">
        <f t="shared" si="4"/>
        <v>0.005090917502</v>
      </c>
      <c r="G2175" s="4">
        <f t="shared" si="5"/>
        <v>2.507540782</v>
      </c>
      <c r="H2175" s="5">
        <f t="shared" si="6"/>
        <v>0</v>
      </c>
      <c r="I2175" s="5">
        <f t="shared" si="7"/>
        <v>1.699321155</v>
      </c>
    </row>
    <row r="2176">
      <c r="A2176" s="12">
        <f>IFERROR(__xludf.DUMMYFUNCTION("""COMPUTED_VALUE"""),45422.66666666667)</f>
        <v>45422.66667</v>
      </c>
      <c r="B2176" s="13">
        <f>IFERROR(__xludf.DUMMYFUNCTION("""COMPUTED_VALUE"""),5222.68)</f>
        <v>5222.68</v>
      </c>
      <c r="C2176" s="13">
        <f t="shared" si="1"/>
        <v>5161.32</v>
      </c>
      <c r="D2176" s="13">
        <f t="shared" si="2"/>
        <v>5235.585</v>
      </c>
      <c r="E2176" s="13" t="str">
        <f t="shared" si="3"/>
        <v/>
      </c>
      <c r="F2176" s="3">
        <f t="shared" si="4"/>
        <v>0.00164938014</v>
      </c>
      <c r="G2176" s="4">
        <f t="shared" si="5"/>
        <v>2.51167667</v>
      </c>
      <c r="H2176" s="5">
        <f t="shared" si="6"/>
        <v>0</v>
      </c>
      <c r="I2176" s="5">
        <f t="shared" si="7"/>
        <v>1.699321155</v>
      </c>
    </row>
    <row r="2177">
      <c r="A2177" s="12">
        <f>IFERROR(__xludf.DUMMYFUNCTION("""COMPUTED_VALUE"""),45425.66666666667)</f>
        <v>45425.66667</v>
      </c>
      <c r="B2177" s="13">
        <f>IFERROR(__xludf.DUMMYFUNCTION("""COMPUTED_VALUE"""),5221.42)</f>
        <v>5221.42</v>
      </c>
      <c r="C2177" s="13">
        <f t="shared" si="1"/>
        <v>5168.795</v>
      </c>
      <c r="D2177" s="13">
        <f t="shared" si="2"/>
        <v>5237.885</v>
      </c>
      <c r="E2177" s="13" t="str">
        <f t="shared" si="3"/>
        <v/>
      </c>
      <c r="F2177" s="3">
        <f t="shared" si="4"/>
        <v>-0.0002412554474</v>
      </c>
      <c r="G2177" s="4">
        <f t="shared" si="5"/>
        <v>2.511070714</v>
      </c>
      <c r="H2177" s="5">
        <f t="shared" si="6"/>
        <v>0</v>
      </c>
      <c r="I2177" s="5">
        <f t="shared" si="7"/>
        <v>1.699321155</v>
      </c>
    </row>
    <row r="2178">
      <c r="A2178" s="12">
        <f>IFERROR(__xludf.DUMMYFUNCTION("""COMPUTED_VALUE"""),45426.66666666667)</f>
        <v>45426.66667</v>
      </c>
      <c r="B2178" s="13">
        <f>IFERROR(__xludf.DUMMYFUNCTION("""COMPUTED_VALUE"""),5246.68)</f>
        <v>5246.68</v>
      </c>
      <c r="C2178" s="13">
        <f t="shared" si="1"/>
        <v>5141.185</v>
      </c>
      <c r="D2178" s="13">
        <f t="shared" si="2"/>
        <v>5245.225</v>
      </c>
      <c r="E2178" s="13" t="str">
        <f t="shared" si="3"/>
        <v/>
      </c>
      <c r="F2178" s="3">
        <f t="shared" si="4"/>
        <v>0.00483776444</v>
      </c>
      <c r="G2178" s="4">
        <f t="shared" si="5"/>
        <v>2.523218683</v>
      </c>
      <c r="H2178" s="5">
        <f t="shared" si="6"/>
        <v>0</v>
      </c>
      <c r="I2178" s="5">
        <f t="shared" si="7"/>
        <v>1.699321155</v>
      </c>
    </row>
    <row r="2179">
      <c r="A2179" s="12">
        <f>IFERROR(__xludf.DUMMYFUNCTION("""COMPUTED_VALUE"""),45427.66666666667)</f>
        <v>45427.66667</v>
      </c>
      <c r="B2179" s="13">
        <f>IFERROR(__xludf.DUMMYFUNCTION("""COMPUTED_VALUE"""),5308.15)</f>
        <v>5308.15</v>
      </c>
      <c r="C2179" s="13">
        <f t="shared" si="1"/>
        <v>5163.27</v>
      </c>
      <c r="D2179" s="13">
        <f t="shared" si="2"/>
        <v>5256.98</v>
      </c>
      <c r="E2179" s="13" t="str">
        <f t="shared" si="3"/>
        <v/>
      </c>
      <c r="F2179" s="3">
        <f t="shared" si="4"/>
        <v>0.01171598039</v>
      </c>
      <c r="G2179" s="4">
        <f t="shared" si="5"/>
        <v>2.552780663</v>
      </c>
      <c r="H2179" s="5">
        <f t="shared" si="6"/>
        <v>0</v>
      </c>
      <c r="I2179" s="5">
        <f t="shared" si="7"/>
        <v>1.699321155</v>
      </c>
    </row>
    <row r="2180">
      <c r="A2180" s="12">
        <f>IFERROR(__xludf.DUMMYFUNCTION("""COMPUTED_VALUE"""),45428.66666666667)</f>
        <v>45428.66667</v>
      </c>
      <c r="B2180" s="13">
        <f>IFERROR(__xludf.DUMMYFUNCTION("""COMPUTED_VALUE"""),5297.1)</f>
        <v>5297.1</v>
      </c>
      <c r="C2180" s="13">
        <f t="shared" si="1"/>
        <v>5180.65</v>
      </c>
      <c r="D2180" s="13">
        <f t="shared" si="2"/>
        <v>5254.295</v>
      </c>
      <c r="E2180" s="13" t="str">
        <f t="shared" si="3"/>
        <v/>
      </c>
      <c r="F2180" s="3">
        <f t="shared" si="4"/>
        <v>-0.002081704549</v>
      </c>
      <c r="G2180" s="4">
        <f t="shared" si="5"/>
        <v>2.547466528</v>
      </c>
      <c r="H2180" s="5">
        <f t="shared" si="6"/>
        <v>0</v>
      </c>
      <c r="I2180" s="5">
        <f t="shared" si="7"/>
        <v>1.699321155</v>
      </c>
    </row>
    <row r="2181">
      <c r="A2181" s="12">
        <f>IFERROR(__xludf.DUMMYFUNCTION("""COMPUTED_VALUE"""),45429.66666666667)</f>
        <v>45429.66667</v>
      </c>
      <c r="B2181" s="13">
        <f>IFERROR(__xludf.DUMMYFUNCTION("""COMPUTED_VALUE"""),5303.27)</f>
        <v>5303.27</v>
      </c>
      <c r="C2181" s="13">
        <f t="shared" si="1"/>
        <v>5215.53</v>
      </c>
      <c r="D2181" s="13">
        <f t="shared" si="2"/>
        <v>5225.24</v>
      </c>
      <c r="E2181" s="13" t="str">
        <f t="shared" si="3"/>
        <v/>
      </c>
      <c r="F2181" s="3">
        <f t="shared" si="4"/>
        <v>0.00116478828</v>
      </c>
      <c r="G2181" s="4">
        <f t="shared" si="5"/>
        <v>2.550433787</v>
      </c>
      <c r="H2181" s="5">
        <f t="shared" si="6"/>
        <v>0</v>
      </c>
      <c r="I2181" s="5">
        <f t="shared" si="7"/>
        <v>1.699321155</v>
      </c>
    </row>
    <row r="2182">
      <c r="A2182" s="12">
        <f>IFERROR(__xludf.DUMMYFUNCTION("""COMPUTED_VALUE"""),45432.66666666667)</f>
        <v>45432.66667</v>
      </c>
      <c r="B2182" s="13">
        <f>IFERROR(__xludf.DUMMYFUNCTION("""COMPUTED_VALUE"""),5308.13)</f>
        <v>5308.13</v>
      </c>
      <c r="C2182" s="13">
        <f t="shared" si="1"/>
        <v>5244.435</v>
      </c>
      <c r="D2182" s="13">
        <f t="shared" si="2"/>
        <v>5256.235</v>
      </c>
      <c r="E2182" s="13" t="str">
        <f t="shared" si="3"/>
        <v/>
      </c>
      <c r="F2182" s="3">
        <f t="shared" si="4"/>
        <v>0.0009164157209</v>
      </c>
      <c r="G2182" s="4">
        <f t="shared" si="5"/>
        <v>2.552771045</v>
      </c>
      <c r="H2182" s="5">
        <f t="shared" si="6"/>
        <v>0</v>
      </c>
      <c r="I2182" s="5">
        <f t="shared" si="7"/>
        <v>1.699321155</v>
      </c>
    </row>
    <row r="2183">
      <c r="A2183" s="12">
        <f>IFERROR(__xludf.DUMMYFUNCTION("""COMPUTED_VALUE"""),45433.66666666667)</f>
        <v>45433.66667</v>
      </c>
      <c r="B2183" s="13">
        <f>IFERROR(__xludf.DUMMYFUNCTION("""COMPUTED_VALUE"""),5321.41)</f>
        <v>5321.41</v>
      </c>
      <c r="C2183" s="13">
        <f t="shared" si="1"/>
        <v>5254.555</v>
      </c>
      <c r="D2183" s="13">
        <f t="shared" si="2"/>
        <v>5261.9</v>
      </c>
      <c r="E2183" s="13" t="str">
        <f t="shared" si="3"/>
        <v/>
      </c>
      <c r="F2183" s="3">
        <f t="shared" si="4"/>
        <v>0.002501822676</v>
      </c>
      <c r="G2183" s="4">
        <f t="shared" si="5"/>
        <v>2.559157625</v>
      </c>
      <c r="H2183" s="5">
        <f t="shared" si="6"/>
        <v>0</v>
      </c>
      <c r="I2183" s="5">
        <f t="shared" si="7"/>
        <v>1.699321155</v>
      </c>
    </row>
    <row r="2184">
      <c r="A2184" s="12">
        <f>IFERROR(__xludf.DUMMYFUNCTION("""COMPUTED_VALUE"""),45434.66666666667)</f>
        <v>45434.66667</v>
      </c>
      <c r="B2184" s="13">
        <f>IFERROR(__xludf.DUMMYFUNCTION("""COMPUTED_VALUE"""),5307.01)</f>
        <v>5307.01</v>
      </c>
      <c r="C2184" s="13">
        <f t="shared" si="1"/>
        <v>5247.34</v>
      </c>
      <c r="D2184" s="13">
        <f t="shared" si="2"/>
        <v>5258.46</v>
      </c>
      <c r="E2184" s="13" t="str">
        <f t="shared" si="3"/>
        <v/>
      </c>
      <c r="F2184" s="3">
        <f t="shared" si="4"/>
        <v>-0.002706049712</v>
      </c>
      <c r="G2184" s="4">
        <f t="shared" si="5"/>
        <v>2.552232418</v>
      </c>
      <c r="H2184" s="5">
        <f t="shared" si="6"/>
        <v>0</v>
      </c>
      <c r="I2184" s="5">
        <f t="shared" si="7"/>
        <v>1.699321155</v>
      </c>
    </row>
    <row r="2185">
      <c r="A2185" s="12">
        <f>IFERROR(__xludf.DUMMYFUNCTION("""COMPUTED_VALUE"""),45435.66666666667)</f>
        <v>45435.66667</v>
      </c>
      <c r="B2185" s="13">
        <f>IFERROR(__xludf.DUMMYFUNCTION("""COMPUTED_VALUE"""),5267.84)</f>
        <v>5267.84</v>
      </c>
      <c r="C2185" s="13">
        <f t="shared" si="1"/>
        <v>5240.96</v>
      </c>
      <c r="D2185" s="13">
        <f t="shared" si="2"/>
        <v>5214.24</v>
      </c>
      <c r="E2185" s="13" t="str">
        <f t="shared" si="3"/>
        <v>LONG</v>
      </c>
      <c r="F2185" s="3">
        <f t="shared" si="4"/>
        <v>-0.00738080388</v>
      </c>
      <c r="G2185" s="4">
        <f t="shared" si="5"/>
        <v>2.533394891</v>
      </c>
      <c r="H2185" s="3">
        <f t="shared" si="6"/>
        <v>-0.00738080388</v>
      </c>
      <c r="I2185" s="5">
        <f t="shared" si="7"/>
        <v>1.686778798</v>
      </c>
    </row>
    <row r="2186">
      <c r="A2186" s="12">
        <f>IFERROR(__xludf.DUMMYFUNCTION("""COMPUTED_VALUE"""),45436.66666666667)</f>
        <v>45436.66667</v>
      </c>
      <c r="B2186" s="13">
        <f>IFERROR(__xludf.DUMMYFUNCTION("""COMPUTED_VALUE"""),5304.72)</f>
        <v>5304.72</v>
      </c>
      <c r="C2186" s="13">
        <f t="shared" si="1"/>
        <v>5263.7</v>
      </c>
      <c r="D2186" s="13">
        <f t="shared" si="2"/>
        <v>5251.89</v>
      </c>
      <c r="E2186" s="13" t="str">
        <f t="shared" si="3"/>
        <v>LONG</v>
      </c>
      <c r="F2186" s="3">
        <f t="shared" si="4"/>
        <v>0.007000971935</v>
      </c>
      <c r="G2186" s="4">
        <f t="shared" si="5"/>
        <v>2.551131117</v>
      </c>
      <c r="H2186" s="3">
        <f t="shared" si="6"/>
        <v>0.007000971935</v>
      </c>
      <c r="I2186" s="5">
        <f t="shared" si="7"/>
        <v>1.698587889</v>
      </c>
    </row>
    <row r="2187">
      <c r="A2187" s="12">
        <f>IFERROR(__xludf.DUMMYFUNCTION("""COMPUTED_VALUE"""),45440.66666666667)</f>
        <v>45440.66667</v>
      </c>
      <c r="B2187" s="13">
        <f>IFERROR(__xludf.DUMMYFUNCTION("""COMPUTED_VALUE"""),5306.04)</f>
        <v>5306.04</v>
      </c>
      <c r="C2187" s="13">
        <f t="shared" si="1"/>
        <v>5263.73</v>
      </c>
      <c r="D2187" s="13">
        <f t="shared" si="2"/>
        <v>5214.725</v>
      </c>
      <c r="E2187" s="13" t="str">
        <f t="shared" si="3"/>
        <v>LONG</v>
      </c>
      <c r="F2187" s="3">
        <f t="shared" si="4"/>
        <v>0.0002488349998</v>
      </c>
      <c r="G2187" s="4">
        <f t="shared" si="5"/>
        <v>2.551765928</v>
      </c>
      <c r="H2187" s="3">
        <f t="shared" si="6"/>
        <v>0.0002488349998</v>
      </c>
      <c r="I2187" s="5">
        <f t="shared" si="7"/>
        <v>1.699010558</v>
      </c>
    </row>
    <row r="2188">
      <c r="A2188" s="12">
        <f>IFERROR(__xludf.DUMMYFUNCTION("""COMPUTED_VALUE"""),45441.66666666667)</f>
        <v>45441.66667</v>
      </c>
      <c r="B2188" s="13">
        <f>IFERROR(__xludf.DUMMYFUNCTION("""COMPUTED_VALUE"""),5266.95)</f>
        <v>5266.95</v>
      </c>
      <c r="C2188" s="13">
        <f t="shared" si="1"/>
        <v>5256.815</v>
      </c>
      <c r="D2188" s="13">
        <f t="shared" si="2"/>
        <v>5164.385</v>
      </c>
      <c r="E2188" s="13" t="str">
        <f t="shared" si="3"/>
        <v>LONG</v>
      </c>
      <c r="F2188" s="3">
        <f t="shared" si="4"/>
        <v>-0.007367076011</v>
      </c>
      <c r="G2188" s="4">
        <f t="shared" si="5"/>
        <v>2.532966874</v>
      </c>
      <c r="H2188" s="3">
        <f t="shared" si="6"/>
        <v>-0.007367076011</v>
      </c>
      <c r="I2188" s="5">
        <f t="shared" si="7"/>
        <v>1.686493818</v>
      </c>
    </row>
    <row r="2189">
      <c r="A2189" s="12">
        <f>IFERROR(__xludf.DUMMYFUNCTION("""COMPUTED_VALUE"""),45442.66666666667)</f>
        <v>45442.66667</v>
      </c>
      <c r="B2189" s="13">
        <f>IFERROR(__xludf.DUMMYFUNCTION("""COMPUTED_VALUE"""),5235.48)</f>
        <v>5235.48</v>
      </c>
      <c r="C2189" s="13">
        <f t="shared" si="1"/>
        <v>5271.815</v>
      </c>
      <c r="D2189" s="13">
        <f t="shared" si="2"/>
        <v>5143.445</v>
      </c>
      <c r="E2189" s="13" t="str">
        <f t="shared" si="3"/>
        <v>LONG</v>
      </c>
      <c r="F2189" s="3">
        <f t="shared" si="4"/>
        <v>-0.005974995016</v>
      </c>
      <c r="G2189" s="4">
        <f t="shared" si="5"/>
        <v>2.51783241</v>
      </c>
      <c r="H2189" s="3">
        <f t="shared" si="6"/>
        <v>-0.005974995016</v>
      </c>
      <c r="I2189" s="5">
        <f t="shared" si="7"/>
        <v>1.676417026</v>
      </c>
    </row>
    <row r="2190">
      <c r="A2190" s="12">
        <f>IFERROR(__xludf.DUMMYFUNCTION("""COMPUTED_VALUE"""),45443.66666666667)</f>
        <v>45443.66667</v>
      </c>
      <c r="B2190" s="13">
        <f>IFERROR(__xludf.DUMMYFUNCTION("""COMPUTED_VALUE"""),5277.51)</f>
        <v>5277.51</v>
      </c>
      <c r="C2190" s="13">
        <f t="shared" si="1"/>
        <v>5287.305</v>
      </c>
      <c r="D2190" s="13">
        <f t="shared" si="2"/>
        <v>5149.86</v>
      </c>
      <c r="E2190" s="13" t="str">
        <f t="shared" si="3"/>
        <v>LONG</v>
      </c>
      <c r="F2190" s="3">
        <f t="shared" si="4"/>
        <v>0.008027917211</v>
      </c>
      <c r="G2190" s="4">
        <f t="shared" si="5"/>
        <v>2.53804536</v>
      </c>
      <c r="H2190" s="3">
        <f t="shared" si="6"/>
        <v>0.008027917211</v>
      </c>
      <c r="I2190" s="5">
        <f t="shared" si="7"/>
        <v>1.689875163</v>
      </c>
    </row>
    <row r="2191">
      <c r="A2191" s="12">
        <f>IFERROR(__xludf.DUMMYFUNCTION("""COMPUTED_VALUE"""),45446.66666666667)</f>
        <v>45446.66667</v>
      </c>
      <c r="B2191" s="13">
        <f>IFERROR(__xludf.DUMMYFUNCTION("""COMPUTED_VALUE"""),5283.4)</f>
        <v>5283.4</v>
      </c>
      <c r="C2191" s="13">
        <f t="shared" si="1"/>
        <v>5293.335</v>
      </c>
      <c r="D2191" s="13">
        <f t="shared" si="2"/>
        <v>5147.26</v>
      </c>
      <c r="E2191" s="13" t="str">
        <f t="shared" si="3"/>
        <v>LONG</v>
      </c>
      <c r="F2191" s="3">
        <f t="shared" si="4"/>
        <v>0.001116056625</v>
      </c>
      <c r="G2191" s="4">
        <f t="shared" si="5"/>
        <v>2.540877962</v>
      </c>
      <c r="H2191" s="3">
        <f t="shared" si="6"/>
        <v>0.001116056625</v>
      </c>
      <c r="I2191" s="5">
        <f t="shared" si="7"/>
        <v>1.691761159</v>
      </c>
    </row>
    <row r="2192">
      <c r="A2192" s="12">
        <f>IFERROR(__xludf.DUMMYFUNCTION("""COMPUTED_VALUE"""),45447.66666666667)</f>
        <v>45447.66667</v>
      </c>
      <c r="B2192" s="13">
        <f>IFERROR(__xludf.DUMMYFUNCTION("""COMPUTED_VALUE"""),5291.34)</f>
        <v>5291.34</v>
      </c>
      <c r="C2192" s="13">
        <f t="shared" si="1"/>
        <v>5299.735</v>
      </c>
      <c r="D2192" s="13">
        <f t="shared" si="2"/>
        <v>5129.285</v>
      </c>
      <c r="E2192" s="13" t="str">
        <f t="shared" si="3"/>
        <v>LONG</v>
      </c>
      <c r="F2192" s="3">
        <f t="shared" si="4"/>
        <v>0.001502820154</v>
      </c>
      <c r="G2192" s="4">
        <f t="shared" si="5"/>
        <v>2.544696445</v>
      </c>
      <c r="H2192" s="3">
        <f t="shared" si="6"/>
        <v>0.001502820154</v>
      </c>
      <c r="I2192" s="5">
        <f t="shared" si="7"/>
        <v>1.694303572</v>
      </c>
    </row>
    <row r="2193">
      <c r="A2193" s="12">
        <f>IFERROR(__xludf.DUMMYFUNCTION("""COMPUTED_VALUE"""),45448.66666666667)</f>
        <v>45448.66667</v>
      </c>
      <c r="B2193" s="13">
        <f>IFERROR(__xludf.DUMMYFUNCTION("""COMPUTED_VALUE"""),5354.03)</f>
        <v>5354.03</v>
      </c>
      <c r="C2193" s="13">
        <f t="shared" si="1"/>
        <v>5337.72</v>
      </c>
      <c r="D2193" s="13">
        <f t="shared" si="2"/>
        <v>5182.315</v>
      </c>
      <c r="E2193" s="13" t="str">
        <f t="shared" si="3"/>
        <v>LONG</v>
      </c>
      <c r="F2193" s="3">
        <f t="shared" si="4"/>
        <v>0.01184766052</v>
      </c>
      <c r="G2193" s="4">
        <f t="shared" si="5"/>
        <v>2.574845145</v>
      </c>
      <c r="H2193" s="3">
        <f t="shared" si="6"/>
        <v>0.01184766052</v>
      </c>
      <c r="I2193" s="5">
        <f t="shared" si="7"/>
        <v>1.714377105</v>
      </c>
    </row>
    <row r="2194">
      <c r="A2194" s="12">
        <f>IFERROR(__xludf.DUMMYFUNCTION("""COMPUTED_VALUE"""),45449.66666666667)</f>
        <v>45449.66667</v>
      </c>
      <c r="B2194" s="13">
        <f>IFERROR(__xludf.DUMMYFUNCTION("""COMPUTED_VALUE"""),5352.96)</f>
        <v>5352.96</v>
      </c>
      <c r="C2194" s="13">
        <f t="shared" si="1"/>
        <v>5329.985</v>
      </c>
      <c r="D2194" s="13">
        <f t="shared" si="2"/>
        <v>5211.755</v>
      </c>
      <c r="E2194" s="13" t="str">
        <f t="shared" si="3"/>
        <v>LONG</v>
      </c>
      <c r="F2194" s="3">
        <f t="shared" si="4"/>
        <v>-0.0001998494592</v>
      </c>
      <c r="G2194" s="4">
        <f t="shared" si="5"/>
        <v>2.574330563</v>
      </c>
      <c r="H2194" s="3">
        <f t="shared" si="6"/>
        <v>-0.0001998494592</v>
      </c>
      <c r="I2194" s="5">
        <f t="shared" si="7"/>
        <v>1.714034488</v>
      </c>
    </row>
    <row r="2195">
      <c r="A2195" s="12">
        <f>IFERROR(__xludf.DUMMYFUNCTION("""COMPUTED_VALUE"""),45450.66666666667)</f>
        <v>45450.66667</v>
      </c>
      <c r="B2195" s="13">
        <f>IFERROR(__xludf.DUMMYFUNCTION("""COMPUTED_VALUE"""),5346.99)</f>
        <v>5346.99</v>
      </c>
      <c r="C2195" s="13">
        <f t="shared" si="1"/>
        <v>5307.415</v>
      </c>
      <c r="D2195" s="13">
        <f t="shared" si="2"/>
        <v>5209.31</v>
      </c>
      <c r="E2195" s="13" t="str">
        <f t="shared" si="3"/>
        <v>LONG</v>
      </c>
      <c r="F2195" s="3">
        <f t="shared" si="4"/>
        <v>-0.001115270803</v>
      </c>
      <c r="G2195" s="4">
        <f t="shared" si="5"/>
        <v>2.571459488</v>
      </c>
      <c r="H2195" s="3">
        <f t="shared" si="6"/>
        <v>-0.001115270803</v>
      </c>
      <c r="I2195" s="5">
        <f t="shared" si="7"/>
        <v>1.712122875</v>
      </c>
    </row>
    <row r="2196">
      <c r="A2196" s="12">
        <f>IFERROR(__xludf.DUMMYFUNCTION("""COMPUTED_VALUE"""),45453.66666666667)</f>
        <v>45453.66667</v>
      </c>
      <c r="B2196" s="13">
        <f>IFERROR(__xludf.DUMMYFUNCTION("""COMPUTED_VALUE"""),5360.79)</f>
        <v>5360.79</v>
      </c>
      <c r="C2196" s="13">
        <f t="shared" si="1"/>
        <v>5332.755</v>
      </c>
      <c r="D2196" s="13">
        <f t="shared" si="2"/>
        <v>5204.605</v>
      </c>
      <c r="E2196" s="13" t="str">
        <f t="shared" si="3"/>
        <v>LONG</v>
      </c>
      <c r="F2196" s="3">
        <f t="shared" si="4"/>
        <v>0.002580891305</v>
      </c>
      <c r="G2196" s="4">
        <f t="shared" si="5"/>
        <v>2.578096145</v>
      </c>
      <c r="H2196" s="3">
        <f t="shared" si="6"/>
        <v>0.002580891305</v>
      </c>
      <c r="I2196" s="5">
        <f t="shared" si="7"/>
        <v>1.716541678</v>
      </c>
    </row>
    <row r="2197">
      <c r="A2197" s="12">
        <f>IFERROR(__xludf.DUMMYFUNCTION("""COMPUTED_VALUE"""),45454.66666666667)</f>
        <v>45454.66667</v>
      </c>
      <c r="B2197" s="13">
        <f>IFERROR(__xludf.DUMMYFUNCTION("""COMPUTED_VALUE"""),5375.32)</f>
        <v>5375.32</v>
      </c>
      <c r="C2197" s="13">
        <f t="shared" si="1"/>
        <v>5340.68</v>
      </c>
      <c r="D2197" s="13">
        <f t="shared" si="2"/>
        <v>5237.64</v>
      </c>
      <c r="E2197" s="13" t="str">
        <f t="shared" si="3"/>
        <v>LONG</v>
      </c>
      <c r="F2197" s="3">
        <f t="shared" si="4"/>
        <v>0.002710421412</v>
      </c>
      <c r="G2197" s="4">
        <f t="shared" si="5"/>
        <v>2.585083872</v>
      </c>
      <c r="H2197" s="3">
        <f t="shared" si="6"/>
        <v>0.002710421412</v>
      </c>
      <c r="I2197" s="5">
        <f t="shared" si="7"/>
        <v>1.72119423</v>
      </c>
    </row>
    <row r="2198">
      <c r="A2198" s="12">
        <f>IFERROR(__xludf.DUMMYFUNCTION("""COMPUTED_VALUE"""),45455.66666666667)</f>
        <v>45455.66667</v>
      </c>
      <c r="B2198" s="13">
        <f>IFERROR(__xludf.DUMMYFUNCTION("""COMPUTED_VALUE"""),5421.03)</f>
        <v>5421.03</v>
      </c>
      <c r="C2198" s="13">
        <f t="shared" si="1"/>
        <v>5343.99</v>
      </c>
      <c r="D2198" s="13">
        <f t="shared" si="2"/>
        <v>5268.6</v>
      </c>
      <c r="E2198" s="13" t="str">
        <f t="shared" si="3"/>
        <v>LONG</v>
      </c>
      <c r="F2198" s="3">
        <f t="shared" si="4"/>
        <v>0.008503679781</v>
      </c>
      <c r="G2198" s="4">
        <f t="shared" si="5"/>
        <v>2.607066597</v>
      </c>
      <c r="H2198" s="3">
        <f t="shared" si="6"/>
        <v>0.008503679781</v>
      </c>
      <c r="I2198" s="5">
        <f t="shared" si="7"/>
        <v>1.735830714</v>
      </c>
    </row>
    <row r="2199">
      <c r="A2199" s="12">
        <f>IFERROR(__xludf.DUMMYFUNCTION("""COMPUTED_VALUE"""),45456.66666666667)</f>
        <v>45456.66667</v>
      </c>
      <c r="B2199" s="13">
        <f>IFERROR(__xludf.DUMMYFUNCTION("""COMPUTED_VALUE"""),5433.74)</f>
        <v>5433.74</v>
      </c>
      <c r="C2199" s="13">
        <f t="shared" si="1"/>
        <v>5334.61</v>
      </c>
      <c r="D2199" s="13">
        <f t="shared" si="2"/>
        <v>5234.715</v>
      </c>
      <c r="E2199" s="13" t="str">
        <f t="shared" si="3"/>
        <v>LONG</v>
      </c>
      <c r="F2199" s="3">
        <f t="shared" si="4"/>
        <v>0.002344572895</v>
      </c>
      <c r="G2199" s="4">
        <f t="shared" si="5"/>
        <v>2.613179055</v>
      </c>
      <c r="H2199" s="3">
        <f t="shared" si="6"/>
        <v>0.002344572895</v>
      </c>
      <c r="I2199" s="5">
        <f t="shared" si="7"/>
        <v>1.739900496</v>
      </c>
    </row>
    <row r="2200">
      <c r="A2200" s="12">
        <f>IFERROR(__xludf.DUMMYFUNCTION("""COMPUTED_VALUE"""),45457.66666666667)</f>
        <v>45457.66667</v>
      </c>
      <c r="B2200" s="13">
        <f>IFERROR(__xludf.DUMMYFUNCTION("""COMPUTED_VALUE"""),5431.6)</f>
        <v>5431.6</v>
      </c>
      <c r="C2200" s="13">
        <f t="shared" si="1"/>
        <v>5354.555</v>
      </c>
      <c r="D2200" s="13">
        <f t="shared" si="2"/>
        <v>5224.995</v>
      </c>
      <c r="E2200" s="13" t="str">
        <f t="shared" si="3"/>
        <v>LONG</v>
      </c>
      <c r="F2200" s="3">
        <f t="shared" si="4"/>
        <v>-0.0003938355534</v>
      </c>
      <c r="G2200" s="4">
        <f t="shared" si="5"/>
        <v>2.612149892</v>
      </c>
      <c r="H2200" s="3">
        <f t="shared" si="6"/>
        <v>-0.0003938355534</v>
      </c>
      <c r="I2200" s="5">
        <f t="shared" si="7"/>
        <v>1.739215261</v>
      </c>
    </row>
    <row r="2201">
      <c r="A2201" s="12">
        <f>IFERROR(__xludf.DUMMYFUNCTION("""COMPUTED_VALUE"""),45460.66666666667)</f>
        <v>45460.66667</v>
      </c>
      <c r="B2201" s="13">
        <f>IFERROR(__xludf.DUMMYFUNCTION("""COMPUTED_VALUE"""),5473.23)</f>
        <v>5473.23</v>
      </c>
      <c r="C2201" s="13">
        <f t="shared" si="1"/>
        <v>5378.315</v>
      </c>
      <c r="D2201" s="13">
        <f t="shared" si="2"/>
        <v>5268.715</v>
      </c>
      <c r="E2201" s="13" t="str">
        <f t="shared" si="3"/>
        <v>LONG</v>
      </c>
      <c r="F2201" s="3">
        <f t="shared" si="4"/>
        <v>0.007664408277</v>
      </c>
      <c r="G2201" s="4">
        <f t="shared" si="5"/>
        <v>2.632170476</v>
      </c>
      <c r="H2201" s="3">
        <f t="shared" si="6"/>
        <v>0.007664408277</v>
      </c>
      <c r="I2201" s="5">
        <f t="shared" si="7"/>
        <v>1.752545317</v>
      </c>
    </row>
    <row r="2202">
      <c r="A2202" s="12">
        <f>IFERROR(__xludf.DUMMYFUNCTION("""COMPUTED_VALUE"""),45461.66666666667)</f>
        <v>45461.66667</v>
      </c>
      <c r="B2202" s="13">
        <f>IFERROR(__xludf.DUMMYFUNCTION("""COMPUTED_VALUE"""),5487.03)</f>
        <v>5487.03</v>
      </c>
      <c r="C2202" s="13">
        <f t="shared" si="1"/>
        <v>5389.185</v>
      </c>
      <c r="D2202" s="13">
        <f t="shared" si="2"/>
        <v>5307.41</v>
      </c>
      <c r="E2202" s="13" t="str">
        <f t="shared" si="3"/>
        <v>LONG</v>
      </c>
      <c r="F2202" s="3">
        <f t="shared" si="4"/>
        <v>0.002521363071</v>
      </c>
      <c r="G2202" s="4">
        <f t="shared" si="5"/>
        <v>2.638807133</v>
      </c>
      <c r="H2202" s="3">
        <f t="shared" si="6"/>
        <v>0.002521363071</v>
      </c>
      <c r="I2202" s="5">
        <f t="shared" si="7"/>
        <v>1.75696412</v>
      </c>
    </row>
    <row r="2203">
      <c r="A2203" s="12">
        <f>IFERROR(__xludf.DUMMYFUNCTION("""COMPUTED_VALUE"""),45463.66666666667)</f>
        <v>45463.66667</v>
      </c>
      <c r="B2203" s="13">
        <f>IFERROR(__xludf.DUMMYFUNCTION("""COMPUTED_VALUE"""),5473.17)</f>
        <v>5473.17</v>
      </c>
      <c r="C2203" s="13">
        <f t="shared" si="1"/>
        <v>5413.6</v>
      </c>
      <c r="D2203" s="13">
        <f t="shared" si="2"/>
        <v>5326.955</v>
      </c>
      <c r="E2203" s="13" t="str">
        <f t="shared" si="3"/>
        <v>LONG</v>
      </c>
      <c r="F2203" s="3">
        <f t="shared" si="4"/>
        <v>-0.002525956665</v>
      </c>
      <c r="G2203" s="4">
        <f t="shared" si="5"/>
        <v>2.63214162</v>
      </c>
      <c r="H2203" s="3">
        <f t="shared" si="6"/>
        <v>-0.002525956665</v>
      </c>
      <c r="I2203" s="5">
        <f t="shared" si="7"/>
        <v>1.752526105</v>
      </c>
    </row>
    <row r="2204">
      <c r="A2204" s="12">
        <f>IFERROR(__xludf.DUMMYFUNCTION("""COMPUTED_VALUE"""),45464.66666666667)</f>
        <v>45464.66667</v>
      </c>
      <c r="B2204" s="13">
        <f>IFERROR(__xludf.DUMMYFUNCTION("""COMPUTED_VALUE"""),5464.62)</f>
        <v>5464.62</v>
      </c>
      <c r="C2204" s="13">
        <f t="shared" si="1"/>
        <v>5408.79</v>
      </c>
      <c r="D2204" s="13">
        <f t="shared" si="2"/>
        <v>5326.16</v>
      </c>
      <c r="E2204" s="13" t="str">
        <f t="shared" si="3"/>
        <v>LONG</v>
      </c>
      <c r="F2204" s="3">
        <f t="shared" si="4"/>
        <v>-0.001562165984</v>
      </c>
      <c r="G2204" s="4">
        <f t="shared" si="5"/>
        <v>2.628029778</v>
      </c>
      <c r="H2204" s="3">
        <f t="shared" si="6"/>
        <v>-0.001562165984</v>
      </c>
      <c r="I2204" s="5">
        <f t="shared" si="7"/>
        <v>1.749788368</v>
      </c>
    </row>
    <row r="2205">
      <c r="A2205" s="12">
        <f>IFERROR(__xludf.DUMMYFUNCTION("""COMPUTED_VALUE"""),45467.66666666667)</f>
        <v>45467.66667</v>
      </c>
      <c r="B2205" s="13">
        <f>IFERROR(__xludf.DUMMYFUNCTION("""COMPUTED_VALUE"""),5447.87)</f>
        <v>5447.87</v>
      </c>
      <c r="C2205" s="13">
        <f t="shared" si="1"/>
        <v>5397.43</v>
      </c>
      <c r="D2205" s="13">
        <f t="shared" si="2"/>
        <v>5317.77</v>
      </c>
      <c r="E2205" s="13" t="str">
        <f t="shared" si="3"/>
        <v>LONG</v>
      </c>
      <c r="F2205" s="3">
        <f t="shared" si="4"/>
        <v>-0.003065171961</v>
      </c>
      <c r="G2205" s="4">
        <f t="shared" si="5"/>
        <v>2.619974415</v>
      </c>
      <c r="H2205" s="3">
        <f t="shared" si="6"/>
        <v>-0.003065171961</v>
      </c>
      <c r="I2205" s="5">
        <f t="shared" si="7"/>
        <v>1.744424966</v>
      </c>
    </row>
    <row r="2206">
      <c r="A2206" s="12">
        <f>IFERROR(__xludf.DUMMYFUNCTION("""COMPUTED_VALUE"""),45468.66666666667)</f>
        <v>45468.66667</v>
      </c>
      <c r="B2206" s="13">
        <f>IFERROR(__xludf.DUMMYFUNCTION("""COMPUTED_VALUE"""),5469.3)</f>
        <v>5469.3</v>
      </c>
      <c r="C2206" s="13">
        <f t="shared" si="1"/>
        <v>5415.045</v>
      </c>
      <c r="D2206" s="13">
        <f t="shared" si="2"/>
        <v>5341.69</v>
      </c>
      <c r="E2206" s="13" t="str">
        <f t="shared" si="3"/>
        <v>LONG</v>
      </c>
      <c r="F2206" s="3">
        <f t="shared" si="4"/>
        <v>0.003933647462</v>
      </c>
      <c r="G2206" s="4">
        <f t="shared" si="5"/>
        <v>2.630280471</v>
      </c>
      <c r="H2206" s="3">
        <f t="shared" si="6"/>
        <v>0.003933647462</v>
      </c>
      <c r="I2206" s="5">
        <f t="shared" si="7"/>
        <v>1.751286919</v>
      </c>
    </row>
    <row r="2207">
      <c r="A2207" s="12">
        <f>IFERROR(__xludf.DUMMYFUNCTION("""COMPUTED_VALUE"""),45469.66666666667)</f>
        <v>45469.66667</v>
      </c>
      <c r="B2207" s="13">
        <f>IFERROR(__xludf.DUMMYFUNCTION("""COMPUTED_VALUE"""),5477.9)</f>
        <v>5477.9</v>
      </c>
      <c r="C2207" s="13">
        <f t="shared" si="1"/>
        <v>5426.61</v>
      </c>
      <c r="D2207" s="13">
        <f t="shared" si="2"/>
        <v>5350.29</v>
      </c>
      <c r="E2207" s="13" t="str">
        <f t="shared" si="3"/>
        <v>LONG</v>
      </c>
      <c r="F2207" s="3">
        <f t="shared" si="4"/>
        <v>0.001572413289</v>
      </c>
      <c r="G2207" s="4">
        <f t="shared" si="5"/>
        <v>2.634416359</v>
      </c>
      <c r="H2207" s="3">
        <f t="shared" si="6"/>
        <v>0.001572413289</v>
      </c>
      <c r="I2207" s="5">
        <f t="shared" si="7"/>
        <v>1.754040666</v>
      </c>
    </row>
    <row r="2208">
      <c r="A2208" s="12">
        <f>IFERROR(__xludf.DUMMYFUNCTION("""COMPUTED_VALUE"""),45470.66666666667)</f>
        <v>45470.66667</v>
      </c>
      <c r="B2208" s="13">
        <f>IFERROR(__xludf.DUMMYFUNCTION("""COMPUTED_VALUE"""),5482.87)</f>
        <v>5482.87</v>
      </c>
      <c r="C2208" s="13">
        <f t="shared" si="1"/>
        <v>5451.95</v>
      </c>
      <c r="D2208" s="13">
        <f t="shared" si="2"/>
        <v>5352.145</v>
      </c>
      <c r="E2208" s="13" t="str">
        <f t="shared" si="3"/>
        <v>LONG</v>
      </c>
      <c r="F2208" s="3">
        <f t="shared" si="4"/>
        <v>0.0009072819876</v>
      </c>
      <c r="G2208" s="4">
        <f t="shared" si="5"/>
        <v>2.636806517</v>
      </c>
      <c r="H2208" s="3">
        <f t="shared" si="6"/>
        <v>0.0009072819876</v>
      </c>
      <c r="I2208" s="5">
        <f t="shared" si="7"/>
        <v>1.755632075</v>
      </c>
    </row>
    <row r="2209">
      <c r="A2209" s="12">
        <f>IFERROR(__xludf.DUMMYFUNCTION("""COMPUTED_VALUE"""),45471.66666666667)</f>
        <v>45471.66667</v>
      </c>
      <c r="B2209" s="13">
        <f>IFERROR(__xludf.DUMMYFUNCTION("""COMPUTED_VALUE"""),5460.48)</f>
        <v>5460.48</v>
      </c>
      <c r="C2209" s="13">
        <f t="shared" si="1"/>
        <v>5447.11</v>
      </c>
      <c r="D2209" s="13">
        <f t="shared" si="2"/>
        <v>5353.58</v>
      </c>
      <c r="E2209" s="13" t="str">
        <f t="shared" si="3"/>
        <v>LONG</v>
      </c>
      <c r="F2209" s="3">
        <f t="shared" si="4"/>
        <v>-0.004083627735</v>
      </c>
      <c r="G2209" s="4">
        <f t="shared" si="5"/>
        <v>2.626038781</v>
      </c>
      <c r="H2209" s="3">
        <f t="shared" si="6"/>
        <v>-0.004083627735</v>
      </c>
      <c r="I2209" s="5">
        <f t="shared" si="7"/>
        <v>1.748462727</v>
      </c>
    </row>
    <row r="2210">
      <c r="A2210" s="12">
        <f>IFERROR(__xludf.DUMMYFUNCTION("""COMPUTED_VALUE"""),45474.66666666667)</f>
        <v>45474.66667</v>
      </c>
      <c r="B2210" s="13">
        <f>IFERROR(__xludf.DUMMYFUNCTION("""COMPUTED_VALUE"""),5475.09)</f>
        <v>5475.09</v>
      </c>
      <c r="C2210" s="13">
        <f t="shared" si="1"/>
        <v>5453.345</v>
      </c>
      <c r="D2210" s="13">
        <f t="shared" si="2"/>
        <v>5391.62</v>
      </c>
      <c r="E2210" s="13" t="str">
        <f t="shared" si="3"/>
        <v>LONG</v>
      </c>
      <c r="F2210" s="3">
        <f t="shared" si="4"/>
        <v>0.002675588959</v>
      </c>
      <c r="G2210" s="4">
        <f t="shared" si="5"/>
        <v>2.633064982</v>
      </c>
      <c r="H2210" s="3">
        <f t="shared" si="6"/>
        <v>0.002675588959</v>
      </c>
      <c r="I2210" s="5">
        <f t="shared" si="7"/>
        <v>1.753140895</v>
      </c>
    </row>
    <row r="2211">
      <c r="A2211" s="12">
        <f>IFERROR(__xludf.DUMMYFUNCTION("""COMPUTED_VALUE"""),45475.66666666667)</f>
        <v>45475.66667</v>
      </c>
      <c r="B2211" s="13">
        <f>IFERROR(__xludf.DUMMYFUNCTION("""COMPUTED_VALUE"""),5509.01)</f>
        <v>5509.01</v>
      </c>
      <c r="C2211" s="13">
        <f t="shared" si="1"/>
        <v>5491.12</v>
      </c>
      <c r="D2211" s="13">
        <f t="shared" si="2"/>
        <v>5403.055</v>
      </c>
      <c r="E2211" s="13" t="str">
        <f t="shared" si="3"/>
        <v>LONG</v>
      </c>
      <c r="F2211" s="3">
        <f t="shared" si="4"/>
        <v>0.006195331949</v>
      </c>
      <c r="G2211" s="4">
        <f t="shared" si="5"/>
        <v>2.649377693</v>
      </c>
      <c r="H2211" s="3">
        <f t="shared" si="6"/>
        <v>0.006195331949</v>
      </c>
      <c r="I2211" s="5">
        <f t="shared" si="7"/>
        <v>1.764002185</v>
      </c>
    </row>
    <row r="2212">
      <c r="A2212" s="12">
        <f>IFERROR(__xludf.DUMMYFUNCTION("""COMPUTED_VALUE"""),45476.54166666667)</f>
        <v>45476.54167</v>
      </c>
      <c r="B2212" s="13">
        <f>IFERROR(__xludf.DUMMYFUNCTION("""COMPUTED_VALUE"""),5537.02)</f>
        <v>5537.02</v>
      </c>
      <c r="C2212" s="13">
        <f t="shared" si="1"/>
        <v>5512.025</v>
      </c>
      <c r="D2212" s="13">
        <f t="shared" si="2"/>
        <v>5420.145</v>
      </c>
      <c r="E2212" s="13" t="str">
        <f t="shared" si="3"/>
        <v>LONG</v>
      </c>
      <c r="F2212" s="3">
        <f t="shared" si="4"/>
        <v>0.005084398104</v>
      </c>
      <c r="G2212" s="4">
        <f t="shared" si="5"/>
        <v>2.662848184</v>
      </c>
      <c r="H2212" s="3">
        <f t="shared" si="6"/>
        <v>0.005084398104</v>
      </c>
      <c r="I2212" s="5">
        <f t="shared" si="7"/>
        <v>1.772971074</v>
      </c>
    </row>
    <row r="2213">
      <c r="A2213" s="12">
        <f>IFERROR(__xludf.DUMMYFUNCTION("""COMPUTED_VALUE"""),45478.66666666667)</f>
        <v>45478.66667</v>
      </c>
      <c r="B2213" s="13">
        <f>IFERROR(__xludf.DUMMYFUNCTION("""COMPUTED_VALUE"""),5567.19)</f>
        <v>5567.19</v>
      </c>
      <c r="C2213" s="13">
        <f t="shared" si="1"/>
        <v>5520.18</v>
      </c>
      <c r="D2213" s="13">
        <f t="shared" si="2"/>
        <v>5437.66</v>
      </c>
      <c r="E2213" s="13" t="str">
        <f t="shared" si="3"/>
        <v>LONG</v>
      </c>
      <c r="F2213" s="3">
        <f t="shared" si="4"/>
        <v>0.005448779307</v>
      </c>
      <c r="G2213" s="4">
        <f t="shared" si="5"/>
        <v>2.677357456</v>
      </c>
      <c r="H2213" s="3">
        <f t="shared" si="6"/>
        <v>0.005448779307</v>
      </c>
      <c r="I2213" s="5">
        <f t="shared" si="7"/>
        <v>1.782631602</v>
      </c>
    </row>
    <row r="2214">
      <c r="A2214" s="12">
        <f>IFERROR(__xludf.DUMMYFUNCTION("""COMPUTED_VALUE"""),45481.66666666667)</f>
        <v>45481.66667</v>
      </c>
      <c r="B2214" s="13">
        <f>IFERROR(__xludf.DUMMYFUNCTION("""COMPUTED_VALUE"""),5572.85)</f>
        <v>5572.85</v>
      </c>
      <c r="C2214" s="13">
        <f t="shared" si="1"/>
        <v>5518.735</v>
      </c>
      <c r="D2214" s="13">
        <f t="shared" si="2"/>
        <v>5447.13</v>
      </c>
      <c r="E2214" s="13" t="str">
        <f t="shared" si="3"/>
        <v>LONG</v>
      </c>
      <c r="F2214" s="3">
        <f t="shared" si="4"/>
        <v>0.001016670888</v>
      </c>
      <c r="G2214" s="4">
        <f t="shared" si="5"/>
        <v>2.680079448</v>
      </c>
      <c r="H2214" s="3">
        <f t="shared" si="6"/>
        <v>0.001016670888</v>
      </c>
      <c r="I2214" s="5">
        <f t="shared" si="7"/>
        <v>1.784443952</v>
      </c>
    </row>
    <row r="2215">
      <c r="A2215" s="12">
        <f>IFERROR(__xludf.DUMMYFUNCTION("""COMPUTED_VALUE"""),45482.66666666667)</f>
        <v>45482.66667</v>
      </c>
      <c r="B2215" s="13">
        <f>IFERROR(__xludf.DUMMYFUNCTION("""COMPUTED_VALUE"""),5576.98)</f>
        <v>5576.98</v>
      </c>
      <c r="C2215" s="13">
        <f t="shared" si="1"/>
        <v>5512.425</v>
      </c>
      <c r="D2215" s="13">
        <f t="shared" si="2"/>
        <v>5441.995</v>
      </c>
      <c r="E2215" s="13" t="str">
        <f t="shared" si="3"/>
        <v>LONG</v>
      </c>
      <c r="F2215" s="3">
        <f t="shared" si="4"/>
        <v>0.0007410929776</v>
      </c>
      <c r="G2215" s="4">
        <f t="shared" si="5"/>
        <v>2.682065636</v>
      </c>
      <c r="H2215" s="3">
        <f t="shared" si="6"/>
        <v>0.0007410929776</v>
      </c>
      <c r="I2215" s="5">
        <f t="shared" si="7"/>
        <v>1.785766391</v>
      </c>
    </row>
    <row r="2216">
      <c r="A2216" s="12">
        <f>IFERROR(__xludf.DUMMYFUNCTION("""COMPUTED_VALUE"""),45483.66666666667)</f>
        <v>45483.66667</v>
      </c>
      <c r="B2216" s="13">
        <f>IFERROR(__xludf.DUMMYFUNCTION("""COMPUTED_VALUE"""),5633.91)</f>
        <v>5633.91</v>
      </c>
      <c r="C2216" s="13">
        <f t="shared" si="1"/>
        <v>5551.605</v>
      </c>
      <c r="D2216" s="13">
        <f t="shared" si="2"/>
        <v>5450.875</v>
      </c>
      <c r="E2216" s="13" t="str">
        <f t="shared" si="3"/>
        <v>LONG</v>
      </c>
      <c r="F2216" s="3">
        <f t="shared" si="4"/>
        <v>0.01020803374</v>
      </c>
      <c r="G2216" s="4">
        <f t="shared" si="5"/>
        <v>2.709444252</v>
      </c>
      <c r="H2216" s="3">
        <f t="shared" si="6"/>
        <v>0.01020803374</v>
      </c>
      <c r="I2216" s="5">
        <f t="shared" si="7"/>
        <v>1.803995554</v>
      </c>
    </row>
    <row r="2217">
      <c r="A2217" s="12">
        <f>IFERROR(__xludf.DUMMYFUNCTION("""COMPUTED_VALUE"""),45484.66666666667)</f>
        <v>45484.66667</v>
      </c>
      <c r="B2217" s="13">
        <f>IFERROR(__xludf.DUMMYFUNCTION("""COMPUTED_VALUE"""),5584.54)</f>
        <v>5584.54</v>
      </c>
      <c r="C2217" s="13">
        <f t="shared" si="1"/>
        <v>5531.22</v>
      </c>
      <c r="D2217" s="13">
        <f t="shared" si="2"/>
        <v>5444.63</v>
      </c>
      <c r="E2217" s="13" t="str">
        <f t="shared" si="3"/>
        <v>LONG</v>
      </c>
      <c r="F2217" s="3">
        <f t="shared" si="4"/>
        <v>-0.008763008284</v>
      </c>
      <c r="G2217" s="4">
        <f t="shared" si="5"/>
        <v>2.68570137</v>
      </c>
      <c r="H2217" s="3">
        <f t="shared" si="6"/>
        <v>-0.008763008284</v>
      </c>
      <c r="I2217" s="5">
        <f t="shared" si="7"/>
        <v>1.788187126</v>
      </c>
    </row>
    <row r="2218">
      <c r="A2218" s="12">
        <f>IFERROR(__xludf.DUMMYFUNCTION("""COMPUTED_VALUE"""),45485.66666666667)</f>
        <v>45485.66667</v>
      </c>
      <c r="B2218" s="13">
        <f>IFERROR(__xludf.DUMMYFUNCTION("""COMPUTED_VALUE"""),5615.35)</f>
        <v>5615.35</v>
      </c>
      <c r="C2218" s="13">
        <f t="shared" si="1"/>
        <v>5549.11</v>
      </c>
      <c r="D2218" s="13">
        <f t="shared" si="2"/>
        <v>5460.695</v>
      </c>
      <c r="E2218" s="13" t="str">
        <f t="shared" si="3"/>
        <v>LONG</v>
      </c>
      <c r="F2218" s="3">
        <f t="shared" si="4"/>
        <v>0.005517016621</v>
      </c>
      <c r="G2218" s="4">
        <f t="shared" si="5"/>
        <v>2.700518429</v>
      </c>
      <c r="H2218" s="3">
        <f t="shared" si="6"/>
        <v>0.005517016621</v>
      </c>
      <c r="I2218" s="5">
        <f t="shared" si="7"/>
        <v>1.798052584</v>
      </c>
    </row>
    <row r="2219">
      <c r="A2219" s="12">
        <f>IFERROR(__xludf.DUMMYFUNCTION("""COMPUTED_VALUE"""),45488.66666666667)</f>
        <v>45488.66667</v>
      </c>
      <c r="B2219" s="13">
        <f>IFERROR(__xludf.DUMMYFUNCTION("""COMPUTED_VALUE"""),5631.22)</f>
        <v>5631.22</v>
      </c>
      <c r="C2219" s="13">
        <f t="shared" si="1"/>
        <v>5545.85</v>
      </c>
      <c r="D2219" s="13">
        <f t="shared" si="2"/>
        <v>5449.085</v>
      </c>
      <c r="E2219" s="13" t="str">
        <f t="shared" si="3"/>
        <v>LONG</v>
      </c>
      <c r="F2219" s="3">
        <f t="shared" si="4"/>
        <v>0.002826181805</v>
      </c>
      <c r="G2219" s="4">
        <f t="shared" si="5"/>
        <v>2.708150585</v>
      </c>
      <c r="H2219" s="3">
        <f t="shared" si="6"/>
        <v>0.002826181805</v>
      </c>
      <c r="I2219" s="5">
        <f t="shared" si="7"/>
        <v>1.803134208</v>
      </c>
    </row>
    <row r="2220">
      <c r="A2220" s="12">
        <f>IFERROR(__xludf.DUMMYFUNCTION("""COMPUTED_VALUE"""),45489.66666666667)</f>
        <v>45489.66667</v>
      </c>
      <c r="B2220" s="13">
        <f>IFERROR(__xludf.DUMMYFUNCTION("""COMPUTED_VALUE"""),5667.2)</f>
        <v>5667.2</v>
      </c>
      <c r="C2220" s="13">
        <f t="shared" si="1"/>
        <v>5571.145</v>
      </c>
      <c r="D2220" s="13">
        <f t="shared" si="2"/>
        <v>5451.34</v>
      </c>
      <c r="E2220" s="13" t="str">
        <f t="shared" si="3"/>
        <v>LONG</v>
      </c>
      <c r="F2220" s="3">
        <f t="shared" si="4"/>
        <v>0.006389379211</v>
      </c>
      <c r="G2220" s="4">
        <f t="shared" si="5"/>
        <v>2.725453986</v>
      </c>
      <c r="H2220" s="3">
        <f t="shared" si="6"/>
        <v>0.006389379211</v>
      </c>
      <c r="I2220" s="5">
        <f t="shared" si="7"/>
        <v>1.814655116</v>
      </c>
    </row>
    <row r="2221">
      <c r="A2221" s="12">
        <f>IFERROR(__xludf.DUMMYFUNCTION("""COMPUTED_VALUE"""),45490.66666666667)</f>
        <v>45490.66667</v>
      </c>
      <c r="B2221" s="13">
        <f>IFERROR(__xludf.DUMMYFUNCTION("""COMPUTED_VALUE"""),5588.27)</f>
        <v>5588.27</v>
      </c>
      <c r="C2221" s="13">
        <f t="shared" si="1"/>
        <v>5548.64</v>
      </c>
      <c r="D2221" s="13">
        <f t="shared" si="2"/>
        <v>5432.89</v>
      </c>
      <c r="E2221" s="13" t="str">
        <f t="shared" si="3"/>
        <v>LONG</v>
      </c>
      <c r="F2221" s="3">
        <f t="shared" si="4"/>
        <v>-0.0139275127</v>
      </c>
      <c r="G2221" s="4">
        <f t="shared" si="5"/>
        <v>2.687495191</v>
      </c>
      <c r="H2221" s="3">
        <f t="shared" si="6"/>
        <v>-0.0139275127</v>
      </c>
      <c r="I2221" s="5">
        <f t="shared" si="7"/>
        <v>1.789381484</v>
      </c>
    </row>
    <row r="2222">
      <c r="A2222" s="12">
        <f>IFERROR(__xludf.DUMMYFUNCTION("""COMPUTED_VALUE"""),45491.66666666667)</f>
        <v>45491.66667</v>
      </c>
      <c r="B2222" s="13">
        <f>IFERROR(__xludf.DUMMYFUNCTION("""COMPUTED_VALUE"""),5544.59)</f>
        <v>5544.59</v>
      </c>
      <c r="C2222" s="13">
        <f t="shared" si="1"/>
        <v>5540.805</v>
      </c>
      <c r="D2222" s="13">
        <f t="shared" si="2"/>
        <v>5413.995</v>
      </c>
      <c r="E2222" s="13" t="str">
        <f t="shared" si="3"/>
        <v>LONG</v>
      </c>
      <c r="F2222" s="3">
        <f t="shared" si="4"/>
        <v>-0.007816372509</v>
      </c>
      <c r="G2222" s="4">
        <f t="shared" si="5"/>
        <v>2.666488727</v>
      </c>
      <c r="H2222" s="3">
        <f t="shared" si="6"/>
        <v>-0.007816372509</v>
      </c>
      <c r="I2222" s="5">
        <f t="shared" si="7"/>
        <v>1.775395012</v>
      </c>
    </row>
    <row r="2223">
      <c r="A2223" s="12">
        <f>IFERROR(__xludf.DUMMYFUNCTION("""COMPUTED_VALUE"""),45492.66666666667)</f>
        <v>45492.66667</v>
      </c>
      <c r="B2223" s="13">
        <f>IFERROR(__xludf.DUMMYFUNCTION("""COMPUTED_VALUE"""),5505.0)</f>
        <v>5505</v>
      </c>
      <c r="C2223" s="13">
        <f t="shared" si="1"/>
        <v>5536.095</v>
      </c>
      <c r="D2223" s="13">
        <f t="shared" si="2"/>
        <v>5398.17</v>
      </c>
      <c r="E2223" s="13" t="str">
        <f t="shared" si="3"/>
        <v>LONG</v>
      </c>
      <c r="F2223" s="3">
        <f t="shared" si="4"/>
        <v>-0.007140293511</v>
      </c>
      <c r="G2223" s="4">
        <f t="shared" si="5"/>
        <v>2.647449215</v>
      </c>
      <c r="H2223" s="3">
        <f t="shared" si="6"/>
        <v>-0.007140293511</v>
      </c>
      <c r="I2223" s="5">
        <f t="shared" si="7"/>
        <v>1.76271817</v>
      </c>
    </row>
    <row r="2224">
      <c r="A2224" s="12">
        <f>IFERROR(__xludf.DUMMYFUNCTION("""COMPUTED_VALUE"""),45495.66666666667)</f>
        <v>45495.66667</v>
      </c>
      <c r="B2224" s="13">
        <f>IFERROR(__xludf.DUMMYFUNCTION("""COMPUTED_VALUE"""),5564.41)</f>
        <v>5564.41</v>
      </c>
      <c r="C2224" s="13">
        <f t="shared" si="1"/>
        <v>5568.63</v>
      </c>
      <c r="D2224" s="13">
        <f t="shared" si="2"/>
        <v>5459.22</v>
      </c>
      <c r="E2224" s="13" t="str">
        <f t="shared" si="3"/>
        <v>LONG</v>
      </c>
      <c r="F2224" s="3">
        <f t="shared" si="4"/>
        <v>0.01079200727</v>
      </c>
      <c r="G2224" s="4">
        <f t="shared" si="5"/>
        <v>2.676020506</v>
      </c>
      <c r="H2224" s="3">
        <f t="shared" si="6"/>
        <v>0.01079200727</v>
      </c>
      <c r="I2224" s="5">
        <f t="shared" si="7"/>
        <v>1.781741437</v>
      </c>
    </row>
    <row r="2225">
      <c r="A2225" s="12">
        <f>IFERROR(__xludf.DUMMYFUNCTION("""COMPUTED_VALUE"""),45496.66666666667)</f>
        <v>45496.66667</v>
      </c>
      <c r="B2225" s="13">
        <f>IFERROR(__xludf.DUMMYFUNCTION("""COMPUTED_VALUE"""),5555.74)</f>
        <v>5555.74</v>
      </c>
      <c r="C2225" s="13">
        <f t="shared" si="1"/>
        <v>5566.36</v>
      </c>
      <c r="D2225" s="13">
        <f t="shared" si="2"/>
        <v>5454.35</v>
      </c>
      <c r="E2225" s="13" t="str">
        <f t="shared" si="3"/>
        <v>LONG</v>
      </c>
      <c r="F2225" s="3">
        <f t="shared" si="4"/>
        <v>-0.001558116674</v>
      </c>
      <c r="G2225" s="4">
        <f t="shared" si="5"/>
        <v>2.671850954</v>
      </c>
      <c r="H2225" s="3">
        <f t="shared" si="6"/>
        <v>-0.001558116674</v>
      </c>
      <c r="I2225" s="5">
        <f t="shared" si="7"/>
        <v>1.778965276</v>
      </c>
    </row>
    <row r="2226">
      <c r="A2226" s="12">
        <f>IFERROR(__xludf.DUMMYFUNCTION("""COMPUTED_VALUE"""),45497.66666666667)</f>
        <v>45497.66667</v>
      </c>
      <c r="B2226" s="13">
        <f>IFERROR(__xludf.DUMMYFUNCTION("""COMPUTED_VALUE"""),5427.13)</f>
        <v>5427.13</v>
      </c>
      <c r="C2226" s="13">
        <f t="shared" si="1"/>
        <v>5530.52</v>
      </c>
      <c r="D2226" s="13">
        <f t="shared" si="2"/>
        <v>5387.06</v>
      </c>
      <c r="E2226" s="13" t="str">
        <f t="shared" si="3"/>
        <v>LONG</v>
      </c>
      <c r="F2226" s="3">
        <f t="shared" si="4"/>
        <v>-0.02314903145</v>
      </c>
      <c r="G2226" s="4">
        <f t="shared" si="5"/>
        <v>2.610000192</v>
      </c>
      <c r="H2226" s="3">
        <f t="shared" si="6"/>
        <v>-0.02314903145</v>
      </c>
      <c r="I2226" s="5">
        <f t="shared" si="7"/>
        <v>1.737783953</v>
      </c>
    </row>
    <row r="2227">
      <c r="A2227" s="12">
        <f>IFERROR(__xludf.DUMMYFUNCTION("""COMPUTED_VALUE"""),45498.66666666667)</f>
        <v>45498.66667</v>
      </c>
      <c r="B2227" s="13">
        <f>IFERROR(__xludf.DUMMYFUNCTION("""COMPUTED_VALUE"""),5399.22)</f>
        <v>5399.22</v>
      </c>
      <c r="C2227" s="13">
        <f t="shared" si="1"/>
        <v>5491.88</v>
      </c>
      <c r="D2227" s="13">
        <f t="shared" si="2"/>
        <v>5380.005</v>
      </c>
      <c r="E2227" s="13" t="str">
        <f t="shared" si="3"/>
        <v>LONG</v>
      </c>
      <c r="F2227" s="3">
        <f t="shared" si="4"/>
        <v>-0.005142681307</v>
      </c>
      <c r="G2227" s="4">
        <f t="shared" si="5"/>
        <v>2.596577793</v>
      </c>
      <c r="H2227" s="3">
        <f t="shared" si="6"/>
        <v>-0.005142681307</v>
      </c>
      <c r="I2227" s="5">
        <f t="shared" si="7"/>
        <v>1.728847084</v>
      </c>
    </row>
    <row r="2228">
      <c r="A2228" s="12">
        <f>IFERROR(__xludf.DUMMYFUNCTION("""COMPUTED_VALUE"""),45499.66666666667)</f>
        <v>45499.66667</v>
      </c>
      <c r="B2228" s="13">
        <f>IFERROR(__xludf.DUMMYFUNCTION("""COMPUTED_VALUE"""),5459.1)</f>
        <v>5459.1</v>
      </c>
      <c r="C2228" s="13">
        <f t="shared" si="1"/>
        <v>5537.225</v>
      </c>
      <c r="D2228" s="13">
        <f t="shared" si="2"/>
        <v>5417.21</v>
      </c>
      <c r="E2228" s="13" t="str">
        <f t="shared" si="3"/>
        <v>LONG</v>
      </c>
      <c r="F2228" s="3">
        <f t="shared" si="4"/>
        <v>0.01109049085</v>
      </c>
      <c r="G2228" s="4">
        <f t="shared" si="5"/>
        <v>2.625375115</v>
      </c>
      <c r="H2228" s="3">
        <f t="shared" si="6"/>
        <v>0.01109049085</v>
      </c>
      <c r="I2228" s="5">
        <f t="shared" si="7"/>
        <v>1.748020847</v>
      </c>
    </row>
    <row r="2229">
      <c r="A2229" s="12">
        <f>IFERROR(__xludf.DUMMYFUNCTION("""COMPUTED_VALUE"""),45502.66666666667)</f>
        <v>45502.66667</v>
      </c>
      <c r="B2229" s="13">
        <f>IFERROR(__xludf.DUMMYFUNCTION("""COMPUTED_VALUE"""),5463.54)</f>
        <v>5463.54</v>
      </c>
      <c r="C2229" s="13">
        <f t="shared" si="1"/>
        <v>5547.38</v>
      </c>
      <c r="D2229" s="13">
        <f t="shared" si="2"/>
        <v>5442.285</v>
      </c>
      <c r="E2229" s="13" t="str">
        <f t="shared" si="3"/>
        <v>LONG</v>
      </c>
      <c r="F2229" s="3">
        <f t="shared" si="4"/>
        <v>0.0008133208771</v>
      </c>
      <c r="G2229" s="4">
        <f t="shared" si="5"/>
        <v>2.627510388</v>
      </c>
      <c r="H2229" s="3">
        <f t="shared" si="6"/>
        <v>0.0008133208771</v>
      </c>
      <c r="I2229" s="5">
        <f t="shared" si="7"/>
        <v>1.749442549</v>
      </c>
    </row>
    <row r="2230">
      <c r="A2230" s="12">
        <f>IFERROR(__xludf.DUMMYFUNCTION("""COMPUTED_VALUE"""),45503.66666666667)</f>
        <v>45503.66667</v>
      </c>
      <c r="B2230" s="13">
        <f>IFERROR(__xludf.DUMMYFUNCTION("""COMPUTED_VALUE"""),5436.44)</f>
        <v>5436.44</v>
      </c>
      <c r="C2230" s="13">
        <f t="shared" si="1"/>
        <v>5551.82</v>
      </c>
      <c r="D2230" s="13">
        <f t="shared" si="2"/>
        <v>5435.09</v>
      </c>
      <c r="E2230" s="13" t="str">
        <f t="shared" si="3"/>
        <v>LONG</v>
      </c>
      <c r="F2230" s="3">
        <f t="shared" si="4"/>
        <v>-0.004960154039</v>
      </c>
      <c r="G2230" s="4">
        <f t="shared" si="5"/>
        <v>2.614477532</v>
      </c>
      <c r="H2230" s="3">
        <f t="shared" si="6"/>
        <v>-0.004960154039</v>
      </c>
      <c r="I2230" s="5">
        <f t="shared" si="7"/>
        <v>1.740765044</v>
      </c>
    </row>
    <row r="2231">
      <c r="A2231" s="12">
        <f>IFERROR(__xludf.DUMMYFUNCTION("""COMPUTED_VALUE"""),45504.66666666667)</f>
        <v>45504.66667</v>
      </c>
      <c r="B2231" s="13">
        <f>IFERROR(__xludf.DUMMYFUNCTION("""COMPUTED_VALUE"""),5522.3)</f>
        <v>5522.3</v>
      </c>
      <c r="C2231" s="13">
        <f t="shared" si="1"/>
        <v>5555.285</v>
      </c>
      <c r="D2231" s="13">
        <f t="shared" si="2"/>
        <v>5476.95</v>
      </c>
      <c r="E2231" s="13" t="str">
        <f t="shared" si="3"/>
        <v>LONG</v>
      </c>
      <c r="F2231" s="3">
        <f t="shared" si="4"/>
        <v>0.01579342364</v>
      </c>
      <c r="G2231" s="4">
        <f t="shared" si="5"/>
        <v>2.655769083</v>
      </c>
      <c r="H2231" s="3">
        <f t="shared" si="6"/>
        <v>0.01579342364</v>
      </c>
      <c r="I2231" s="5">
        <f t="shared" si="7"/>
        <v>1.768257684</v>
      </c>
    </row>
    <row r="2232">
      <c r="A2232" s="12">
        <f>IFERROR(__xludf.DUMMYFUNCTION("""COMPUTED_VALUE"""),45505.66666666667)</f>
        <v>45505.66667</v>
      </c>
      <c r="B2232" s="13">
        <f>IFERROR(__xludf.DUMMYFUNCTION("""COMPUTED_VALUE"""),5446.68)</f>
        <v>5446.68</v>
      </c>
      <c r="C2232" s="13">
        <f t="shared" si="1"/>
        <v>5495.635</v>
      </c>
      <c r="D2232" s="13">
        <f t="shared" si="2"/>
        <v>5459.955</v>
      </c>
      <c r="E2232" s="13" t="str">
        <f t="shared" si="3"/>
        <v>LONG</v>
      </c>
      <c r="F2232" s="3">
        <f t="shared" si="4"/>
        <v>-0.01369356971</v>
      </c>
      <c r="G2232" s="4">
        <f t="shared" si="5"/>
        <v>2.619402124</v>
      </c>
      <c r="H2232" s="3">
        <f t="shared" si="6"/>
        <v>-0.01369356971</v>
      </c>
      <c r="I2232" s="5">
        <f t="shared" si="7"/>
        <v>1.744043924</v>
      </c>
    </row>
    <row r="2233">
      <c r="A2233" s="12">
        <f>IFERROR(__xludf.DUMMYFUNCTION("""COMPUTED_VALUE"""),45506.66666666667)</f>
        <v>45506.66667</v>
      </c>
      <c r="B2233" s="13">
        <f>IFERROR(__xludf.DUMMYFUNCTION("""COMPUTED_VALUE"""),5346.56)</f>
        <v>5346.56</v>
      </c>
      <c r="C2233" s="13">
        <f t="shared" si="1"/>
        <v>5425.78</v>
      </c>
      <c r="D2233" s="13">
        <f t="shared" si="2"/>
        <v>5416.795</v>
      </c>
      <c r="E2233" s="13" t="str">
        <f t="shared" si="3"/>
        <v>LONG</v>
      </c>
      <c r="F2233" s="3">
        <f t="shared" si="4"/>
        <v>-0.01838183995</v>
      </c>
      <c r="G2233" s="4">
        <f t="shared" si="5"/>
        <v>2.571252693</v>
      </c>
      <c r="H2233" s="3">
        <f t="shared" si="6"/>
        <v>-0.01838183995</v>
      </c>
      <c r="I2233" s="5">
        <f t="shared" si="7"/>
        <v>1.711985188</v>
      </c>
    </row>
    <row r="2234">
      <c r="A2234" s="12">
        <f>IFERROR(__xludf.DUMMYFUNCTION("""COMPUTED_VALUE"""),45509.66666666667)</f>
        <v>45509.66667</v>
      </c>
      <c r="B2234" s="13">
        <f>IFERROR(__xludf.DUMMYFUNCTION("""COMPUTED_VALUE"""),5186.33)</f>
        <v>5186.33</v>
      </c>
      <c r="C2234" s="13">
        <f t="shared" si="1"/>
        <v>5375.37</v>
      </c>
      <c r="D2234" s="13">
        <f t="shared" si="2"/>
        <v>5329.75</v>
      </c>
      <c r="E2234" s="13" t="str">
        <f t="shared" si="3"/>
        <v>LONG</v>
      </c>
      <c r="F2234" s="3">
        <f t="shared" si="4"/>
        <v>-0.02996880237</v>
      </c>
      <c r="G2234" s="4">
        <f t="shared" si="5"/>
        <v>2.494195329</v>
      </c>
      <c r="H2234" s="3">
        <f t="shared" si="6"/>
        <v>-0.02996880237</v>
      </c>
      <c r="I2234" s="5">
        <f t="shared" si="7"/>
        <v>1.660679042</v>
      </c>
    </row>
    <row r="2235">
      <c r="A2235" s="12">
        <f>IFERROR(__xludf.DUMMYFUNCTION("""COMPUTED_VALUE"""),45510.66666666667)</f>
        <v>45510.66667</v>
      </c>
      <c r="B2235" s="13">
        <f>IFERROR(__xludf.DUMMYFUNCTION("""COMPUTED_VALUE"""),5240.03)</f>
        <v>5240.03</v>
      </c>
      <c r="C2235" s="13">
        <f t="shared" si="1"/>
        <v>5397.885</v>
      </c>
      <c r="D2235" s="13">
        <f t="shared" si="2"/>
        <v>5352.325</v>
      </c>
      <c r="E2235" s="13" t="str">
        <f t="shared" si="3"/>
        <v>LONG</v>
      </c>
      <c r="F2235" s="3">
        <f t="shared" si="4"/>
        <v>0.01035414252</v>
      </c>
      <c r="G2235" s="4">
        <f t="shared" si="5"/>
        <v>2.520020583</v>
      </c>
      <c r="H2235" s="3">
        <f t="shared" si="6"/>
        <v>0.01035414252</v>
      </c>
      <c r="I2235" s="5">
        <f t="shared" si="7"/>
        <v>1.67787395</v>
      </c>
    </row>
    <row r="2236">
      <c r="A2236" s="12">
        <f>IFERROR(__xludf.DUMMYFUNCTION("""COMPUTED_VALUE"""),45511.66666666667)</f>
        <v>45511.66667</v>
      </c>
      <c r="B2236" s="13">
        <f>IFERROR(__xludf.DUMMYFUNCTION("""COMPUTED_VALUE"""),5199.5)</f>
        <v>5199.5</v>
      </c>
      <c r="C2236" s="13">
        <f t="shared" si="1"/>
        <v>5313.315</v>
      </c>
      <c r="D2236" s="13">
        <f t="shared" si="2"/>
        <v>5323.685</v>
      </c>
      <c r="E2236" s="13" t="str">
        <f t="shared" si="3"/>
        <v/>
      </c>
      <c r="F2236" s="3">
        <f t="shared" si="4"/>
        <v>-0.007734688542</v>
      </c>
      <c r="G2236" s="4">
        <f t="shared" si="5"/>
        <v>2.500529009</v>
      </c>
      <c r="H2236" s="5">
        <f t="shared" si="6"/>
        <v>0</v>
      </c>
      <c r="I2236" s="5">
        <f t="shared" si="7"/>
        <v>1.67787395</v>
      </c>
    </row>
    <row r="2237">
      <c r="A2237" s="12">
        <f>IFERROR(__xludf.DUMMYFUNCTION("""COMPUTED_VALUE"""),45512.66666666667)</f>
        <v>45512.66667</v>
      </c>
      <c r="B2237" s="13">
        <f>IFERROR(__xludf.DUMMYFUNCTION("""COMPUTED_VALUE"""),5319.31)</f>
        <v>5319.31</v>
      </c>
      <c r="C2237" s="13">
        <f t="shared" si="1"/>
        <v>5359.265</v>
      </c>
      <c r="D2237" s="13">
        <f t="shared" si="2"/>
        <v>5394.305</v>
      </c>
      <c r="E2237" s="13" t="str">
        <f t="shared" si="3"/>
        <v/>
      </c>
      <c r="F2237" s="3">
        <f t="shared" si="4"/>
        <v>0.02304260025</v>
      </c>
      <c r="G2237" s="4">
        <f t="shared" si="5"/>
        <v>2.558147699</v>
      </c>
      <c r="H2237" s="5">
        <f t="shared" si="6"/>
        <v>0</v>
      </c>
      <c r="I2237" s="5">
        <f t="shared" si="7"/>
        <v>1.67787395</v>
      </c>
    </row>
    <row r="2238">
      <c r="A2238" s="12">
        <f>IFERROR(__xludf.DUMMYFUNCTION("""COMPUTED_VALUE"""),45513.66666666667)</f>
        <v>45513.66667</v>
      </c>
      <c r="B2238" s="13">
        <f>IFERROR(__xludf.DUMMYFUNCTION("""COMPUTED_VALUE"""),5344.16)</f>
        <v>5344.16</v>
      </c>
      <c r="C2238" s="13">
        <f t="shared" si="1"/>
        <v>5401.63</v>
      </c>
      <c r="D2238" s="13">
        <f t="shared" si="2"/>
        <v>5411.03</v>
      </c>
      <c r="E2238" s="13" t="str">
        <f t="shared" si="3"/>
        <v/>
      </c>
      <c r="F2238" s="3">
        <f t="shared" si="4"/>
        <v>0.004671658542</v>
      </c>
      <c r="G2238" s="4">
        <f t="shared" si="5"/>
        <v>2.570098492</v>
      </c>
      <c r="H2238" s="5">
        <f t="shared" si="6"/>
        <v>0</v>
      </c>
      <c r="I2238" s="5">
        <f t="shared" si="7"/>
        <v>1.67787395</v>
      </c>
    </row>
    <row r="2239">
      <c r="A2239" s="12">
        <f>IFERROR(__xludf.DUMMYFUNCTION("""COMPUTED_VALUE"""),45516.66666666667)</f>
        <v>45516.66667</v>
      </c>
      <c r="B2239" s="13">
        <f>IFERROR(__xludf.DUMMYFUNCTION("""COMPUTED_VALUE"""),5344.39)</f>
        <v>5344.39</v>
      </c>
      <c r="C2239" s="13">
        <f t="shared" si="1"/>
        <v>5403.965</v>
      </c>
      <c r="D2239" s="13">
        <f t="shared" si="2"/>
        <v>5413.63</v>
      </c>
      <c r="E2239" s="13" t="str">
        <f t="shared" si="3"/>
        <v/>
      </c>
      <c r="F2239" s="3">
        <f t="shared" si="4"/>
        <v>0.0000430376336</v>
      </c>
      <c r="G2239" s="4">
        <f t="shared" si="5"/>
        <v>2.570209103</v>
      </c>
      <c r="H2239" s="5">
        <f t="shared" si="6"/>
        <v>0</v>
      </c>
      <c r="I2239" s="5">
        <f t="shared" si="7"/>
        <v>1.67787395</v>
      </c>
    </row>
    <row r="2240">
      <c r="A2240" s="12">
        <f>IFERROR(__xludf.DUMMYFUNCTION("""COMPUTED_VALUE"""),45517.66666666667)</f>
        <v>45517.66667</v>
      </c>
      <c r="B2240" s="13">
        <f>IFERROR(__xludf.DUMMYFUNCTION("""COMPUTED_VALUE"""),5434.43)</f>
        <v>5434.43</v>
      </c>
      <c r="C2240" s="13">
        <f t="shared" si="1"/>
        <v>5435.435</v>
      </c>
      <c r="D2240" s="13">
        <f t="shared" si="2"/>
        <v>5447.455</v>
      </c>
      <c r="E2240" s="13" t="str">
        <f t="shared" si="3"/>
        <v/>
      </c>
      <c r="F2240" s="3">
        <f t="shared" si="4"/>
        <v>0.01684757288</v>
      </c>
      <c r="G2240" s="4">
        <f t="shared" si="5"/>
        <v>2.613510888</v>
      </c>
      <c r="H2240" s="5">
        <f t="shared" si="6"/>
        <v>0</v>
      </c>
      <c r="I2240" s="5">
        <f t="shared" si="7"/>
        <v>1.67787395</v>
      </c>
    </row>
    <row r="2241">
      <c r="A2241" s="12">
        <f>IFERROR(__xludf.DUMMYFUNCTION("""COMPUTED_VALUE"""),45518.66666666667)</f>
        <v>45518.66667</v>
      </c>
      <c r="B2241" s="13">
        <f>IFERROR(__xludf.DUMMYFUNCTION("""COMPUTED_VALUE"""),5455.21)</f>
        <v>5455.21</v>
      </c>
      <c r="C2241" s="13">
        <f t="shared" si="1"/>
        <v>5488.755</v>
      </c>
      <c r="D2241" s="13">
        <f t="shared" si="2"/>
        <v>5465.15</v>
      </c>
      <c r="E2241" s="13" t="str">
        <f t="shared" si="3"/>
        <v>LONG</v>
      </c>
      <c r="F2241" s="3">
        <f t="shared" si="4"/>
        <v>0.003823768086</v>
      </c>
      <c r="G2241" s="4">
        <f t="shared" si="5"/>
        <v>2.623504347</v>
      </c>
      <c r="H2241" s="3">
        <f t="shared" si="6"/>
        <v>0.003823768086</v>
      </c>
      <c r="I2241" s="5">
        <f t="shared" si="7"/>
        <v>1.684289751</v>
      </c>
    </row>
    <row r="2242">
      <c r="A2242" s="12">
        <f>IFERROR(__xludf.DUMMYFUNCTION("""COMPUTED_VALUE"""),45519.66666666667)</f>
        <v>45519.66667</v>
      </c>
      <c r="B2242" s="13">
        <f>IFERROR(__xludf.DUMMYFUNCTION("""COMPUTED_VALUE"""),5543.22)</f>
        <v>5543.22</v>
      </c>
      <c r="C2242" s="13">
        <f t="shared" si="1"/>
        <v>5494.95</v>
      </c>
      <c r="D2242" s="13">
        <f t="shared" si="2"/>
        <v>5526.115</v>
      </c>
      <c r="E2242" s="13" t="str">
        <f t="shared" si="3"/>
        <v/>
      </c>
      <c r="F2242" s="3">
        <f t="shared" si="4"/>
        <v>0.0161332011</v>
      </c>
      <c r="G2242" s="4">
        <f t="shared" si="5"/>
        <v>2.665829871</v>
      </c>
      <c r="H2242" s="5">
        <f t="shared" si="6"/>
        <v>0</v>
      </c>
      <c r="I2242" s="5">
        <f t="shared" si="7"/>
        <v>1.684289751</v>
      </c>
    </row>
    <row r="2243">
      <c r="A2243" s="12">
        <f>IFERROR(__xludf.DUMMYFUNCTION("""COMPUTED_VALUE"""),45520.66666666667)</f>
        <v>45520.66667</v>
      </c>
      <c r="B2243" s="13">
        <f>IFERROR(__xludf.DUMMYFUNCTION("""COMPUTED_VALUE"""),5554.25)</f>
        <v>5554.25</v>
      </c>
      <c r="C2243" s="13">
        <f t="shared" si="1"/>
        <v>5450.405</v>
      </c>
      <c r="D2243" s="13">
        <f t="shared" si="2"/>
        <v>5545.635</v>
      </c>
      <c r="E2243" s="13" t="str">
        <f t="shared" si="3"/>
        <v/>
      </c>
      <c r="F2243" s="3">
        <f t="shared" si="4"/>
        <v>0.001989818192</v>
      </c>
      <c r="G2243" s="4">
        <f t="shared" si="5"/>
        <v>2.671134388</v>
      </c>
      <c r="H2243" s="5">
        <f t="shared" si="6"/>
        <v>0</v>
      </c>
      <c r="I2243" s="5">
        <f t="shared" si="7"/>
        <v>1.684289751</v>
      </c>
    </row>
    <row r="2244">
      <c r="A2244" s="12">
        <f>IFERROR(__xludf.DUMMYFUNCTION("""COMPUTED_VALUE"""),45523.66666666667)</f>
        <v>45523.66667</v>
      </c>
      <c r="B2244" s="13">
        <f>IFERROR(__xludf.DUMMYFUNCTION("""COMPUTED_VALUE"""),5608.25)</f>
        <v>5608.25</v>
      </c>
      <c r="C2244" s="13">
        <f t="shared" si="1"/>
        <v>5397.29</v>
      </c>
      <c r="D2244" s="13">
        <f t="shared" si="2"/>
        <v>5587.72</v>
      </c>
      <c r="E2244" s="13" t="str">
        <f t="shared" si="3"/>
        <v/>
      </c>
      <c r="F2244" s="3">
        <f t="shared" si="4"/>
        <v>0.009722284737</v>
      </c>
      <c r="G2244" s="4">
        <f t="shared" si="5"/>
        <v>2.697103917</v>
      </c>
      <c r="H2244" s="5">
        <f t="shared" si="6"/>
        <v>0</v>
      </c>
      <c r="I2244" s="5">
        <f t="shared" si="7"/>
        <v>1.684289751</v>
      </c>
    </row>
    <row r="2245">
      <c r="A2245" s="12">
        <f>IFERROR(__xludf.DUMMYFUNCTION("""COMPUTED_VALUE"""),45524.66666666667)</f>
        <v>45524.66667</v>
      </c>
      <c r="B2245" s="13">
        <f>IFERROR(__xludf.DUMMYFUNCTION("""COMPUTED_VALUE"""),5597.12)</f>
        <v>5597.12</v>
      </c>
      <c r="C2245" s="13">
        <f t="shared" si="1"/>
        <v>5418.575</v>
      </c>
      <c r="D2245" s="13">
        <f t="shared" si="2"/>
        <v>5584.985</v>
      </c>
      <c r="E2245" s="13" t="str">
        <f t="shared" si="3"/>
        <v/>
      </c>
      <c r="F2245" s="3">
        <f t="shared" si="4"/>
        <v>-0.001984576294</v>
      </c>
      <c r="G2245" s="4">
        <f t="shared" si="5"/>
        <v>2.691751308</v>
      </c>
      <c r="H2245" s="5">
        <f t="shared" si="6"/>
        <v>0</v>
      </c>
      <c r="I2245" s="5">
        <f t="shared" si="7"/>
        <v>1.684289751</v>
      </c>
    </row>
    <row r="2246">
      <c r="A2246" s="12">
        <f>IFERROR(__xludf.DUMMYFUNCTION("""COMPUTED_VALUE"""),45525.66666666667)</f>
        <v>45525.66667</v>
      </c>
      <c r="B2246" s="13">
        <f>IFERROR(__xludf.DUMMYFUNCTION("""COMPUTED_VALUE"""),5620.85)</f>
        <v>5620.85</v>
      </c>
      <c r="C2246" s="13">
        <f t="shared" si="1"/>
        <v>5410.175</v>
      </c>
      <c r="D2246" s="13">
        <f t="shared" si="2"/>
        <v>5598.915</v>
      </c>
      <c r="E2246" s="13" t="str">
        <f t="shared" si="3"/>
        <v/>
      </c>
      <c r="F2246" s="3">
        <f t="shared" si="4"/>
        <v>0.004239680407</v>
      </c>
      <c r="G2246" s="4">
        <f t="shared" si="5"/>
        <v>2.703163473</v>
      </c>
      <c r="H2246" s="5">
        <f t="shared" si="6"/>
        <v>0</v>
      </c>
      <c r="I2246" s="5">
        <f t="shared" si="7"/>
        <v>1.684289751</v>
      </c>
    </row>
    <row r="2247">
      <c r="A2247" s="12">
        <f>IFERROR(__xludf.DUMMYFUNCTION("""COMPUTED_VALUE"""),45526.66666666667)</f>
        <v>45526.66667</v>
      </c>
      <c r="B2247" s="13">
        <f>IFERROR(__xludf.DUMMYFUNCTION("""COMPUTED_VALUE"""),5570.64)</f>
        <v>5570.64</v>
      </c>
      <c r="C2247" s="13">
        <f t="shared" si="1"/>
        <v>5444.975</v>
      </c>
      <c r="D2247" s="13">
        <f t="shared" si="2"/>
        <v>5602.275</v>
      </c>
      <c r="E2247" s="13" t="str">
        <f t="shared" si="3"/>
        <v/>
      </c>
      <c r="F2247" s="3">
        <f t="shared" si="4"/>
        <v>-0.008932812653</v>
      </c>
      <c r="G2247" s="4">
        <f t="shared" si="5"/>
        <v>2.67901662</v>
      </c>
      <c r="H2247" s="5">
        <f t="shared" si="6"/>
        <v>0</v>
      </c>
      <c r="I2247" s="5">
        <f t="shared" si="7"/>
        <v>1.684289751</v>
      </c>
    </row>
    <row r="2248">
      <c r="A2248" s="12">
        <f>IFERROR(__xludf.DUMMYFUNCTION("""COMPUTED_VALUE"""),45527.66666666667)</f>
        <v>45527.66667</v>
      </c>
      <c r="B2248" s="13">
        <f>IFERROR(__xludf.DUMMYFUNCTION("""COMPUTED_VALUE"""),5634.61)</f>
        <v>5634.61</v>
      </c>
      <c r="C2248" s="13">
        <f t="shared" si="1"/>
        <v>5489.385</v>
      </c>
      <c r="D2248" s="13">
        <f t="shared" si="2"/>
        <v>5609.575</v>
      </c>
      <c r="E2248" s="13" t="str">
        <f t="shared" si="3"/>
        <v/>
      </c>
      <c r="F2248" s="3">
        <f t="shared" si="4"/>
        <v>0.01148342022</v>
      </c>
      <c r="G2248" s="4">
        <f t="shared" si="5"/>
        <v>2.709780894</v>
      </c>
      <c r="H2248" s="5">
        <f t="shared" si="6"/>
        <v>0</v>
      </c>
      <c r="I2248" s="5">
        <f t="shared" si="7"/>
        <v>1.684289751</v>
      </c>
    </row>
    <row r="2249">
      <c r="A2249" s="12">
        <f>IFERROR(__xludf.DUMMYFUNCTION("""COMPUTED_VALUE"""),45530.66666666667)</f>
        <v>45530.66667</v>
      </c>
      <c r="B2249" s="13">
        <f>IFERROR(__xludf.DUMMYFUNCTION("""COMPUTED_VALUE"""),5616.84)</f>
        <v>5616.84</v>
      </c>
      <c r="C2249" s="13">
        <f t="shared" si="1"/>
        <v>5480.615</v>
      </c>
      <c r="D2249" s="13">
        <f t="shared" si="2"/>
        <v>5616.095</v>
      </c>
      <c r="E2249" s="13" t="str">
        <f t="shared" si="3"/>
        <v/>
      </c>
      <c r="F2249" s="3">
        <f t="shared" si="4"/>
        <v>-0.00315372315</v>
      </c>
      <c r="G2249" s="4">
        <f t="shared" si="5"/>
        <v>2.701234995</v>
      </c>
      <c r="H2249" s="5">
        <f t="shared" si="6"/>
        <v>0</v>
      </c>
      <c r="I2249" s="5">
        <f t="shared" si="7"/>
        <v>1.684289751</v>
      </c>
    </row>
    <row r="2250">
      <c r="A2250" s="12">
        <f>IFERROR(__xludf.DUMMYFUNCTION("""COMPUTED_VALUE"""),45531.66666666667)</f>
        <v>45531.66667</v>
      </c>
      <c r="B2250" s="13">
        <f>IFERROR(__xludf.DUMMYFUNCTION("""COMPUTED_VALUE"""),5625.8)</f>
        <v>5625.8</v>
      </c>
      <c r="C2250" s="13">
        <f t="shared" si="1"/>
        <v>5530.115</v>
      </c>
      <c r="D2250" s="13">
        <f t="shared" si="2"/>
        <v>5628.51</v>
      </c>
      <c r="E2250" s="13" t="str">
        <f t="shared" si="3"/>
        <v/>
      </c>
      <c r="F2250" s="3">
        <f t="shared" si="4"/>
        <v>0.001595202997</v>
      </c>
      <c r="G2250" s="4">
        <f t="shared" si="5"/>
        <v>2.705544014</v>
      </c>
      <c r="H2250" s="5">
        <f t="shared" si="6"/>
        <v>0</v>
      </c>
      <c r="I2250" s="5">
        <f t="shared" si="7"/>
        <v>1.684289751</v>
      </c>
    </row>
    <row r="2251">
      <c r="A2251" s="12">
        <f>IFERROR(__xludf.DUMMYFUNCTION("""COMPUTED_VALUE"""),45532.66666666667)</f>
        <v>45532.66667</v>
      </c>
      <c r="B2251" s="13">
        <f>IFERROR(__xludf.DUMMYFUNCTION("""COMPUTED_VALUE"""),5592.18)</f>
        <v>5592.18</v>
      </c>
      <c r="C2251" s="13">
        <f t="shared" si="1"/>
        <v>5523.695</v>
      </c>
      <c r="D2251" s="13">
        <f t="shared" si="2"/>
        <v>5629.69</v>
      </c>
      <c r="E2251" s="13" t="str">
        <f t="shared" si="3"/>
        <v/>
      </c>
      <c r="F2251" s="3">
        <f t="shared" si="4"/>
        <v>-0.005976038963</v>
      </c>
      <c r="G2251" s="4">
        <f t="shared" si="5"/>
        <v>2.689375577</v>
      </c>
      <c r="H2251" s="5">
        <f t="shared" si="6"/>
        <v>0</v>
      </c>
      <c r="I2251" s="5">
        <f t="shared" si="7"/>
        <v>1.684289751</v>
      </c>
    </row>
    <row r="2252">
      <c r="A2252" s="12">
        <f>IFERROR(__xludf.DUMMYFUNCTION("""COMPUTED_VALUE"""),45533.66666666667)</f>
        <v>45533.66667</v>
      </c>
      <c r="B2252" s="13">
        <f>IFERROR(__xludf.DUMMYFUNCTION("""COMPUTED_VALUE"""),5591.96)</f>
        <v>5591.96</v>
      </c>
      <c r="C2252" s="13">
        <f t="shared" si="1"/>
        <v>5567.59</v>
      </c>
      <c r="D2252" s="13">
        <f t="shared" si="2"/>
        <v>5590.115</v>
      </c>
      <c r="E2252" s="13" t="str">
        <f t="shared" si="3"/>
        <v/>
      </c>
      <c r="F2252" s="3">
        <f t="shared" si="4"/>
        <v>-0.00003934065069</v>
      </c>
      <c r="G2252" s="4">
        <f t="shared" si="5"/>
        <v>2.689269775</v>
      </c>
      <c r="H2252" s="5">
        <f t="shared" si="6"/>
        <v>0</v>
      </c>
      <c r="I2252" s="5">
        <f t="shared" si="7"/>
        <v>1.684289751</v>
      </c>
    </row>
    <row r="2253">
      <c r="A2253" s="12">
        <f>IFERROR(__xludf.DUMMYFUNCTION("""COMPUTED_VALUE"""),45534.66666666667)</f>
        <v>45534.66667</v>
      </c>
      <c r="B2253" s="13">
        <f>IFERROR(__xludf.DUMMYFUNCTION("""COMPUTED_VALUE"""),5648.4)</f>
        <v>5648.4</v>
      </c>
      <c r="C2253" s="13">
        <f t="shared" si="1"/>
        <v>5601.325</v>
      </c>
      <c r="D2253" s="13">
        <f t="shared" si="2"/>
        <v>5596.495</v>
      </c>
      <c r="E2253" s="13" t="str">
        <f t="shared" si="3"/>
        <v>LONG</v>
      </c>
      <c r="F2253" s="3">
        <f t="shared" si="4"/>
        <v>0.01009306218</v>
      </c>
      <c r="G2253" s="4">
        <f t="shared" si="5"/>
        <v>2.716412742</v>
      </c>
      <c r="H2253" s="3">
        <f t="shared" si="6"/>
        <v>0.01009306218</v>
      </c>
      <c r="I2253" s="5">
        <f t="shared" si="7"/>
        <v>1.701289392</v>
      </c>
    </row>
    <row r="2254">
      <c r="A2254" s="12">
        <f>IFERROR(__xludf.DUMMYFUNCTION("""COMPUTED_VALUE"""),45538.66666666667)</f>
        <v>45538.66667</v>
      </c>
      <c r="B2254" s="13">
        <f>IFERROR(__xludf.DUMMYFUNCTION("""COMPUTED_VALUE"""),5528.93)</f>
        <v>5528.93</v>
      </c>
      <c r="C2254" s="13">
        <f t="shared" si="1"/>
        <v>5568.59</v>
      </c>
      <c r="D2254" s="13">
        <f t="shared" si="2"/>
        <v>5516.965</v>
      </c>
      <c r="E2254" s="13" t="str">
        <f t="shared" si="3"/>
        <v>LONG</v>
      </c>
      <c r="F2254" s="3">
        <f t="shared" si="4"/>
        <v>-0.02115112244</v>
      </c>
      <c r="G2254" s="4">
        <f t="shared" si="5"/>
        <v>2.658957564</v>
      </c>
      <c r="H2254" s="3">
        <f t="shared" si="6"/>
        <v>-0.02115112244</v>
      </c>
      <c r="I2254" s="5">
        <f t="shared" si="7"/>
        <v>1.665305212</v>
      </c>
    </row>
    <row r="2255">
      <c r="A2255" s="12">
        <f>IFERROR(__xludf.DUMMYFUNCTION("""COMPUTED_VALUE"""),45539.66666666667)</f>
        <v>45539.66667</v>
      </c>
      <c r="B2255" s="13">
        <f>IFERROR(__xludf.DUMMYFUNCTION("""COMPUTED_VALUE"""),5520.07)</f>
        <v>5520.07</v>
      </c>
      <c r="C2255" s="13">
        <f t="shared" si="1"/>
        <v>5558.595</v>
      </c>
      <c r="D2255" s="13">
        <f t="shared" si="2"/>
        <v>5542.24</v>
      </c>
      <c r="E2255" s="13" t="str">
        <f t="shared" si="3"/>
        <v>LONG</v>
      </c>
      <c r="F2255" s="3">
        <f t="shared" si="4"/>
        <v>-0.001602480046</v>
      </c>
      <c r="G2255" s="4">
        <f t="shared" si="5"/>
        <v>2.654696637</v>
      </c>
      <c r="H2255" s="3">
        <f t="shared" si="6"/>
        <v>-0.001602480046</v>
      </c>
      <c r="I2255" s="5">
        <f t="shared" si="7"/>
        <v>1.662636593</v>
      </c>
    </row>
    <row r="2256">
      <c r="A2256" s="12">
        <f>IFERROR(__xludf.DUMMYFUNCTION("""COMPUTED_VALUE"""),45540.66666666667)</f>
        <v>45540.66667</v>
      </c>
      <c r="B2256" s="13">
        <f>IFERROR(__xludf.DUMMYFUNCTION("""COMPUTED_VALUE"""),5503.41)</f>
        <v>5503.41</v>
      </c>
      <c r="C2256" s="13">
        <f t="shared" si="1"/>
        <v>5562.13</v>
      </c>
      <c r="D2256" s="13">
        <f t="shared" si="2"/>
        <v>5529.575</v>
      </c>
      <c r="E2256" s="13" t="str">
        <f t="shared" si="3"/>
        <v>LONG</v>
      </c>
      <c r="F2256" s="3">
        <f t="shared" si="4"/>
        <v>-0.003018077669</v>
      </c>
      <c r="G2256" s="4">
        <f t="shared" si="5"/>
        <v>2.646684557</v>
      </c>
      <c r="H2256" s="3">
        <f t="shared" si="6"/>
        <v>-0.003018077669</v>
      </c>
      <c r="I2256" s="5">
        <f t="shared" si="7"/>
        <v>1.657618627</v>
      </c>
    </row>
    <row r="2257">
      <c r="A2257" s="12">
        <f>IFERROR(__xludf.DUMMYFUNCTION("""COMPUTED_VALUE"""),45541.66666666667)</f>
        <v>45541.66667</v>
      </c>
      <c r="B2257" s="13">
        <f>IFERROR(__xludf.DUMMYFUNCTION("""COMPUTED_VALUE"""),5408.42)</f>
        <v>5408.42</v>
      </c>
      <c r="C2257" s="13">
        <f t="shared" si="1"/>
        <v>5489.53</v>
      </c>
      <c r="D2257" s="13">
        <f t="shared" si="2"/>
        <v>5417.775</v>
      </c>
      <c r="E2257" s="13" t="str">
        <f t="shared" si="3"/>
        <v>LONG</v>
      </c>
      <c r="F2257" s="3">
        <f t="shared" si="4"/>
        <v>-0.01726020776</v>
      </c>
      <c r="G2257" s="4">
        <f t="shared" si="5"/>
        <v>2.601002231</v>
      </c>
      <c r="H2257" s="3">
        <f t="shared" si="6"/>
        <v>-0.01726020776</v>
      </c>
      <c r="I2257" s="5">
        <f t="shared" si="7"/>
        <v>1.629007785</v>
      </c>
    </row>
    <row r="2258">
      <c r="A2258" s="12">
        <f>IFERROR(__xludf.DUMMYFUNCTION("""COMPUTED_VALUE"""),45544.66666666667)</f>
        <v>45544.66667</v>
      </c>
      <c r="B2258" s="13">
        <f>IFERROR(__xludf.DUMMYFUNCTION("""COMPUTED_VALUE"""),5471.05)</f>
        <v>5471.05</v>
      </c>
      <c r="C2258" s="13">
        <f t="shared" si="1"/>
        <v>5552.83</v>
      </c>
      <c r="D2258" s="13">
        <f t="shared" si="2"/>
        <v>5435.135</v>
      </c>
      <c r="E2258" s="13" t="str">
        <f t="shared" si="3"/>
        <v>LONG</v>
      </c>
      <c r="F2258" s="3">
        <f t="shared" si="4"/>
        <v>0.01158009178</v>
      </c>
      <c r="G2258" s="4">
        <f t="shared" si="5"/>
        <v>2.631122076</v>
      </c>
      <c r="H2258" s="3">
        <f t="shared" si="6"/>
        <v>0.01158009178</v>
      </c>
      <c r="I2258" s="5">
        <f t="shared" si="7"/>
        <v>1.647871845</v>
      </c>
    </row>
    <row r="2259">
      <c r="A2259" s="12">
        <f>IFERROR(__xludf.DUMMYFUNCTION("""COMPUTED_VALUE"""),45545.66666666667)</f>
        <v>45545.66667</v>
      </c>
      <c r="B2259" s="13">
        <f>IFERROR(__xludf.DUMMYFUNCTION("""COMPUTED_VALUE"""),5495.52)</f>
        <v>5495.52</v>
      </c>
      <c r="C2259" s="13">
        <f t="shared" si="1"/>
        <v>5556.18</v>
      </c>
      <c r="D2259" s="13">
        <f t="shared" si="2"/>
        <v>5477.31</v>
      </c>
      <c r="E2259" s="13" t="str">
        <f t="shared" si="3"/>
        <v>LONG</v>
      </c>
      <c r="F2259" s="3">
        <f t="shared" si="4"/>
        <v>0.004472633224</v>
      </c>
      <c r="G2259" s="4">
        <f t="shared" si="5"/>
        <v>2.64289012</v>
      </c>
      <c r="H2259" s="3">
        <f t="shared" si="6"/>
        <v>0.004472633224</v>
      </c>
      <c r="I2259" s="5">
        <f t="shared" si="7"/>
        <v>1.655242171</v>
      </c>
    </row>
    <row r="2260">
      <c r="A2260" s="12">
        <f>IFERROR(__xludf.DUMMYFUNCTION("""COMPUTED_VALUE"""),45546.66666666667)</f>
        <v>45546.66667</v>
      </c>
      <c r="B2260" s="13">
        <f>IFERROR(__xludf.DUMMYFUNCTION("""COMPUTED_VALUE"""),5554.13)</f>
        <v>5554.13</v>
      </c>
      <c r="C2260" s="13">
        <f t="shared" si="1"/>
        <v>5589.965</v>
      </c>
      <c r="D2260" s="13">
        <f t="shared" si="2"/>
        <v>5508.835</v>
      </c>
      <c r="E2260" s="13" t="str">
        <f t="shared" si="3"/>
        <v>LONG</v>
      </c>
      <c r="F2260" s="3">
        <f t="shared" si="4"/>
        <v>0.01066505081</v>
      </c>
      <c r="G2260" s="4">
        <f t="shared" si="5"/>
        <v>2.671076677</v>
      </c>
      <c r="H2260" s="3">
        <f t="shared" si="6"/>
        <v>0.01066505081</v>
      </c>
      <c r="I2260" s="5">
        <f t="shared" si="7"/>
        <v>1.672895413</v>
      </c>
    </row>
    <row r="2261">
      <c r="A2261" s="12">
        <f>IFERROR(__xludf.DUMMYFUNCTION("""COMPUTED_VALUE"""),45547.66666666667)</f>
        <v>45547.66667</v>
      </c>
      <c r="B2261" s="13">
        <f>IFERROR(__xludf.DUMMYFUNCTION("""COMPUTED_VALUE"""),5595.76)</f>
        <v>5595.76</v>
      </c>
      <c r="C2261" s="13">
        <f t="shared" si="1"/>
        <v>5593.97</v>
      </c>
      <c r="D2261" s="13">
        <f t="shared" si="2"/>
        <v>5516.1</v>
      </c>
      <c r="E2261" s="13" t="str">
        <f t="shared" si="3"/>
        <v>LONG</v>
      </c>
      <c r="F2261" s="3">
        <f t="shared" si="4"/>
        <v>0.0074953233</v>
      </c>
      <c r="G2261" s="4">
        <f t="shared" si="5"/>
        <v>2.691097261</v>
      </c>
      <c r="H2261" s="3">
        <f t="shared" si="6"/>
        <v>0.0074953233</v>
      </c>
      <c r="I2261" s="5">
        <f t="shared" si="7"/>
        <v>1.685434305</v>
      </c>
    </row>
    <row r="2262">
      <c r="A2262" s="12">
        <f>IFERROR(__xludf.DUMMYFUNCTION("""COMPUTED_VALUE"""),45548.66666666667)</f>
        <v>45548.66667</v>
      </c>
      <c r="B2262" s="13">
        <f>IFERROR(__xludf.DUMMYFUNCTION("""COMPUTED_VALUE"""),5626.02)</f>
        <v>5626.02</v>
      </c>
      <c r="C2262" s="13">
        <f t="shared" si="1"/>
        <v>5608.99</v>
      </c>
      <c r="D2262" s="13">
        <f t="shared" si="2"/>
        <v>5574.16</v>
      </c>
      <c r="E2262" s="13" t="str">
        <f t="shared" si="3"/>
        <v>LONG</v>
      </c>
      <c r="F2262" s="3">
        <f t="shared" si="4"/>
        <v>0.005407665804</v>
      </c>
      <c r="G2262" s="4">
        <f t="shared" si="5"/>
        <v>2.705649815</v>
      </c>
      <c r="H2262" s="3">
        <f t="shared" si="6"/>
        <v>0.005407665804</v>
      </c>
      <c r="I2262" s="5">
        <f t="shared" si="7"/>
        <v>1.69454857</v>
      </c>
    </row>
    <row r="2263">
      <c r="A2263" s="12">
        <f>IFERROR(__xludf.DUMMYFUNCTION("""COMPUTED_VALUE"""),45551.66666666667)</f>
        <v>45551.66667</v>
      </c>
      <c r="B2263" s="13">
        <f>IFERROR(__xludf.DUMMYFUNCTION("""COMPUTED_VALUE"""),5633.09)</f>
        <v>5633.09</v>
      </c>
      <c r="C2263" s="13">
        <f t="shared" si="1"/>
        <v>5640.745</v>
      </c>
      <c r="D2263" s="13">
        <f t="shared" si="2"/>
        <v>5539.885</v>
      </c>
      <c r="E2263" s="13" t="str">
        <f t="shared" si="3"/>
        <v>LONG</v>
      </c>
      <c r="F2263" s="3">
        <f t="shared" si="4"/>
        <v>0.001256661014</v>
      </c>
      <c r="G2263" s="4">
        <f t="shared" si="5"/>
        <v>2.7090499</v>
      </c>
      <c r="H2263" s="3">
        <f t="shared" si="6"/>
        <v>0.001256661014</v>
      </c>
      <c r="I2263" s="5">
        <f t="shared" si="7"/>
        <v>1.696678043</v>
      </c>
    </row>
    <row r="2264">
      <c r="A2264" s="12">
        <f>IFERROR(__xludf.DUMMYFUNCTION("""COMPUTED_VALUE"""),45552.66666666667)</f>
        <v>45552.66667</v>
      </c>
      <c r="B2264" s="13">
        <f>IFERROR(__xludf.DUMMYFUNCTION("""COMPUTED_VALUE"""),5634.58)</f>
        <v>5634.58</v>
      </c>
      <c r="C2264" s="13">
        <f t="shared" si="1"/>
        <v>5581.755</v>
      </c>
      <c r="D2264" s="13">
        <f t="shared" si="2"/>
        <v>5490.57</v>
      </c>
      <c r="E2264" s="13" t="str">
        <f t="shared" si="3"/>
        <v>LONG</v>
      </c>
      <c r="F2264" s="3">
        <f t="shared" si="4"/>
        <v>0.0002645084669</v>
      </c>
      <c r="G2264" s="4">
        <f t="shared" si="5"/>
        <v>2.709766467</v>
      </c>
      <c r="H2264" s="3">
        <f t="shared" si="6"/>
        <v>0.0002645084669</v>
      </c>
      <c r="I2264" s="5">
        <f t="shared" si="7"/>
        <v>1.697126829</v>
      </c>
    </row>
    <row r="2265">
      <c r="A2265" s="12">
        <f>IFERROR(__xludf.DUMMYFUNCTION("""COMPUTED_VALUE"""),45553.66666666667)</f>
        <v>45553.66667</v>
      </c>
      <c r="B2265" s="13">
        <f>IFERROR(__xludf.DUMMYFUNCTION("""COMPUTED_VALUE"""),5618.26)</f>
        <v>5618.26</v>
      </c>
      <c r="C2265" s="13">
        <f t="shared" si="1"/>
        <v>5569.165</v>
      </c>
      <c r="D2265" s="13">
        <f t="shared" si="2"/>
        <v>5402.295</v>
      </c>
      <c r="E2265" s="13" t="str">
        <f t="shared" si="3"/>
        <v>LONG</v>
      </c>
      <c r="F2265" s="3">
        <f t="shared" si="4"/>
        <v>-0.002896400442</v>
      </c>
      <c r="G2265" s="4">
        <f t="shared" si="5"/>
        <v>2.701917898</v>
      </c>
      <c r="H2265" s="3">
        <f t="shared" si="6"/>
        <v>-0.002896400442</v>
      </c>
      <c r="I2265" s="5">
        <f t="shared" si="7"/>
        <v>1.69221127</v>
      </c>
    </row>
    <row r="2266">
      <c r="A2266" s="12">
        <f>IFERROR(__xludf.DUMMYFUNCTION("""COMPUTED_VALUE"""),45554.66666666667)</f>
        <v>45554.66667</v>
      </c>
      <c r="B2266" s="13">
        <f>IFERROR(__xludf.DUMMYFUNCTION("""COMPUTED_VALUE"""),5713.64)</f>
        <v>5713.64</v>
      </c>
      <c r="C2266" s="13">
        <f t="shared" si="1"/>
        <v>5608.525</v>
      </c>
      <c r="D2266" s="13">
        <f t="shared" si="2"/>
        <v>5476.835</v>
      </c>
      <c r="E2266" s="13" t="str">
        <f t="shared" si="3"/>
        <v>LONG</v>
      </c>
      <c r="F2266" s="3">
        <f t="shared" si="4"/>
        <v>0.01697678641</v>
      </c>
      <c r="G2266" s="4">
        <f t="shared" si="5"/>
        <v>2.747787781</v>
      </c>
      <c r="H2266" s="3">
        <f t="shared" si="6"/>
        <v>0.01697678641</v>
      </c>
      <c r="I2266" s="5">
        <f t="shared" si="7"/>
        <v>1.720939579</v>
      </c>
    </row>
    <row r="2267">
      <c r="A2267" s="12">
        <f>IFERROR(__xludf.DUMMYFUNCTION("""COMPUTED_VALUE"""),45555.66666666667)</f>
        <v>45555.66667</v>
      </c>
      <c r="B2267" s="13">
        <f>IFERROR(__xludf.DUMMYFUNCTION("""COMPUTED_VALUE"""),5702.55)</f>
        <v>5702.55</v>
      </c>
      <c r="C2267" s="13">
        <f t="shared" si="1"/>
        <v>5555.485</v>
      </c>
      <c r="D2267" s="13">
        <f t="shared" si="2"/>
        <v>5451.025</v>
      </c>
      <c r="E2267" s="13" t="str">
        <f t="shared" si="3"/>
        <v>LONG</v>
      </c>
      <c r="F2267" s="3">
        <f t="shared" si="4"/>
        <v>-0.00194096933</v>
      </c>
      <c r="G2267" s="4">
        <f t="shared" si="5"/>
        <v>2.742454409</v>
      </c>
      <c r="H2267" s="3">
        <f t="shared" si="6"/>
        <v>-0.00194096933</v>
      </c>
      <c r="I2267" s="5">
        <f t="shared" si="7"/>
        <v>1.717599288</v>
      </c>
    </row>
    <row r="2268">
      <c r="A2268" s="12">
        <f>IFERROR(__xludf.DUMMYFUNCTION("""COMPUTED_VALUE"""),45558.66666666667)</f>
        <v>45558.66667</v>
      </c>
      <c r="B2268" s="13">
        <f>IFERROR(__xludf.DUMMYFUNCTION("""COMPUTED_VALUE"""),5718.57)</f>
        <v>5718.57</v>
      </c>
      <c r="C2268" s="13">
        <f t="shared" si="1"/>
        <v>5594.81</v>
      </c>
      <c r="D2268" s="13">
        <f t="shared" si="2"/>
        <v>5518.94</v>
      </c>
      <c r="E2268" s="13" t="str">
        <f t="shared" si="3"/>
        <v>LONG</v>
      </c>
      <c r="F2268" s="3">
        <f t="shared" si="4"/>
        <v>0.002809269537</v>
      </c>
      <c r="G2268" s="4">
        <f t="shared" si="5"/>
        <v>2.750158703</v>
      </c>
      <c r="H2268" s="3">
        <f t="shared" si="6"/>
        <v>0.002809269537</v>
      </c>
      <c r="I2268" s="5">
        <f t="shared" si="7"/>
        <v>1.722424488</v>
      </c>
    </row>
    <row r="2269">
      <c r="A2269" s="12">
        <f>IFERROR(__xludf.DUMMYFUNCTION("""COMPUTED_VALUE"""),45559.66666666667)</f>
        <v>45559.66667</v>
      </c>
      <c r="B2269" s="13">
        <f>IFERROR(__xludf.DUMMYFUNCTION("""COMPUTED_VALUE"""),5732.93)</f>
        <v>5732.93</v>
      </c>
      <c r="C2269" s="13">
        <f t="shared" si="1"/>
        <v>5614.225</v>
      </c>
      <c r="D2269" s="13">
        <f t="shared" si="2"/>
        <v>5538.545</v>
      </c>
      <c r="E2269" s="13" t="str">
        <f t="shared" si="3"/>
        <v>LONG</v>
      </c>
      <c r="F2269" s="3">
        <f t="shared" si="4"/>
        <v>0.00251111729</v>
      </c>
      <c r="G2269" s="4">
        <f t="shared" si="5"/>
        <v>2.757064674</v>
      </c>
      <c r="H2269" s="3">
        <f t="shared" si="6"/>
        <v>0.00251111729</v>
      </c>
      <c r="I2269" s="5">
        <f t="shared" si="7"/>
        <v>1.726749698</v>
      </c>
    </row>
    <row r="2270">
      <c r="A2270" s="12">
        <f>IFERROR(__xludf.DUMMYFUNCTION("""COMPUTED_VALUE"""),45560.66666666667)</f>
        <v>45560.66667</v>
      </c>
      <c r="B2270" s="13">
        <f>IFERROR(__xludf.DUMMYFUNCTION("""COMPUTED_VALUE"""),5722.26)</f>
        <v>5722.26</v>
      </c>
      <c r="C2270" s="13">
        <f t="shared" si="1"/>
        <v>5638.195</v>
      </c>
      <c r="D2270" s="13">
        <f t="shared" si="2"/>
        <v>5533.325</v>
      </c>
      <c r="E2270" s="13" t="str">
        <f t="shared" si="3"/>
        <v>LONG</v>
      </c>
      <c r="F2270" s="3">
        <f t="shared" si="4"/>
        <v>-0.001861177443</v>
      </c>
      <c r="G2270" s="4">
        <f t="shared" si="5"/>
        <v>2.751933287</v>
      </c>
      <c r="H2270" s="3">
        <f t="shared" si="6"/>
        <v>-0.001861177443</v>
      </c>
      <c r="I2270" s="5">
        <f t="shared" si="7"/>
        <v>1.72353591</v>
      </c>
    </row>
    <row r="2271">
      <c r="A2271" s="12">
        <f>IFERROR(__xludf.DUMMYFUNCTION("""COMPUTED_VALUE"""),45561.66666666667)</f>
        <v>45561.66667</v>
      </c>
      <c r="B2271" s="13">
        <f>IFERROR(__xludf.DUMMYFUNCTION("""COMPUTED_VALUE"""),5745.37)</f>
        <v>5745.37</v>
      </c>
      <c r="C2271" s="13">
        <f t="shared" si="1"/>
        <v>5670.565</v>
      </c>
      <c r="D2271" s="13">
        <f t="shared" si="2"/>
        <v>5589.9</v>
      </c>
      <c r="E2271" s="13" t="str">
        <f t="shared" si="3"/>
        <v>LONG</v>
      </c>
      <c r="F2271" s="3">
        <f t="shared" si="4"/>
        <v>0.004038614114</v>
      </c>
      <c r="G2271" s="4">
        <f t="shared" si="5"/>
        <v>2.763047284</v>
      </c>
      <c r="H2271" s="3">
        <f t="shared" si="6"/>
        <v>0.004038614114</v>
      </c>
      <c r="I2271" s="5">
        <f t="shared" si="7"/>
        <v>1.730496607</v>
      </c>
    </row>
    <row r="2272">
      <c r="A2272" s="12">
        <f>IFERROR(__xludf.DUMMYFUNCTION("""COMPUTED_VALUE"""),45562.66666666667)</f>
        <v>45562.66667</v>
      </c>
      <c r="B2272" s="13">
        <f>IFERROR(__xludf.DUMMYFUNCTION("""COMPUTED_VALUE"""),5738.17)</f>
        <v>5738.17</v>
      </c>
      <c r="C2272" s="13">
        <f t="shared" si="1"/>
        <v>5682.095</v>
      </c>
      <c r="D2272" s="13">
        <f t="shared" si="2"/>
        <v>5596.69</v>
      </c>
      <c r="E2272" s="13" t="str">
        <f t="shared" si="3"/>
        <v>LONG</v>
      </c>
      <c r="F2272" s="3">
        <f t="shared" si="4"/>
        <v>-0.001253182998</v>
      </c>
      <c r="G2272" s="4">
        <f t="shared" si="5"/>
        <v>2.75958468</v>
      </c>
      <c r="H2272" s="3">
        <f t="shared" si="6"/>
        <v>-0.001253182998</v>
      </c>
      <c r="I2272" s="5">
        <f t="shared" si="7"/>
        <v>1.728327978</v>
      </c>
    </row>
    <row r="2273">
      <c r="A2273" s="12">
        <f>IFERROR(__xludf.DUMMYFUNCTION("""COMPUTED_VALUE"""),45565.66666666667)</f>
        <v>45565.66667</v>
      </c>
      <c r="B2273" s="13">
        <f>IFERROR(__xludf.DUMMYFUNCTION("""COMPUTED_VALUE"""),5762.48)</f>
        <v>5762.48</v>
      </c>
      <c r="C2273" s="13">
        <f t="shared" si="1"/>
        <v>5697.785</v>
      </c>
      <c r="D2273" s="13">
        <f t="shared" si="2"/>
        <v>5652.85</v>
      </c>
      <c r="E2273" s="13" t="str">
        <f t="shared" si="3"/>
        <v>LONG</v>
      </c>
      <c r="F2273" s="3">
        <f t="shared" si="4"/>
        <v>0.004236542312</v>
      </c>
      <c r="G2273" s="4">
        <f t="shared" si="5"/>
        <v>2.771275777</v>
      </c>
      <c r="H2273" s="3">
        <f t="shared" si="6"/>
        <v>0.004236542312</v>
      </c>
      <c r="I2273" s="5">
        <f t="shared" si="7"/>
        <v>1.735650112</v>
      </c>
    </row>
    <row r="2274">
      <c r="A2274" s="12">
        <f>IFERROR(__xludf.DUMMYFUNCTION("""COMPUTED_VALUE"""),45566.66666666667)</f>
        <v>45566.66667</v>
      </c>
      <c r="B2274" s="13">
        <f>IFERROR(__xludf.DUMMYFUNCTION("""COMPUTED_VALUE"""),5708.75)</f>
        <v>5708.75</v>
      </c>
      <c r="C2274" s="13">
        <f t="shared" si="1"/>
        <v>5671.665</v>
      </c>
      <c r="D2274" s="13">
        <f t="shared" si="2"/>
        <v>5631.5</v>
      </c>
      <c r="E2274" s="13" t="str">
        <f t="shared" si="3"/>
        <v>LONG</v>
      </c>
      <c r="F2274" s="3">
        <f t="shared" si="4"/>
        <v>-0.009324110452</v>
      </c>
      <c r="G2274" s="4">
        <f t="shared" si="5"/>
        <v>2.745436096</v>
      </c>
      <c r="H2274" s="3">
        <f t="shared" si="6"/>
        <v>-0.009324110452</v>
      </c>
      <c r="I2274" s="5">
        <f t="shared" si="7"/>
        <v>1.719466719</v>
      </c>
    </row>
    <row r="2275">
      <c r="A2275" s="12">
        <f>IFERROR(__xludf.DUMMYFUNCTION("""COMPUTED_VALUE"""),45567.66666666667)</f>
        <v>45567.66667</v>
      </c>
      <c r="B2275" s="13">
        <f>IFERROR(__xludf.DUMMYFUNCTION("""COMPUTED_VALUE"""),5709.54)</f>
        <v>5709.54</v>
      </c>
      <c r="C2275" s="13">
        <f t="shared" si="1"/>
        <v>5663.9</v>
      </c>
      <c r="D2275" s="13">
        <f t="shared" si="2"/>
        <v>5658.895</v>
      </c>
      <c r="E2275" s="13" t="str">
        <f t="shared" si="3"/>
        <v>LONG</v>
      </c>
      <c r="F2275" s="3">
        <f t="shared" si="4"/>
        <v>0.0001383840596</v>
      </c>
      <c r="G2275" s="4">
        <f t="shared" si="5"/>
        <v>2.74581602</v>
      </c>
      <c r="H2275" s="3">
        <f t="shared" si="6"/>
        <v>0.0001383840596</v>
      </c>
      <c r="I2275" s="5">
        <f t="shared" si="7"/>
        <v>1.719704666</v>
      </c>
    </row>
    <row r="2276">
      <c r="A2276" s="12">
        <f>IFERROR(__xludf.DUMMYFUNCTION("""COMPUTED_VALUE"""),45568.66666666667)</f>
        <v>45568.66667</v>
      </c>
      <c r="B2276" s="13">
        <f>IFERROR(__xludf.DUMMYFUNCTION("""COMPUTED_VALUE"""),5699.94)</f>
        <v>5699.94</v>
      </c>
      <c r="C2276" s="13">
        <f t="shared" si="1"/>
        <v>5706.79</v>
      </c>
      <c r="D2276" s="13">
        <f t="shared" si="2"/>
        <v>5648.53</v>
      </c>
      <c r="E2276" s="13" t="str">
        <f t="shared" si="3"/>
        <v>LONG</v>
      </c>
      <c r="F2276" s="3">
        <f t="shared" si="4"/>
        <v>-0.0016813964</v>
      </c>
      <c r="G2276" s="4">
        <f t="shared" si="5"/>
        <v>2.741199215</v>
      </c>
      <c r="H2276" s="3">
        <f t="shared" si="6"/>
        <v>-0.0016813964</v>
      </c>
      <c r="I2276" s="5">
        <f t="shared" si="7"/>
        <v>1.71681316</v>
      </c>
    </row>
    <row r="2277">
      <c r="A2277" s="12">
        <f>IFERROR(__xludf.DUMMYFUNCTION("""COMPUTED_VALUE"""),45569.66666666667)</f>
        <v>45569.66667</v>
      </c>
      <c r="B2277" s="13">
        <f>IFERROR(__xludf.DUMMYFUNCTION("""COMPUTED_VALUE"""),5751.07)</f>
        <v>5751.07</v>
      </c>
      <c r="C2277" s="13">
        <f t="shared" si="1"/>
        <v>5726.81</v>
      </c>
      <c r="D2277" s="13">
        <f t="shared" si="2"/>
        <v>5685.96</v>
      </c>
      <c r="E2277" s="13" t="str">
        <f t="shared" si="3"/>
        <v>LONG</v>
      </c>
      <c r="F2277" s="3">
        <f t="shared" si="4"/>
        <v>0.008970269862</v>
      </c>
      <c r="G2277" s="4">
        <f t="shared" si="5"/>
        <v>2.765788512</v>
      </c>
      <c r="H2277" s="3">
        <f t="shared" si="6"/>
        <v>0.008970269862</v>
      </c>
      <c r="I2277" s="5">
        <f t="shared" si="7"/>
        <v>1.732213438</v>
      </c>
    </row>
    <row r="2278">
      <c r="A2278" s="12">
        <f>IFERROR(__xludf.DUMMYFUNCTION("""COMPUTED_VALUE"""),45572.66666666667)</f>
        <v>45572.66667</v>
      </c>
      <c r="B2278" s="13">
        <f>IFERROR(__xludf.DUMMYFUNCTION("""COMPUTED_VALUE"""),5695.94)</f>
        <v>5695.94</v>
      </c>
      <c r="C2278" s="13">
        <f t="shared" si="1"/>
        <v>5707.255</v>
      </c>
      <c r="D2278" s="13">
        <f t="shared" si="2"/>
        <v>5633.29</v>
      </c>
      <c r="E2278" s="13" t="str">
        <f t="shared" si="3"/>
        <v>LONG</v>
      </c>
      <c r="F2278" s="3">
        <f t="shared" si="4"/>
        <v>-0.00958604225</v>
      </c>
      <c r="G2278" s="4">
        <f t="shared" si="5"/>
        <v>2.739275546</v>
      </c>
      <c r="H2278" s="3">
        <f t="shared" si="6"/>
        <v>-0.00958604225</v>
      </c>
      <c r="I2278" s="5">
        <f t="shared" si="7"/>
        <v>1.715608367</v>
      </c>
    </row>
    <row r="2279">
      <c r="A2279" s="12">
        <f>IFERROR(__xludf.DUMMYFUNCTION("""COMPUTED_VALUE"""),45573.66666666667)</f>
        <v>45573.66667</v>
      </c>
      <c r="B2279" s="13">
        <f>IFERROR(__xludf.DUMMYFUNCTION("""COMPUTED_VALUE"""),5751.13)</f>
        <v>5751.13</v>
      </c>
      <c r="C2279" s="13">
        <f t="shared" si="1"/>
        <v>5742.03</v>
      </c>
      <c r="D2279" s="13">
        <f t="shared" si="2"/>
        <v>5692.87</v>
      </c>
      <c r="E2279" s="13" t="str">
        <f t="shared" si="3"/>
        <v>LONG</v>
      </c>
      <c r="F2279" s="3">
        <f t="shared" si="4"/>
        <v>0.009689357683</v>
      </c>
      <c r="G2279" s="4">
        <f t="shared" si="5"/>
        <v>2.765817367</v>
      </c>
      <c r="H2279" s="3">
        <f t="shared" si="6"/>
        <v>0.009689357683</v>
      </c>
      <c r="I2279" s="5">
        <f t="shared" si="7"/>
        <v>1.73223151</v>
      </c>
    </row>
    <row r="2280">
      <c r="A2280" s="12">
        <f>IFERROR(__xludf.DUMMYFUNCTION("""COMPUTED_VALUE"""),45574.66666666667)</f>
        <v>45574.66667</v>
      </c>
      <c r="B2280" s="13">
        <f>IFERROR(__xludf.DUMMYFUNCTION("""COMPUTED_VALUE"""),5792.04)</f>
        <v>5792.04</v>
      </c>
      <c r="C2280" s="13">
        <f t="shared" si="1"/>
        <v>5757.15</v>
      </c>
      <c r="D2280" s="13">
        <f t="shared" si="2"/>
        <v>5704.44</v>
      </c>
      <c r="E2280" s="13" t="str">
        <f t="shared" si="3"/>
        <v>LONG</v>
      </c>
      <c r="F2280" s="3">
        <f t="shared" si="4"/>
        <v>0.007113384674</v>
      </c>
      <c r="G2280" s="4">
        <f t="shared" si="5"/>
        <v>2.78549169</v>
      </c>
      <c r="H2280" s="3">
        <f t="shared" si="6"/>
        <v>0.007113384674</v>
      </c>
      <c r="I2280" s="5">
        <f t="shared" si="7"/>
        <v>1.744553539</v>
      </c>
    </row>
    <row r="2281">
      <c r="A2281" s="12">
        <f>IFERROR(__xludf.DUMMYFUNCTION("""COMPUTED_VALUE"""),45575.66666666667)</f>
        <v>45575.66667</v>
      </c>
      <c r="B2281" s="13">
        <f>IFERROR(__xludf.DUMMYFUNCTION("""COMPUTED_VALUE"""),5780.05)</f>
        <v>5780.05</v>
      </c>
      <c r="C2281" s="13">
        <f t="shared" si="1"/>
        <v>5762.71</v>
      </c>
      <c r="D2281" s="13">
        <f t="shared" si="2"/>
        <v>5702.925</v>
      </c>
      <c r="E2281" s="13" t="str">
        <f t="shared" si="3"/>
        <v>LONG</v>
      </c>
      <c r="F2281" s="3">
        <f t="shared" si="4"/>
        <v>-0.002070082389</v>
      </c>
      <c r="G2281" s="4">
        <f t="shared" si="5"/>
        <v>2.779725492</v>
      </c>
      <c r="H2281" s="3">
        <f t="shared" si="6"/>
        <v>-0.002070082389</v>
      </c>
      <c r="I2281" s="5">
        <f t="shared" si="7"/>
        <v>1.740942169</v>
      </c>
    </row>
    <row r="2282">
      <c r="A2282" s="12">
        <f>IFERROR(__xludf.DUMMYFUNCTION("""COMPUTED_VALUE"""),45579.66666666667)</f>
        <v>45579.66667</v>
      </c>
      <c r="B2282" s="13">
        <f>IFERROR(__xludf.DUMMYFUNCTION("""COMPUTED_VALUE"""),5859.85)</f>
        <v>5859.85</v>
      </c>
      <c r="C2282" s="13">
        <f t="shared" si="1"/>
        <v>5799.01</v>
      </c>
      <c r="D2282" s="13">
        <f t="shared" si="2"/>
        <v>5726.015</v>
      </c>
      <c r="E2282" s="13" t="str">
        <f t="shared" si="3"/>
        <v>LONG</v>
      </c>
      <c r="F2282" s="3">
        <f t="shared" si="4"/>
        <v>0.01380610894</v>
      </c>
      <c r="G2282" s="4">
        <f t="shared" si="5"/>
        <v>2.818102685</v>
      </c>
      <c r="H2282" s="3">
        <f t="shared" si="6"/>
        <v>0.01380610894</v>
      </c>
      <c r="I2282" s="5">
        <f t="shared" si="7"/>
        <v>1.764977807</v>
      </c>
    </row>
    <row r="2283">
      <c r="A2283" s="12">
        <f>IFERROR(__xludf.DUMMYFUNCTION("""COMPUTED_VALUE"""),45580.66666666667)</f>
        <v>45580.66667</v>
      </c>
      <c r="B2283" s="13">
        <f>IFERROR(__xludf.DUMMYFUNCTION("""COMPUTED_VALUE"""),5815.26)</f>
        <v>5815.26</v>
      </c>
      <c r="C2283" s="13">
        <f t="shared" si="1"/>
        <v>5788.87</v>
      </c>
      <c r="D2283" s="13">
        <f t="shared" si="2"/>
        <v>5703.61</v>
      </c>
      <c r="E2283" s="13" t="str">
        <f t="shared" si="3"/>
        <v>LONG</v>
      </c>
      <c r="F2283" s="3">
        <f t="shared" si="4"/>
        <v>-0.007609409797</v>
      </c>
      <c r="G2283" s="4">
        <f t="shared" si="5"/>
        <v>2.796658587</v>
      </c>
      <c r="H2283" s="3">
        <f t="shared" si="6"/>
        <v>-0.007609409797</v>
      </c>
      <c r="I2283" s="5">
        <f t="shared" si="7"/>
        <v>1.751547367</v>
      </c>
    </row>
    <row r="2284">
      <c r="A2284" s="12">
        <f>IFERROR(__xludf.DUMMYFUNCTION("""COMPUTED_VALUE"""),45581.66666666667)</f>
        <v>45581.66667</v>
      </c>
      <c r="B2284" s="13">
        <f>IFERROR(__xludf.DUMMYFUNCTION("""COMPUTED_VALUE"""),5842.47)</f>
        <v>5842.47</v>
      </c>
      <c r="C2284" s="13">
        <f t="shared" si="1"/>
        <v>5775.61</v>
      </c>
      <c r="D2284" s="13">
        <f t="shared" si="2"/>
        <v>5745.435</v>
      </c>
      <c r="E2284" s="13" t="str">
        <f t="shared" si="3"/>
        <v>LONG</v>
      </c>
      <c r="F2284" s="3">
        <f t="shared" si="4"/>
        <v>0.00467906852</v>
      </c>
      <c r="G2284" s="4">
        <f t="shared" si="5"/>
        <v>2.809744344</v>
      </c>
      <c r="H2284" s="3">
        <f t="shared" si="6"/>
        <v>0.00467906852</v>
      </c>
      <c r="I2284" s="5">
        <f t="shared" si="7"/>
        <v>1.759742977</v>
      </c>
    </row>
    <row r="2285">
      <c r="A2285" s="12">
        <f>IFERROR(__xludf.DUMMYFUNCTION("""COMPUTED_VALUE"""),45582.66666666667)</f>
        <v>45582.66667</v>
      </c>
      <c r="B2285" s="13">
        <f>IFERROR(__xludf.DUMMYFUNCTION("""COMPUTED_VALUE"""),5841.47)</f>
        <v>5841.47</v>
      </c>
      <c r="C2285" s="13">
        <f t="shared" si="1"/>
        <v>5775.505</v>
      </c>
      <c r="D2285" s="13">
        <f t="shared" si="2"/>
        <v>5685.2</v>
      </c>
      <c r="E2285" s="13" t="str">
        <f t="shared" si="3"/>
        <v>LONG</v>
      </c>
      <c r="F2285" s="3">
        <f t="shared" si="4"/>
        <v>-0.0001711604852</v>
      </c>
      <c r="G2285" s="4">
        <f t="shared" si="5"/>
        <v>2.809263427</v>
      </c>
      <c r="H2285" s="3">
        <f t="shared" si="6"/>
        <v>-0.0001711604852</v>
      </c>
      <c r="I2285" s="5">
        <f t="shared" si="7"/>
        <v>1.759441779</v>
      </c>
    </row>
    <row r="2286">
      <c r="A2286" s="12">
        <f>IFERROR(__xludf.DUMMYFUNCTION("""COMPUTED_VALUE"""),45583.66666666667)</f>
        <v>45583.66667</v>
      </c>
      <c r="B2286" s="13">
        <f>IFERROR(__xludf.DUMMYFUNCTION("""COMPUTED_VALUE"""),5864.67)</f>
        <v>5864.67</v>
      </c>
      <c r="C2286" s="13">
        <f t="shared" si="1"/>
        <v>5782.305</v>
      </c>
      <c r="D2286" s="13">
        <f t="shared" si="2"/>
        <v>5692.37</v>
      </c>
      <c r="E2286" s="13" t="str">
        <f t="shared" si="3"/>
        <v>LONG</v>
      </c>
      <c r="F2286" s="3">
        <f t="shared" si="4"/>
        <v>0.003971603038</v>
      </c>
      <c r="G2286" s="4">
        <f t="shared" si="5"/>
        <v>2.820420706</v>
      </c>
      <c r="H2286" s="3">
        <f t="shared" si="6"/>
        <v>0.003971603038</v>
      </c>
      <c r="I2286" s="5">
        <f t="shared" si="7"/>
        <v>1.766429583</v>
      </c>
    </row>
    <row r="2287">
      <c r="A2287" s="12">
        <f>IFERROR(__xludf.DUMMYFUNCTION("""COMPUTED_VALUE"""),45586.66666666667)</f>
        <v>45586.66667</v>
      </c>
      <c r="B2287" s="13">
        <f>IFERROR(__xludf.DUMMYFUNCTION("""COMPUTED_VALUE"""),5853.98)</f>
        <v>5853.98</v>
      </c>
      <c r="C2287" s="13">
        <f t="shared" si="1"/>
        <v>5802.525</v>
      </c>
      <c r="D2287" s="13">
        <f t="shared" si="2"/>
        <v>5678.695</v>
      </c>
      <c r="E2287" s="13" t="str">
        <f t="shared" si="3"/>
        <v>LONG</v>
      </c>
      <c r="F2287" s="3">
        <f t="shared" si="4"/>
        <v>-0.001822779457</v>
      </c>
      <c r="G2287" s="4">
        <f t="shared" si="5"/>
        <v>2.815279701</v>
      </c>
      <c r="H2287" s="3">
        <f t="shared" si="6"/>
        <v>-0.001822779457</v>
      </c>
      <c r="I2287" s="5">
        <f t="shared" si="7"/>
        <v>1.763209772</v>
      </c>
    </row>
    <row r="2288">
      <c r="A2288" s="12">
        <f>IFERROR(__xludf.DUMMYFUNCTION("""COMPUTED_VALUE"""),45587.66666666667)</f>
        <v>45587.66667</v>
      </c>
      <c r="B2288" s="13">
        <f>IFERROR(__xludf.DUMMYFUNCTION("""COMPUTED_VALUE"""),5851.2)</f>
        <v>5851.2</v>
      </c>
      <c r="C2288" s="13">
        <f t="shared" si="1"/>
        <v>5773.57</v>
      </c>
      <c r="D2288" s="13">
        <f t="shared" si="2"/>
        <v>5629.81</v>
      </c>
      <c r="E2288" s="13" t="str">
        <f t="shared" si="3"/>
        <v>LONG</v>
      </c>
      <c r="F2288" s="3">
        <f t="shared" si="4"/>
        <v>-0.0004748905873</v>
      </c>
      <c r="G2288" s="4">
        <f t="shared" si="5"/>
        <v>2.813942752</v>
      </c>
      <c r="H2288" s="3">
        <f t="shared" si="6"/>
        <v>-0.0004748905873</v>
      </c>
      <c r="I2288" s="5">
        <f t="shared" si="7"/>
        <v>1.76237244</v>
      </c>
    </row>
    <row r="2289">
      <c r="A2289" s="12">
        <f>IFERROR(__xludf.DUMMYFUNCTION("""COMPUTED_VALUE"""),45588.66666666667)</f>
        <v>45588.66667</v>
      </c>
      <c r="B2289" s="13">
        <f>IFERROR(__xludf.DUMMYFUNCTION("""COMPUTED_VALUE"""),5797.42)</f>
        <v>5797.42</v>
      </c>
      <c r="C2289" s="13">
        <f t="shared" si="1"/>
        <v>5774.275</v>
      </c>
      <c r="D2289" s="13">
        <f t="shared" si="2"/>
        <v>5634.235</v>
      </c>
      <c r="E2289" s="13" t="str">
        <f t="shared" si="3"/>
        <v>LONG</v>
      </c>
      <c r="F2289" s="3">
        <f t="shared" si="4"/>
        <v>-0.009191277003</v>
      </c>
      <c r="G2289" s="4">
        <f t="shared" si="5"/>
        <v>2.788079024</v>
      </c>
      <c r="H2289" s="3">
        <f t="shared" si="6"/>
        <v>-0.009191277003</v>
      </c>
      <c r="I2289" s="5">
        <f t="shared" si="7"/>
        <v>1.746173987</v>
      </c>
    </row>
    <row r="2290">
      <c r="A2290" s="12">
        <f>IFERROR(__xludf.DUMMYFUNCTION("""COMPUTED_VALUE"""),45589.66666666667)</f>
        <v>45589.66667</v>
      </c>
      <c r="B2290" s="13">
        <f>IFERROR(__xludf.DUMMYFUNCTION("""COMPUTED_VALUE"""),5809.86)</f>
        <v>5809.86</v>
      </c>
      <c r="C2290" s="13">
        <f t="shared" si="1"/>
        <v>5800.95</v>
      </c>
      <c r="D2290" s="13">
        <f t="shared" si="2"/>
        <v>5652.69</v>
      </c>
      <c r="E2290" s="13" t="str">
        <f t="shared" si="3"/>
        <v>LONG</v>
      </c>
      <c r="F2290" s="3">
        <f t="shared" si="4"/>
        <v>0.002145782089</v>
      </c>
      <c r="G2290" s="4">
        <f t="shared" si="5"/>
        <v>2.794061634</v>
      </c>
      <c r="H2290" s="3">
        <f t="shared" si="6"/>
        <v>0.002145782089</v>
      </c>
      <c r="I2290" s="5">
        <f t="shared" si="7"/>
        <v>1.749920895</v>
      </c>
    </row>
    <row r="2291">
      <c r="A2291" s="12">
        <f>IFERROR(__xludf.DUMMYFUNCTION("""COMPUTED_VALUE"""),45590.66666666667)</f>
        <v>45590.66667</v>
      </c>
      <c r="B2291" s="13">
        <f>IFERROR(__xludf.DUMMYFUNCTION("""COMPUTED_VALUE"""),5808.12)</f>
        <v>5808.12</v>
      </c>
      <c r="C2291" s="13">
        <f t="shared" si="1"/>
        <v>5794.085</v>
      </c>
      <c r="D2291" s="13">
        <f t="shared" si="2"/>
        <v>5681.125</v>
      </c>
      <c r="E2291" s="13" t="str">
        <f t="shared" si="3"/>
        <v>LONG</v>
      </c>
      <c r="F2291" s="3">
        <f t="shared" si="4"/>
        <v>-0.0002994908655</v>
      </c>
      <c r="G2291" s="4">
        <f t="shared" si="5"/>
        <v>2.793224838</v>
      </c>
      <c r="H2291" s="3">
        <f t="shared" si="6"/>
        <v>-0.0002994908655</v>
      </c>
      <c r="I2291" s="5">
        <f t="shared" si="7"/>
        <v>1.74939681</v>
      </c>
    </row>
    <row r="2292">
      <c r="A2292" s="12">
        <f>IFERROR(__xludf.DUMMYFUNCTION("""COMPUTED_VALUE"""),45593.66666666667)</f>
        <v>45593.66667</v>
      </c>
      <c r="B2292" s="13">
        <f>IFERROR(__xludf.DUMMYFUNCTION("""COMPUTED_VALUE"""),5823.52)</f>
        <v>5823.52</v>
      </c>
      <c r="C2292" s="13">
        <f t="shared" si="1"/>
        <v>5841.685</v>
      </c>
      <c r="D2292" s="13">
        <f t="shared" si="2"/>
        <v>5709.64</v>
      </c>
      <c r="E2292" s="13" t="str">
        <f t="shared" si="3"/>
        <v>LONG</v>
      </c>
      <c r="F2292" s="3">
        <f t="shared" si="4"/>
        <v>0.002651460369</v>
      </c>
      <c r="G2292" s="4">
        <f t="shared" si="5"/>
        <v>2.800630963</v>
      </c>
      <c r="H2292" s="3">
        <f t="shared" si="6"/>
        <v>0.002651460369</v>
      </c>
      <c r="I2292" s="5">
        <f t="shared" si="7"/>
        <v>1.754035266</v>
      </c>
    </row>
    <row r="2293">
      <c r="A2293" s="12">
        <f>IFERROR(__xludf.DUMMYFUNCTION("""COMPUTED_VALUE"""),45594.66666666667)</f>
        <v>45594.66667</v>
      </c>
      <c r="B2293" s="13">
        <f>IFERROR(__xludf.DUMMYFUNCTION("""COMPUTED_VALUE"""),5832.92)</f>
        <v>5832.92</v>
      </c>
      <c r="C2293" s="13">
        <f t="shared" si="1"/>
        <v>5824.09</v>
      </c>
      <c r="D2293" s="13">
        <f t="shared" si="2"/>
        <v>5729.47</v>
      </c>
      <c r="E2293" s="13" t="str">
        <f t="shared" si="3"/>
        <v>LONG</v>
      </c>
      <c r="F2293" s="3">
        <f t="shared" si="4"/>
        <v>0.001614144023</v>
      </c>
      <c r="G2293" s="4">
        <f t="shared" si="5"/>
        <v>2.805151585</v>
      </c>
      <c r="H2293" s="3">
        <f t="shared" si="6"/>
        <v>0.001614144023</v>
      </c>
      <c r="I2293" s="5">
        <f t="shared" si="7"/>
        <v>1.756866532</v>
      </c>
    </row>
    <row r="2294">
      <c r="A2294" s="12">
        <f>IFERROR(__xludf.DUMMYFUNCTION("""COMPUTED_VALUE"""),45595.66666666667)</f>
        <v>45595.66667</v>
      </c>
      <c r="B2294" s="13">
        <f>IFERROR(__xludf.DUMMYFUNCTION("""COMPUTED_VALUE"""),5813.67)</f>
        <v>5813.67</v>
      </c>
      <c r="C2294" s="13">
        <f t="shared" si="1"/>
        <v>5828.07</v>
      </c>
      <c r="D2294" s="13">
        <f t="shared" si="2"/>
        <v>5723.38</v>
      </c>
      <c r="E2294" s="13" t="str">
        <f t="shared" si="3"/>
        <v>LONG</v>
      </c>
      <c r="F2294" s="3">
        <f t="shared" si="4"/>
        <v>-0.003300233845</v>
      </c>
      <c r="G2294" s="4">
        <f t="shared" si="5"/>
        <v>2.795893929</v>
      </c>
      <c r="H2294" s="3">
        <f t="shared" si="6"/>
        <v>-0.003300233845</v>
      </c>
      <c r="I2294" s="5">
        <f t="shared" si="7"/>
        <v>1.751068462</v>
      </c>
    </row>
    <row r="2295">
      <c r="A2295" s="12">
        <f>IFERROR(__xludf.DUMMYFUNCTION("""COMPUTED_VALUE"""),45596.66666666667)</f>
        <v>45596.66667</v>
      </c>
      <c r="B2295" s="13">
        <f>IFERROR(__xludf.DUMMYFUNCTION("""COMPUTED_VALUE"""),5705.45)</f>
        <v>5705.45</v>
      </c>
      <c r="C2295" s="13">
        <f t="shared" si="1"/>
        <v>5773.46</v>
      </c>
      <c r="D2295" s="13">
        <f t="shared" si="2"/>
        <v>5670.015</v>
      </c>
      <c r="E2295" s="13" t="str">
        <f t="shared" si="3"/>
        <v>LONG</v>
      </c>
      <c r="F2295" s="3">
        <f t="shared" si="4"/>
        <v>-0.01861474766</v>
      </c>
      <c r="G2295" s="4">
        <f t="shared" si="5"/>
        <v>2.743849069</v>
      </c>
      <c r="H2295" s="3">
        <f t="shared" si="6"/>
        <v>-0.01861474766</v>
      </c>
      <c r="I2295" s="5">
        <f t="shared" si="7"/>
        <v>1.718472764</v>
      </c>
    </row>
    <row r="2296">
      <c r="A2296" s="12">
        <f>IFERROR(__xludf.DUMMYFUNCTION("""COMPUTED_VALUE"""),45597.66666666667)</f>
        <v>45597.66667</v>
      </c>
      <c r="B2296" s="13">
        <f>IFERROR(__xludf.DUMMYFUNCTION("""COMPUTED_VALUE"""),5728.8)</f>
        <v>5728.8</v>
      </c>
      <c r="C2296" s="13">
        <f t="shared" si="1"/>
        <v>5796.735</v>
      </c>
      <c r="D2296" s="13">
        <f t="shared" si="2"/>
        <v>5673.53</v>
      </c>
      <c r="E2296" s="13" t="str">
        <f t="shared" si="3"/>
        <v>LONG</v>
      </c>
      <c r="F2296" s="3">
        <f t="shared" si="4"/>
        <v>0.004092578149</v>
      </c>
      <c r="G2296" s="4">
        <f t="shared" si="5"/>
        <v>2.755078486</v>
      </c>
      <c r="H2296" s="3">
        <f t="shared" si="6"/>
        <v>0.004092578149</v>
      </c>
      <c r="I2296" s="5">
        <f t="shared" si="7"/>
        <v>1.725505748</v>
      </c>
    </row>
    <row r="2297">
      <c r="A2297" s="12">
        <f>IFERROR(__xludf.DUMMYFUNCTION("""COMPUTED_VALUE"""),45600.66666666667)</f>
        <v>45600.66667</v>
      </c>
      <c r="B2297" s="13">
        <f>IFERROR(__xludf.DUMMYFUNCTION("""COMPUTED_VALUE"""),5712.69)</f>
        <v>5712.69</v>
      </c>
      <c r="C2297" s="13">
        <f t="shared" si="1"/>
        <v>5783.335</v>
      </c>
      <c r="D2297" s="13">
        <f t="shared" si="2"/>
        <v>5713.165</v>
      </c>
      <c r="E2297" s="13" t="str">
        <f t="shared" si="3"/>
        <v>LONG</v>
      </c>
      <c r="F2297" s="3">
        <f t="shared" si="4"/>
        <v>-0.002812107248</v>
      </c>
      <c r="G2297" s="4">
        <f t="shared" si="5"/>
        <v>2.74733091</v>
      </c>
      <c r="H2297" s="3">
        <f t="shared" si="6"/>
        <v>-0.002812107248</v>
      </c>
      <c r="I2297" s="5">
        <f t="shared" si="7"/>
        <v>1.720653441</v>
      </c>
    </row>
    <row r="2298">
      <c r="A2298" s="12">
        <f>IFERROR(__xludf.DUMMYFUNCTION("""COMPUTED_VALUE"""),45601.66666666667)</f>
        <v>45601.66667</v>
      </c>
      <c r="B2298" s="13">
        <f>IFERROR(__xludf.DUMMYFUNCTION("""COMPUTED_VALUE"""),5782.76)</f>
        <v>5782.76</v>
      </c>
      <c r="C2298" s="13">
        <f t="shared" si="1"/>
        <v>5816.98</v>
      </c>
      <c r="D2298" s="13">
        <f t="shared" si="2"/>
        <v>5742.655</v>
      </c>
      <c r="E2298" s="13" t="str">
        <f t="shared" si="3"/>
        <v>LONG</v>
      </c>
      <c r="F2298" s="3">
        <f t="shared" si="4"/>
        <v>0.01226567519</v>
      </c>
      <c r="G2298" s="4">
        <f t="shared" si="5"/>
        <v>2.781028778</v>
      </c>
      <c r="H2298" s="3">
        <f t="shared" si="6"/>
        <v>0.01226567519</v>
      </c>
      <c r="I2298" s="5">
        <f t="shared" si="7"/>
        <v>1.741758417</v>
      </c>
    </row>
    <row r="2299">
      <c r="A2299" s="12">
        <f>IFERROR(__xludf.DUMMYFUNCTION("""COMPUTED_VALUE"""),45602.66666666667)</f>
        <v>45602.66667</v>
      </c>
      <c r="B2299" s="13">
        <f>IFERROR(__xludf.DUMMYFUNCTION("""COMPUTED_VALUE"""),5929.04)</f>
        <v>5929.04</v>
      </c>
      <c r="C2299" s="13">
        <f t="shared" si="1"/>
        <v>5863.23</v>
      </c>
      <c r="D2299" s="13">
        <f t="shared" si="2"/>
        <v>5823.805</v>
      </c>
      <c r="E2299" s="13" t="str">
        <f t="shared" si="3"/>
        <v>LONG</v>
      </c>
      <c r="F2299" s="3">
        <f t="shared" si="4"/>
        <v>0.02529587948</v>
      </c>
      <c r="G2299" s="4">
        <f t="shared" si="5"/>
        <v>2.851377347</v>
      </c>
      <c r="H2299" s="3">
        <f t="shared" si="6"/>
        <v>0.02529587948</v>
      </c>
      <c r="I2299" s="5">
        <f t="shared" si="7"/>
        <v>1.785817728</v>
      </c>
    </row>
    <row r="2300">
      <c r="A2300" s="12">
        <f>IFERROR(__xludf.DUMMYFUNCTION("""COMPUTED_VALUE"""),45603.66666666667)</f>
        <v>45603.66667</v>
      </c>
      <c r="B2300" s="13">
        <f>IFERROR(__xludf.DUMMYFUNCTION("""COMPUTED_VALUE"""),5973.1)</f>
        <v>5973.1</v>
      </c>
      <c r="C2300" s="13">
        <f t="shared" si="1"/>
        <v>5891.48</v>
      </c>
      <c r="D2300" s="13">
        <f t="shared" si="2"/>
        <v>5853.015</v>
      </c>
      <c r="E2300" s="13" t="str">
        <f t="shared" si="3"/>
        <v>LONG</v>
      </c>
      <c r="F2300" s="3">
        <f t="shared" si="4"/>
        <v>0.007431219894</v>
      </c>
      <c r="G2300" s="4">
        <f t="shared" si="5"/>
        <v>2.872566559</v>
      </c>
      <c r="H2300" s="3">
        <f t="shared" si="6"/>
        <v>0.007431219894</v>
      </c>
      <c r="I2300" s="5">
        <f t="shared" si="7"/>
        <v>1.799088532</v>
      </c>
    </row>
    <row r="2301">
      <c r="A2301" s="12">
        <f>IFERROR(__xludf.DUMMYFUNCTION("""COMPUTED_VALUE"""),45604.66666666667)</f>
        <v>45604.66667</v>
      </c>
      <c r="B2301" s="13">
        <f>IFERROR(__xludf.DUMMYFUNCTION("""COMPUTED_VALUE"""),5995.54)</f>
        <v>5995.54</v>
      </c>
      <c r="C2301" s="13">
        <f t="shared" si="1"/>
        <v>5901.83</v>
      </c>
      <c r="D2301" s="13">
        <f t="shared" si="2"/>
        <v>5858.9</v>
      </c>
      <c r="E2301" s="13" t="str">
        <f t="shared" si="3"/>
        <v>LONG</v>
      </c>
      <c r="F2301" s="3">
        <f t="shared" si="4"/>
        <v>0.00375684318</v>
      </c>
      <c r="G2301" s="4">
        <f t="shared" si="5"/>
        <v>2.883358341</v>
      </c>
      <c r="H2301" s="3">
        <f t="shared" si="6"/>
        <v>0.00375684318</v>
      </c>
      <c r="I2301" s="5">
        <f t="shared" si="7"/>
        <v>1.805847426</v>
      </c>
    </row>
    <row r="2302">
      <c r="A2302" s="12">
        <f>IFERROR(__xludf.DUMMYFUNCTION("""COMPUTED_VALUE"""),45607.66666666667)</f>
        <v>45607.66667</v>
      </c>
      <c r="B2302" s="13">
        <f>IFERROR(__xludf.DUMMYFUNCTION("""COMPUTED_VALUE"""),6001.35)</f>
        <v>6001.35</v>
      </c>
      <c r="C2302" s="13">
        <f t="shared" si="1"/>
        <v>5912.435</v>
      </c>
      <c r="D2302" s="13">
        <f t="shared" si="2"/>
        <v>5873.36</v>
      </c>
      <c r="E2302" s="13" t="str">
        <f t="shared" si="3"/>
        <v>LONG</v>
      </c>
      <c r="F2302" s="3">
        <f t="shared" si="4"/>
        <v>0.0009690536632</v>
      </c>
      <c r="G2302" s="4">
        <f t="shared" si="5"/>
        <v>2.88615247</v>
      </c>
      <c r="H2302" s="3">
        <f t="shared" si="6"/>
        <v>0.0009690536632</v>
      </c>
      <c r="I2302" s="5">
        <f t="shared" si="7"/>
        <v>1.807597389</v>
      </c>
    </row>
    <row r="2303">
      <c r="A2303" s="12">
        <f>IFERROR(__xludf.DUMMYFUNCTION("""COMPUTED_VALUE"""),45608.66666666667)</f>
        <v>45608.66667</v>
      </c>
      <c r="B2303" s="13">
        <f>IFERROR(__xludf.DUMMYFUNCTION("""COMPUTED_VALUE"""),5983.99)</f>
        <v>5983.99</v>
      </c>
      <c r="C2303" s="13">
        <f t="shared" si="1"/>
        <v>5908.455</v>
      </c>
      <c r="D2303" s="13">
        <f t="shared" si="2"/>
        <v>5861.08</v>
      </c>
      <c r="E2303" s="13" t="str">
        <f t="shared" si="3"/>
        <v>LONG</v>
      </c>
      <c r="F2303" s="3">
        <f t="shared" si="4"/>
        <v>-0.00289268248</v>
      </c>
      <c r="G2303" s="4">
        <f t="shared" si="5"/>
        <v>2.877803747</v>
      </c>
      <c r="H2303" s="3">
        <f t="shared" si="6"/>
        <v>-0.00289268248</v>
      </c>
      <c r="I2303" s="5">
        <f t="shared" si="7"/>
        <v>1.802368584</v>
      </c>
    </row>
    <row r="2304">
      <c r="A2304" s="12">
        <f>IFERROR(__xludf.DUMMYFUNCTION("""COMPUTED_VALUE"""),45609.66666666667)</f>
        <v>45609.66667</v>
      </c>
      <c r="B2304" s="13">
        <f>IFERROR(__xludf.DUMMYFUNCTION("""COMPUTED_VALUE"""),5985.38)</f>
        <v>5985.38</v>
      </c>
      <c r="C2304" s="13">
        <f t="shared" si="1"/>
        <v>5899.525</v>
      </c>
      <c r="D2304" s="13">
        <f t="shared" si="2"/>
        <v>5873.93</v>
      </c>
      <c r="E2304" s="13" t="str">
        <f t="shared" si="3"/>
        <v>LONG</v>
      </c>
      <c r="F2304" s="3">
        <f t="shared" si="4"/>
        <v>0.0002322864844</v>
      </c>
      <c r="G2304" s="4">
        <f t="shared" si="5"/>
        <v>2.878472222</v>
      </c>
      <c r="H2304" s="3">
        <f t="shared" si="6"/>
        <v>0.0002322864844</v>
      </c>
      <c r="I2304" s="5">
        <f t="shared" si="7"/>
        <v>1.802787249</v>
      </c>
    </row>
    <row r="2305">
      <c r="A2305" s="12">
        <f>IFERROR(__xludf.DUMMYFUNCTION("""COMPUTED_VALUE"""),45610.66666666667)</f>
        <v>45610.66667</v>
      </c>
      <c r="B2305" s="13">
        <f>IFERROR(__xludf.DUMMYFUNCTION("""COMPUTED_VALUE"""),5949.17)</f>
        <v>5949.17</v>
      </c>
      <c r="C2305" s="13">
        <f t="shared" si="1"/>
        <v>5827.31</v>
      </c>
      <c r="D2305" s="13">
        <f t="shared" si="2"/>
        <v>5828.96</v>
      </c>
      <c r="E2305" s="13" t="str">
        <f t="shared" si="3"/>
        <v/>
      </c>
      <c r="F2305" s="3">
        <f t="shared" si="4"/>
        <v>-0.006049741203</v>
      </c>
      <c r="G2305" s="4">
        <f t="shared" si="5"/>
        <v>2.86105821</v>
      </c>
      <c r="H2305" s="5">
        <f t="shared" si="6"/>
        <v>0</v>
      </c>
      <c r="I2305" s="5">
        <f t="shared" si="7"/>
        <v>1.802787249</v>
      </c>
    </row>
    <row r="2306">
      <c r="A2306" s="12">
        <f>IFERROR(__xludf.DUMMYFUNCTION("""COMPUTED_VALUE"""),45611.66666666667)</f>
        <v>45611.66667</v>
      </c>
      <c r="B2306" s="13">
        <f>IFERROR(__xludf.DUMMYFUNCTION("""COMPUTED_VALUE"""),5870.62)</f>
        <v>5870.62</v>
      </c>
      <c r="C2306" s="13">
        <f t="shared" si="1"/>
        <v>5799.71</v>
      </c>
      <c r="D2306" s="13">
        <f t="shared" si="2"/>
        <v>5790.08</v>
      </c>
      <c r="E2306" s="13" t="str">
        <f t="shared" si="3"/>
        <v>LONG</v>
      </c>
      <c r="F2306" s="3">
        <f t="shared" si="4"/>
        <v>-0.01320352251</v>
      </c>
      <c r="G2306" s="4">
        <f t="shared" si="5"/>
        <v>2.823282164</v>
      </c>
      <c r="H2306" s="3">
        <f t="shared" si="6"/>
        <v>-0.01320352251</v>
      </c>
      <c r="I2306" s="5">
        <f t="shared" si="7"/>
        <v>1.778984107</v>
      </c>
    </row>
    <row r="2307">
      <c r="A2307" s="12">
        <f>IFERROR(__xludf.DUMMYFUNCTION("""COMPUTED_VALUE"""),45614.66666666667)</f>
        <v>45614.66667</v>
      </c>
      <c r="B2307" s="13">
        <f>IFERROR(__xludf.DUMMYFUNCTION("""COMPUTED_VALUE"""),5893.62)</f>
        <v>5893.62</v>
      </c>
      <c r="C2307" s="13">
        <f t="shared" si="1"/>
        <v>5803.155</v>
      </c>
      <c r="D2307" s="13">
        <f t="shared" si="2"/>
        <v>5796.78</v>
      </c>
      <c r="E2307" s="13" t="str">
        <f t="shared" si="3"/>
        <v>LONG</v>
      </c>
      <c r="F2307" s="3">
        <f t="shared" si="4"/>
        <v>0.003917814473</v>
      </c>
      <c r="G2307" s="4">
        <f t="shared" si="5"/>
        <v>2.834343259</v>
      </c>
      <c r="H2307" s="3">
        <f t="shared" si="6"/>
        <v>0.003917814473</v>
      </c>
      <c r="I2307" s="5">
        <f t="shared" si="7"/>
        <v>1.785953837</v>
      </c>
    </row>
    <row r="2308">
      <c r="A2308" s="12">
        <f>IFERROR(__xludf.DUMMYFUNCTION("""COMPUTED_VALUE"""),45615.66666666667)</f>
        <v>45615.66667</v>
      </c>
      <c r="B2308" s="13">
        <f>IFERROR(__xludf.DUMMYFUNCTION("""COMPUTED_VALUE"""),5916.98)</f>
        <v>5916.98</v>
      </c>
      <c r="C2308" s="13">
        <f t="shared" si="1"/>
        <v>5849.87</v>
      </c>
      <c r="D2308" s="13">
        <f t="shared" si="2"/>
        <v>5834.025</v>
      </c>
      <c r="E2308" s="13" t="str">
        <f t="shared" si="3"/>
        <v>LONG</v>
      </c>
      <c r="F2308" s="3">
        <f t="shared" si="4"/>
        <v>0.003963608105</v>
      </c>
      <c r="G2308" s="4">
        <f t="shared" si="5"/>
        <v>2.845577485</v>
      </c>
      <c r="H2308" s="3">
        <f t="shared" si="6"/>
        <v>0.003963608105</v>
      </c>
      <c r="I2308" s="5">
        <f t="shared" si="7"/>
        <v>1.793032658</v>
      </c>
    </row>
    <row r="2309">
      <c r="A2309" s="12">
        <f>IFERROR(__xludf.DUMMYFUNCTION("""COMPUTED_VALUE"""),45616.66666666667)</f>
        <v>45616.66667</v>
      </c>
      <c r="B2309" s="13">
        <f>IFERROR(__xludf.DUMMYFUNCTION("""COMPUTED_VALUE"""),5917.11)</f>
        <v>5917.11</v>
      </c>
      <c r="C2309" s="13">
        <f t="shared" si="1"/>
        <v>5923.075</v>
      </c>
      <c r="D2309" s="13">
        <f t="shared" si="2"/>
        <v>5806.525</v>
      </c>
      <c r="E2309" s="13" t="str">
        <f t="shared" si="3"/>
        <v>LONG</v>
      </c>
      <c r="F2309" s="3">
        <f t="shared" si="4"/>
        <v>0.00002197066747</v>
      </c>
      <c r="G2309" s="4">
        <f t="shared" si="5"/>
        <v>2.845640005</v>
      </c>
      <c r="H2309" s="3">
        <f t="shared" si="6"/>
        <v>0.00002197066747</v>
      </c>
      <c r="I2309" s="5">
        <f t="shared" si="7"/>
        <v>1.793072052</v>
      </c>
    </row>
    <row r="2310">
      <c r="A2310" s="12">
        <f>IFERROR(__xludf.DUMMYFUNCTION("""COMPUTED_VALUE"""),45617.66666666667)</f>
        <v>45617.66667</v>
      </c>
      <c r="B2310" s="13">
        <f>IFERROR(__xludf.DUMMYFUNCTION("""COMPUTED_VALUE"""),5948.71)</f>
        <v>5948.71</v>
      </c>
      <c r="C2310" s="13">
        <f t="shared" si="1"/>
        <v>5960.905</v>
      </c>
      <c r="D2310" s="13">
        <f t="shared" si="2"/>
        <v>5849.92</v>
      </c>
      <c r="E2310" s="13" t="str">
        <f t="shared" si="3"/>
        <v>LONG</v>
      </c>
      <c r="F2310" s="3">
        <f t="shared" si="4"/>
        <v>0.005340444913</v>
      </c>
      <c r="G2310" s="4">
        <f t="shared" si="5"/>
        <v>2.860836988</v>
      </c>
      <c r="H2310" s="3">
        <f t="shared" si="6"/>
        <v>0.005340444913</v>
      </c>
      <c r="I2310" s="5">
        <f t="shared" si="7"/>
        <v>1.802647855</v>
      </c>
    </row>
    <row r="2311">
      <c r="A2311" s="12">
        <f>IFERROR(__xludf.DUMMYFUNCTION("""COMPUTED_VALUE"""),45618.66666666667)</f>
        <v>45618.66667</v>
      </c>
      <c r="B2311" s="13">
        <f>IFERROR(__xludf.DUMMYFUNCTION("""COMPUTED_VALUE"""),5969.34)</f>
        <v>5969.34</v>
      </c>
      <c r="C2311" s="13">
        <f t="shared" si="1"/>
        <v>5982.44</v>
      </c>
      <c r="D2311" s="13">
        <f t="shared" si="2"/>
        <v>5880.69</v>
      </c>
      <c r="E2311" s="13" t="str">
        <f t="shared" si="3"/>
        <v>LONG</v>
      </c>
      <c r="F2311" s="3">
        <f t="shared" si="4"/>
        <v>0.003467978772</v>
      </c>
      <c r="G2311" s="4">
        <f t="shared" si="5"/>
        <v>2.87075831</v>
      </c>
      <c r="H2311" s="3">
        <f t="shared" si="6"/>
        <v>0.003467978772</v>
      </c>
      <c r="I2311" s="5">
        <f t="shared" si="7"/>
        <v>1.808899399</v>
      </c>
    </row>
    <row r="2312">
      <c r="A2312" s="12">
        <f>IFERROR(__xludf.DUMMYFUNCTION("""COMPUTED_VALUE"""),45621.66666666667)</f>
        <v>45621.66667</v>
      </c>
      <c r="B2312" s="13">
        <f>IFERROR(__xludf.DUMMYFUNCTION("""COMPUTED_VALUE"""),5987.37)</f>
        <v>5987.37</v>
      </c>
      <c r="C2312" s="13">
        <f t="shared" si="1"/>
        <v>5994.36</v>
      </c>
      <c r="D2312" s="13">
        <f t="shared" si="2"/>
        <v>5883.71</v>
      </c>
      <c r="E2312" s="13" t="str">
        <f t="shared" si="3"/>
        <v>LONG</v>
      </c>
      <c r="F2312" s="3">
        <f t="shared" si="4"/>
        <v>0.00302043442</v>
      </c>
      <c r="G2312" s="4">
        <f t="shared" si="5"/>
        <v>2.879429247</v>
      </c>
      <c r="H2312" s="3">
        <f t="shared" si="6"/>
        <v>0.00302043442</v>
      </c>
      <c r="I2312" s="5">
        <f t="shared" si="7"/>
        <v>1.814363061</v>
      </c>
    </row>
    <row r="2313">
      <c r="A2313" s="12">
        <f>IFERROR(__xludf.DUMMYFUNCTION("""COMPUTED_VALUE"""),45622.66666666667)</f>
        <v>45622.66667</v>
      </c>
      <c r="B2313" s="13">
        <f>IFERROR(__xludf.DUMMYFUNCTION("""COMPUTED_VALUE"""),6021.63)</f>
        <v>6021.63</v>
      </c>
      <c r="C2313" s="13">
        <f t="shared" si="1"/>
        <v>6002.81</v>
      </c>
      <c r="D2313" s="13">
        <f t="shared" si="2"/>
        <v>5940.74</v>
      </c>
      <c r="E2313" s="13" t="str">
        <f t="shared" si="3"/>
        <v>LONG</v>
      </c>
      <c r="F2313" s="3">
        <f t="shared" si="4"/>
        <v>0.005722044905</v>
      </c>
      <c r="G2313" s="4">
        <f t="shared" si="5"/>
        <v>2.895905471</v>
      </c>
      <c r="H2313" s="3">
        <f t="shared" si="6"/>
        <v>0.005722044905</v>
      </c>
      <c r="I2313" s="5">
        <f t="shared" si="7"/>
        <v>1.824744928</v>
      </c>
    </row>
    <row r="2314">
      <c r="A2314" s="12">
        <f>IFERROR(__xludf.DUMMYFUNCTION("""COMPUTED_VALUE"""),45623.66666666667)</f>
        <v>45623.66667</v>
      </c>
      <c r="B2314" s="13">
        <f>IFERROR(__xludf.DUMMYFUNCTION("""COMPUTED_VALUE"""),5998.74)</f>
        <v>5998.74</v>
      </c>
      <c r="C2314" s="13">
        <f t="shared" si="1"/>
        <v>5992.06</v>
      </c>
      <c r="D2314" s="13">
        <f t="shared" si="2"/>
        <v>5907</v>
      </c>
      <c r="E2314" s="13" t="str">
        <f t="shared" si="3"/>
        <v>LONG</v>
      </c>
      <c r="F2314" s="3">
        <f t="shared" si="4"/>
        <v>-0.003801296327</v>
      </c>
      <c r="G2314" s="4">
        <f t="shared" si="5"/>
        <v>2.884897276</v>
      </c>
      <c r="H2314" s="3">
        <f t="shared" si="6"/>
        <v>-0.003801296327</v>
      </c>
      <c r="I2314" s="5">
        <f t="shared" si="7"/>
        <v>1.817808532</v>
      </c>
    </row>
    <row r="2315">
      <c r="A2315" s="12">
        <f>IFERROR(__xludf.DUMMYFUNCTION("""COMPUTED_VALUE"""),45625.54166666667)</f>
        <v>45625.54167</v>
      </c>
      <c r="B2315" s="13">
        <f>IFERROR(__xludf.DUMMYFUNCTION("""COMPUTED_VALUE"""),6032.38)</f>
        <v>6032.38</v>
      </c>
      <c r="C2315" s="13">
        <f t="shared" si="1"/>
        <v>5990.775</v>
      </c>
      <c r="D2315" s="13">
        <f t="shared" si="2"/>
        <v>5937.425</v>
      </c>
      <c r="E2315" s="13" t="str">
        <f t="shared" si="3"/>
        <v>LONG</v>
      </c>
      <c r="F2315" s="3">
        <f t="shared" si="4"/>
        <v>0.005607844314</v>
      </c>
      <c r="G2315" s="4">
        <f t="shared" si="5"/>
        <v>2.901075331</v>
      </c>
      <c r="H2315" s="3">
        <f t="shared" si="6"/>
        <v>0.005607844314</v>
      </c>
      <c r="I2315" s="5">
        <f t="shared" si="7"/>
        <v>1.828002519</v>
      </c>
    </row>
    <row r="2316">
      <c r="A2316" s="12">
        <f>IFERROR(__xludf.DUMMYFUNCTION("""COMPUTED_VALUE"""),45628.66666666667)</f>
        <v>45628.66667</v>
      </c>
      <c r="B2316" s="13">
        <f>IFERROR(__xludf.DUMMYFUNCTION("""COMPUTED_VALUE"""),6047.15)</f>
        <v>6047.15</v>
      </c>
      <c r="C2316" s="13">
        <f t="shared" si="1"/>
        <v>5958.885</v>
      </c>
      <c r="D2316" s="13">
        <f t="shared" si="2"/>
        <v>5944.31</v>
      </c>
      <c r="E2316" s="13" t="str">
        <f t="shared" si="3"/>
        <v>LONG</v>
      </c>
      <c r="F2316" s="3">
        <f t="shared" si="4"/>
        <v>0.002448453181</v>
      </c>
      <c r="G2316" s="4">
        <f t="shared" si="5"/>
        <v>2.908178478</v>
      </c>
      <c r="H2316" s="3">
        <f t="shared" si="6"/>
        <v>0.002448453181</v>
      </c>
      <c r="I2316" s="5">
        <f t="shared" si="7"/>
        <v>1.832478298</v>
      </c>
    </row>
    <row r="2317">
      <c r="A2317" s="12">
        <f>IFERROR(__xludf.DUMMYFUNCTION("""COMPUTED_VALUE"""),45629.66666666667)</f>
        <v>45629.66667</v>
      </c>
      <c r="B2317" s="13">
        <f>IFERROR(__xludf.DUMMYFUNCTION("""COMPUTED_VALUE"""),6049.88)</f>
        <v>6049.88</v>
      </c>
      <c r="C2317" s="13">
        <f t="shared" si="1"/>
        <v>5971.75</v>
      </c>
      <c r="D2317" s="13">
        <f t="shared" si="2"/>
        <v>5957.275</v>
      </c>
      <c r="E2317" s="13" t="str">
        <f t="shared" si="3"/>
        <v>LONG</v>
      </c>
      <c r="F2317" s="3">
        <f t="shared" si="4"/>
        <v>0.0004514523371</v>
      </c>
      <c r="G2317" s="4">
        <f t="shared" si="5"/>
        <v>2.909491382</v>
      </c>
      <c r="H2317" s="3">
        <f t="shared" si="6"/>
        <v>0.0004514523371</v>
      </c>
      <c r="I2317" s="5">
        <f t="shared" si="7"/>
        <v>1.833305574</v>
      </c>
    </row>
    <row r="2318">
      <c r="A2318" s="12">
        <f>IFERROR(__xludf.DUMMYFUNCTION("""COMPUTED_VALUE"""),45630.66666666667)</f>
        <v>45630.66667</v>
      </c>
      <c r="B2318" s="13">
        <f>IFERROR(__xludf.DUMMYFUNCTION("""COMPUTED_VALUE"""),6086.49)</f>
        <v>6086.49</v>
      </c>
      <c r="C2318" s="13">
        <f t="shared" si="1"/>
        <v>6001.735</v>
      </c>
      <c r="D2318" s="13">
        <f t="shared" si="2"/>
        <v>5970.235</v>
      </c>
      <c r="E2318" s="13" t="str">
        <f t="shared" si="3"/>
        <v>LONG</v>
      </c>
      <c r="F2318" s="3">
        <f t="shared" si="4"/>
        <v>0.006051359696</v>
      </c>
      <c r="G2318" s="4">
        <f t="shared" si="5"/>
        <v>2.927097761</v>
      </c>
      <c r="H2318" s="3">
        <f t="shared" si="6"/>
        <v>0.006051359696</v>
      </c>
      <c r="I2318" s="5">
        <f t="shared" si="7"/>
        <v>1.844399566</v>
      </c>
    </row>
    <row r="2319">
      <c r="A2319" s="12">
        <f>IFERROR(__xludf.DUMMYFUNCTION("""COMPUTED_VALUE"""),45631.66666666667)</f>
        <v>45631.66667</v>
      </c>
      <c r="B2319" s="13">
        <f>IFERROR(__xludf.DUMMYFUNCTION("""COMPUTED_VALUE"""),6075.11)</f>
        <v>6075.11</v>
      </c>
      <c r="C2319" s="13">
        <f t="shared" si="1"/>
        <v>5996.11</v>
      </c>
      <c r="D2319" s="13">
        <f t="shared" si="2"/>
        <v>5963.155</v>
      </c>
      <c r="E2319" s="13" t="str">
        <f t="shared" si="3"/>
        <v>LONG</v>
      </c>
      <c r="F2319" s="3">
        <f t="shared" si="4"/>
        <v>-0.001869714729</v>
      </c>
      <c r="G2319" s="4">
        <f t="shared" si="5"/>
        <v>2.921624923</v>
      </c>
      <c r="H2319" s="3">
        <f t="shared" si="6"/>
        <v>-0.001869714729</v>
      </c>
      <c r="I2319" s="5">
        <f t="shared" si="7"/>
        <v>1.840951065</v>
      </c>
    </row>
    <row r="2320">
      <c r="A2320" s="12">
        <f>IFERROR(__xludf.DUMMYFUNCTION("""COMPUTED_VALUE"""),45632.66666666667)</f>
        <v>45632.66667</v>
      </c>
      <c r="B2320" s="13">
        <f>IFERROR(__xludf.DUMMYFUNCTION("""COMPUTED_VALUE"""),6090.27)</f>
        <v>6090.27</v>
      </c>
      <c r="C2320" s="13">
        <f t="shared" si="1"/>
        <v>6019.49</v>
      </c>
      <c r="D2320" s="13">
        <f t="shared" si="2"/>
        <v>5943.845</v>
      </c>
      <c r="E2320" s="13" t="str">
        <f t="shared" si="3"/>
        <v>LONG</v>
      </c>
      <c r="F2320" s="3">
        <f t="shared" si="4"/>
        <v>0.002495428066</v>
      </c>
      <c r="G2320" s="4">
        <f t="shared" si="5"/>
        <v>2.928915628</v>
      </c>
      <c r="H2320" s="3">
        <f t="shared" si="6"/>
        <v>0.002495428066</v>
      </c>
      <c r="I2320" s="5">
        <f t="shared" si="7"/>
        <v>1.845545026</v>
      </c>
    </row>
    <row r="2321">
      <c r="A2321" s="12">
        <f>IFERROR(__xludf.DUMMYFUNCTION("""COMPUTED_VALUE"""),45635.66666666667)</f>
        <v>45635.66667</v>
      </c>
      <c r="B2321" s="13">
        <f>IFERROR(__xludf.DUMMYFUNCTION("""COMPUTED_VALUE"""),6052.85)</f>
        <v>6052.85</v>
      </c>
      <c r="C2321" s="13">
        <f t="shared" si="1"/>
        <v>6011.095</v>
      </c>
      <c r="D2321" s="13">
        <f t="shared" si="2"/>
        <v>5931.355</v>
      </c>
      <c r="E2321" s="13" t="str">
        <f t="shared" si="3"/>
        <v>LONG</v>
      </c>
      <c r="F2321" s="3">
        <f t="shared" si="4"/>
        <v>-0.006144226775</v>
      </c>
      <c r="G2321" s="4">
        <f t="shared" si="5"/>
        <v>2.910919706</v>
      </c>
      <c r="H2321" s="3">
        <f t="shared" si="6"/>
        <v>-0.006144226775</v>
      </c>
      <c r="I2321" s="5">
        <f t="shared" si="7"/>
        <v>1.834205579</v>
      </c>
    </row>
    <row r="2322">
      <c r="A2322" s="12">
        <f>IFERROR(__xludf.DUMMYFUNCTION("""COMPUTED_VALUE"""),45636.66666666667)</f>
        <v>45636.66667</v>
      </c>
      <c r="B2322" s="13">
        <f>IFERROR(__xludf.DUMMYFUNCTION("""COMPUTED_VALUE"""),6034.91)</f>
        <v>6034.91</v>
      </c>
      <c r="C2322" s="13">
        <f t="shared" si="1"/>
        <v>6011.14</v>
      </c>
      <c r="D2322" s="13">
        <f t="shared" si="2"/>
        <v>5921.515</v>
      </c>
      <c r="E2322" s="13" t="str">
        <f t="shared" si="3"/>
        <v>LONG</v>
      </c>
      <c r="F2322" s="3">
        <f t="shared" si="4"/>
        <v>-0.002963893042</v>
      </c>
      <c r="G2322" s="4">
        <f t="shared" si="5"/>
        <v>2.902292051</v>
      </c>
      <c r="H2322" s="3">
        <f t="shared" si="6"/>
        <v>-0.002963893042</v>
      </c>
      <c r="I2322" s="5">
        <f t="shared" si="7"/>
        <v>1.82876919</v>
      </c>
    </row>
    <row r="2323">
      <c r="A2323" s="12">
        <f>IFERROR(__xludf.DUMMYFUNCTION("""COMPUTED_VALUE"""),45637.66666666667)</f>
        <v>45637.66667</v>
      </c>
      <c r="B2323" s="13">
        <f>IFERROR(__xludf.DUMMYFUNCTION("""COMPUTED_VALUE"""),6084.19)</f>
        <v>6084.19</v>
      </c>
      <c r="C2323" s="13">
        <f t="shared" si="1"/>
        <v>6052.91</v>
      </c>
      <c r="D2323" s="13">
        <f t="shared" si="2"/>
        <v>5953.855</v>
      </c>
      <c r="E2323" s="13" t="str">
        <f t="shared" si="3"/>
        <v>LONG</v>
      </c>
      <c r="F2323" s="3">
        <f t="shared" si="4"/>
        <v>0.00816582186</v>
      </c>
      <c r="G2323" s="4">
        <f t="shared" si="5"/>
        <v>2.925991651</v>
      </c>
      <c r="H2323" s="3">
        <f t="shared" si="6"/>
        <v>0.00816582186</v>
      </c>
      <c r="I2323" s="5">
        <f t="shared" si="7"/>
        <v>1.843702593</v>
      </c>
    </row>
    <row r="2324">
      <c r="A2324" s="12">
        <f>IFERROR(__xludf.DUMMYFUNCTION("""COMPUTED_VALUE"""),45638.66666666667)</f>
        <v>45638.66667</v>
      </c>
      <c r="B2324" s="13">
        <f>IFERROR(__xludf.DUMMYFUNCTION("""COMPUTED_VALUE"""),6051.25)</f>
        <v>6051.25</v>
      </c>
      <c r="C2324" s="13">
        <f t="shared" si="1"/>
        <v>6024.995</v>
      </c>
      <c r="D2324" s="13">
        <f t="shared" si="2"/>
        <v>5942.085</v>
      </c>
      <c r="E2324" s="13" t="str">
        <f t="shared" si="3"/>
        <v>LONG</v>
      </c>
      <c r="F2324" s="3">
        <f t="shared" si="4"/>
        <v>-0.005414032106</v>
      </c>
      <c r="G2324" s="4">
        <f t="shared" si="5"/>
        <v>2.910150239</v>
      </c>
      <c r="H2324" s="3">
        <f t="shared" si="6"/>
        <v>-0.005414032106</v>
      </c>
      <c r="I2324" s="5">
        <f t="shared" si="7"/>
        <v>1.833720728</v>
      </c>
    </row>
    <row r="2325">
      <c r="A2325" s="12">
        <f>IFERROR(__xludf.DUMMYFUNCTION("""COMPUTED_VALUE"""),45639.66666666667)</f>
        <v>45639.66667</v>
      </c>
      <c r="B2325" s="13">
        <f>IFERROR(__xludf.DUMMYFUNCTION("""COMPUTED_VALUE"""),6051.09)</f>
        <v>6051.09</v>
      </c>
      <c r="C2325" s="13">
        <f t="shared" si="1"/>
        <v>6041.735</v>
      </c>
      <c r="D2325" s="13">
        <f t="shared" si="2"/>
        <v>5932.38</v>
      </c>
      <c r="E2325" s="13" t="str">
        <f t="shared" si="3"/>
        <v>LONG</v>
      </c>
      <c r="F2325" s="3">
        <f t="shared" si="4"/>
        <v>-0.00002644081801</v>
      </c>
      <c r="G2325" s="4">
        <f t="shared" si="5"/>
        <v>2.910073292</v>
      </c>
      <c r="H2325" s="3">
        <f t="shared" si="6"/>
        <v>-0.00002644081801</v>
      </c>
      <c r="I2325" s="5">
        <f t="shared" si="7"/>
        <v>1.833672243</v>
      </c>
    </row>
    <row r="2326">
      <c r="A2326" s="12">
        <f>IFERROR(__xludf.DUMMYFUNCTION("""COMPUTED_VALUE"""),45642.66666666667)</f>
        <v>45642.66667</v>
      </c>
      <c r="B2326" s="13">
        <f>IFERROR(__xludf.DUMMYFUNCTION("""COMPUTED_VALUE"""),6074.08)</f>
        <v>6074.08</v>
      </c>
      <c r="C2326" s="13">
        <f t="shared" si="1"/>
        <v>6060.615</v>
      </c>
      <c r="D2326" s="13">
        <f t="shared" si="2"/>
        <v>5889.765</v>
      </c>
      <c r="E2326" s="13" t="str">
        <f t="shared" si="3"/>
        <v>LONG</v>
      </c>
      <c r="F2326" s="3">
        <f t="shared" si="4"/>
        <v>0.003799315495</v>
      </c>
      <c r="G2326" s="4">
        <f t="shared" si="5"/>
        <v>2.921129578</v>
      </c>
      <c r="H2326" s="3">
        <f t="shared" si="6"/>
        <v>0.003799315495</v>
      </c>
      <c r="I2326" s="5">
        <f t="shared" si="7"/>
        <v>1.840638942</v>
      </c>
    </row>
    <row r="2327">
      <c r="A2327" s="12">
        <f>IFERROR(__xludf.DUMMYFUNCTION("""COMPUTED_VALUE"""),45643.66666666667)</f>
        <v>45643.66667</v>
      </c>
      <c r="B2327" s="13">
        <f>IFERROR(__xludf.DUMMYFUNCTION("""COMPUTED_VALUE"""),6050.61)</f>
        <v>6050.61</v>
      </c>
      <c r="C2327" s="13">
        <f t="shared" si="1"/>
        <v>6050.245</v>
      </c>
      <c r="D2327" s="13">
        <f t="shared" si="2"/>
        <v>5889.705</v>
      </c>
      <c r="E2327" s="13" t="str">
        <f t="shared" si="3"/>
        <v>LONG</v>
      </c>
      <c r="F2327" s="3">
        <f t="shared" si="4"/>
        <v>-0.003863959645</v>
      </c>
      <c r="G2327" s="4">
        <f t="shared" si="5"/>
        <v>2.909842452</v>
      </c>
      <c r="H2327" s="3">
        <f t="shared" si="6"/>
        <v>-0.003863959645</v>
      </c>
      <c r="I2327" s="5">
        <f t="shared" si="7"/>
        <v>1.833526788</v>
      </c>
    </row>
    <row r="2328">
      <c r="A2328" s="12">
        <f>IFERROR(__xludf.DUMMYFUNCTION("""COMPUTED_VALUE"""),45644.66666666667)</f>
        <v>45644.66667</v>
      </c>
      <c r="B2328" s="13">
        <f>IFERROR(__xludf.DUMMYFUNCTION("""COMPUTED_VALUE"""),5872.16)</f>
        <v>5872.16</v>
      </c>
      <c r="C2328" s="13">
        <f t="shared" si="1"/>
        <v>5979.325</v>
      </c>
      <c r="D2328" s="13">
        <f t="shared" si="2"/>
        <v>5792.425</v>
      </c>
      <c r="E2328" s="13" t="str">
        <f t="shared" si="3"/>
        <v>LONG</v>
      </c>
      <c r="F2328" s="3">
        <f t="shared" si="4"/>
        <v>-0.0294928941</v>
      </c>
      <c r="G2328" s="4">
        <f t="shared" si="5"/>
        <v>2.824022776</v>
      </c>
      <c r="H2328" s="3">
        <f t="shared" si="6"/>
        <v>-0.0294928941</v>
      </c>
      <c r="I2328" s="5">
        <f t="shared" si="7"/>
        <v>1.779450776</v>
      </c>
    </row>
    <row r="2329">
      <c r="A2329" s="12">
        <f>IFERROR(__xludf.DUMMYFUNCTION("""COMPUTED_VALUE"""),45645.66666666667)</f>
        <v>45645.66667</v>
      </c>
      <c r="B2329" s="13">
        <f>IFERROR(__xludf.DUMMYFUNCTION("""COMPUTED_VALUE"""),5867.08)</f>
        <v>5867.08</v>
      </c>
      <c r="C2329" s="13">
        <f t="shared" si="1"/>
        <v>5971.095</v>
      </c>
      <c r="D2329" s="13">
        <f t="shared" si="2"/>
        <v>5824.92</v>
      </c>
      <c r="E2329" s="13" t="str">
        <f t="shared" si="3"/>
        <v>LONG</v>
      </c>
      <c r="F2329" s="3">
        <f t="shared" si="4"/>
        <v>-0.0008650990436</v>
      </c>
      <c r="G2329" s="4">
        <f t="shared" si="5"/>
        <v>2.821579717</v>
      </c>
      <c r="H2329" s="3">
        <f t="shared" si="6"/>
        <v>-0.0008650990436</v>
      </c>
      <c r="I2329" s="5">
        <f t="shared" si="7"/>
        <v>1.777911375</v>
      </c>
    </row>
    <row r="2330">
      <c r="A2330" s="12">
        <f>IFERROR(__xludf.DUMMYFUNCTION("""COMPUTED_VALUE"""),45646.66666666667)</f>
        <v>45646.66667</v>
      </c>
      <c r="B2330" s="13">
        <f>IFERROR(__xludf.DUMMYFUNCTION("""COMPUTED_VALUE"""),5930.85)</f>
        <v>5930.85</v>
      </c>
      <c r="C2330" s="13">
        <f t="shared" si="1"/>
        <v>6010.56</v>
      </c>
      <c r="D2330" s="13">
        <f t="shared" si="2"/>
        <v>5929.945</v>
      </c>
      <c r="E2330" s="13" t="str">
        <f t="shared" si="3"/>
        <v>LONG</v>
      </c>
      <c r="F2330" s="3">
        <f t="shared" si="4"/>
        <v>0.01086912058</v>
      </c>
      <c r="G2330" s="4">
        <f t="shared" si="5"/>
        <v>2.852247807</v>
      </c>
      <c r="H2330" s="3">
        <f t="shared" si="6"/>
        <v>0.01086912058</v>
      </c>
      <c r="I2330" s="5">
        <f t="shared" si="7"/>
        <v>1.797235708</v>
      </c>
    </row>
    <row r="2331">
      <c r="A2331" s="12">
        <f>IFERROR(__xludf.DUMMYFUNCTION("""COMPUTED_VALUE"""),45649.66666666667)</f>
        <v>45649.66667</v>
      </c>
      <c r="B2331" s="13">
        <f>IFERROR(__xludf.DUMMYFUNCTION("""COMPUTED_VALUE"""),5974.07)</f>
        <v>5974.07</v>
      </c>
      <c r="C2331" s="13">
        <f t="shared" si="1"/>
        <v>6013.46</v>
      </c>
      <c r="D2331" s="13">
        <f t="shared" si="2"/>
        <v>5973.585</v>
      </c>
      <c r="E2331" s="13" t="str">
        <f t="shared" si="3"/>
        <v>LONG</v>
      </c>
      <c r="F2331" s="3">
        <f t="shared" si="4"/>
        <v>0.007287319693</v>
      </c>
      <c r="G2331" s="4">
        <f t="shared" si="5"/>
        <v>2.873033049</v>
      </c>
      <c r="H2331" s="3">
        <f t="shared" si="6"/>
        <v>0.007287319693</v>
      </c>
      <c r="I2331" s="5">
        <f t="shared" si="7"/>
        <v>1.810332739</v>
      </c>
    </row>
    <row r="2332">
      <c r="A2332" s="12">
        <f>IFERROR(__xludf.DUMMYFUNCTION("""COMPUTED_VALUE"""),45650.54166666667)</f>
        <v>45650.54167</v>
      </c>
      <c r="B2332" s="13">
        <f>IFERROR(__xludf.DUMMYFUNCTION("""COMPUTED_VALUE"""),6040.04)</f>
        <v>6040.04</v>
      </c>
      <c r="C2332" s="13">
        <f t="shared" si="1"/>
        <v>6037.475</v>
      </c>
      <c r="D2332" s="13">
        <f t="shared" si="2"/>
        <v>6017.79</v>
      </c>
      <c r="E2332" s="13" t="str">
        <f t="shared" si="3"/>
        <v>LONG</v>
      </c>
      <c r="F2332" s="3">
        <f t="shared" si="4"/>
        <v>0.01104272297</v>
      </c>
      <c r="G2332" s="4">
        <f t="shared" si="5"/>
        <v>2.904759157</v>
      </c>
      <c r="H2332" s="3">
        <f t="shared" si="6"/>
        <v>0.01104272297</v>
      </c>
      <c r="I2332" s="5">
        <f t="shared" si="7"/>
        <v>1.830323742</v>
      </c>
    </row>
    <row r="2333">
      <c r="A2333" s="12">
        <f>IFERROR(__xludf.DUMMYFUNCTION("""COMPUTED_VALUE"""),45652.66666666667)</f>
        <v>45652.66667</v>
      </c>
      <c r="B2333" s="13">
        <f>IFERROR(__xludf.DUMMYFUNCTION("""COMPUTED_VALUE"""),6037.59)</f>
        <v>6037.59</v>
      </c>
      <c r="C2333" s="13">
        <f t="shared" si="1"/>
        <v>6060.89</v>
      </c>
      <c r="D2333" s="13">
        <f t="shared" si="2"/>
        <v>6019.47</v>
      </c>
      <c r="E2333" s="13" t="str">
        <f t="shared" si="3"/>
        <v>LONG</v>
      </c>
      <c r="F2333" s="3">
        <f t="shared" si="4"/>
        <v>-0.0004056264528</v>
      </c>
      <c r="G2333" s="4">
        <f t="shared" si="5"/>
        <v>2.90358091</v>
      </c>
      <c r="H2333" s="3">
        <f t="shared" si="6"/>
        <v>-0.0004056264528</v>
      </c>
      <c r="I2333" s="5">
        <f t="shared" si="7"/>
        <v>1.829581315</v>
      </c>
    </row>
    <row r="2334">
      <c r="A2334" s="12">
        <f>IFERROR(__xludf.DUMMYFUNCTION("""COMPUTED_VALUE"""),45653.66666666667)</f>
        <v>45653.66667</v>
      </c>
      <c r="B2334" s="13">
        <f>IFERROR(__xludf.DUMMYFUNCTION("""COMPUTED_VALUE"""),5970.84)</f>
        <v>5970.84</v>
      </c>
      <c r="C2334" s="13">
        <f t="shared" si="1"/>
        <v>6011.045</v>
      </c>
      <c r="D2334" s="13">
        <f t="shared" si="2"/>
        <v>5977.415</v>
      </c>
      <c r="E2334" s="13" t="str">
        <f t="shared" si="3"/>
        <v>LONG</v>
      </c>
      <c r="F2334" s="3">
        <f t="shared" si="4"/>
        <v>-0.01105573582</v>
      </c>
      <c r="G2334" s="4">
        <f t="shared" si="5"/>
        <v>2.871479686</v>
      </c>
      <c r="H2334" s="3">
        <f t="shared" si="6"/>
        <v>-0.01105573582</v>
      </c>
      <c r="I2334" s="5">
        <f t="shared" si="7"/>
        <v>1.809353947</v>
      </c>
    </row>
    <row r="2335">
      <c r="A2335" s="12">
        <f>IFERROR(__xludf.DUMMYFUNCTION("""COMPUTED_VALUE"""),45656.66666666667)</f>
        <v>45656.66667</v>
      </c>
      <c r="B2335" s="13">
        <f>IFERROR(__xludf.DUMMYFUNCTION("""COMPUTED_VALUE"""),5906.94)</f>
        <v>5906.94</v>
      </c>
      <c r="C2335" s="13">
        <f t="shared" si="1"/>
        <v>5979.015</v>
      </c>
      <c r="D2335" s="13">
        <f t="shared" si="2"/>
        <v>5946.16</v>
      </c>
      <c r="E2335" s="13" t="str">
        <f t="shared" si="3"/>
        <v>LONG</v>
      </c>
      <c r="F2335" s="3">
        <f t="shared" si="4"/>
        <v>-0.01070201178</v>
      </c>
      <c r="G2335" s="4">
        <f t="shared" si="5"/>
        <v>2.840749077</v>
      </c>
      <c r="H2335" s="3">
        <f t="shared" si="6"/>
        <v>-0.01070201178</v>
      </c>
      <c r="I2335" s="5">
        <f t="shared" si="7"/>
        <v>1.78999022</v>
      </c>
    </row>
    <row r="2336">
      <c r="A2336" s="12">
        <f>IFERROR(__xludf.DUMMYFUNCTION("""COMPUTED_VALUE"""),45657.66666666667)</f>
        <v>45657.66667</v>
      </c>
      <c r="B2336" s="13">
        <f>IFERROR(__xludf.DUMMYFUNCTION("""COMPUTED_VALUE"""),5881.63)</f>
        <v>5881.63</v>
      </c>
      <c r="C2336" s="13">
        <f t="shared" si="1"/>
        <v>5977.855</v>
      </c>
      <c r="D2336" s="13">
        <f t="shared" si="2"/>
        <v>5915.4</v>
      </c>
      <c r="E2336" s="13" t="str">
        <f t="shared" si="3"/>
        <v>LONG</v>
      </c>
      <c r="F2336" s="3">
        <f t="shared" si="4"/>
        <v>-0.004284790433</v>
      </c>
      <c r="G2336" s="4">
        <f t="shared" si="5"/>
        <v>2.828577062</v>
      </c>
      <c r="H2336" s="3">
        <f t="shared" si="6"/>
        <v>-0.004284790433</v>
      </c>
      <c r="I2336" s="5">
        <f t="shared" si="7"/>
        <v>1.782320487</v>
      </c>
    </row>
    <row r="2337">
      <c r="A2337" s="12">
        <f>IFERROR(__xludf.DUMMYFUNCTION("""COMPUTED_VALUE"""),45659.66666666667)</f>
        <v>45659.66667</v>
      </c>
      <c r="B2337" s="13">
        <f>IFERROR(__xludf.DUMMYFUNCTION("""COMPUTED_VALUE"""),5868.55)</f>
        <v>5868.55</v>
      </c>
      <c r="C2337" s="13">
        <f t="shared" si="1"/>
        <v>5959.58</v>
      </c>
      <c r="D2337" s="13">
        <f t="shared" si="2"/>
        <v>5869.585</v>
      </c>
      <c r="E2337" s="13" t="str">
        <f t="shared" si="3"/>
        <v>LONG</v>
      </c>
      <c r="F2337" s="3">
        <f t="shared" si="4"/>
        <v>-0.002223873314</v>
      </c>
      <c r="G2337" s="4">
        <f t="shared" si="5"/>
        <v>2.822286665</v>
      </c>
      <c r="H2337" s="3">
        <f t="shared" si="6"/>
        <v>-0.002223873314</v>
      </c>
      <c r="I2337" s="5">
        <f t="shared" si="7"/>
        <v>1.778356832</v>
      </c>
    </row>
    <row r="2338">
      <c r="A2338" s="12">
        <f>IFERROR(__xludf.DUMMYFUNCTION("""COMPUTED_VALUE"""),45660.66666666667)</f>
        <v>45660.66667</v>
      </c>
      <c r="B2338" s="13">
        <f>IFERROR(__xludf.DUMMYFUNCTION("""COMPUTED_VALUE"""),5942.47)</f>
        <v>5942.47</v>
      </c>
      <c r="C2338" s="13">
        <f t="shared" si="1"/>
        <v>5907.315</v>
      </c>
      <c r="D2338" s="13">
        <f t="shared" si="2"/>
        <v>5918.045</v>
      </c>
      <c r="E2338" s="13" t="str">
        <f t="shared" si="3"/>
        <v/>
      </c>
      <c r="F2338" s="3">
        <f t="shared" si="4"/>
        <v>0.01259595641</v>
      </c>
      <c r="G2338" s="4">
        <f t="shared" si="5"/>
        <v>2.857836065</v>
      </c>
      <c r="H2338" s="5">
        <f t="shared" si="6"/>
        <v>0</v>
      </c>
      <c r="I2338" s="5">
        <f t="shared" si="7"/>
        <v>1.778356832</v>
      </c>
    </row>
    <row r="2339">
      <c r="A2339" s="12">
        <f>IFERROR(__xludf.DUMMYFUNCTION("""COMPUTED_VALUE"""),45663.66666666667)</f>
        <v>45663.66667</v>
      </c>
      <c r="B2339" s="13">
        <f>IFERROR(__xludf.DUMMYFUNCTION("""COMPUTED_VALUE"""),5975.38)</f>
        <v>5975.38</v>
      </c>
      <c r="C2339" s="13">
        <f t="shared" si="1"/>
        <v>5921.23</v>
      </c>
      <c r="D2339" s="13">
        <f t="shared" si="2"/>
        <v>5946.18</v>
      </c>
      <c r="E2339" s="13" t="str">
        <f t="shared" si="3"/>
        <v/>
      </c>
      <c r="F2339" s="3">
        <f t="shared" si="4"/>
        <v>0.00553810116</v>
      </c>
      <c r="G2339" s="4">
        <f t="shared" si="5"/>
        <v>2.87366305</v>
      </c>
      <c r="H2339" s="5">
        <f t="shared" si="6"/>
        <v>0</v>
      </c>
      <c r="I2339" s="5">
        <f t="shared" si="7"/>
        <v>1.778356832</v>
      </c>
    </row>
    <row r="2340">
      <c r="A2340" s="12">
        <f>IFERROR(__xludf.DUMMYFUNCTION("""COMPUTED_VALUE"""),45664.66666666667)</f>
        <v>45664.66667</v>
      </c>
      <c r="B2340" s="13">
        <f>IFERROR(__xludf.DUMMYFUNCTION("""COMPUTED_VALUE"""),5909.03)</f>
        <v>5909.03</v>
      </c>
      <c r="C2340" s="13">
        <f t="shared" si="1"/>
        <v>5919.94</v>
      </c>
      <c r="D2340" s="13">
        <f t="shared" si="2"/>
        <v>5913.07</v>
      </c>
      <c r="E2340" s="13" t="str">
        <f t="shared" si="3"/>
        <v>LONG</v>
      </c>
      <c r="F2340" s="3">
        <f t="shared" si="4"/>
        <v>-0.01110389632</v>
      </c>
      <c r="G2340" s="4">
        <f t="shared" si="5"/>
        <v>2.841754194</v>
      </c>
      <c r="H2340" s="3">
        <f t="shared" si="6"/>
        <v>-0.01110389632</v>
      </c>
      <c r="I2340" s="5">
        <f t="shared" si="7"/>
        <v>1.758610142</v>
      </c>
    </row>
    <row r="2341">
      <c r="A2341" s="12">
        <f>IFERROR(__xludf.DUMMYFUNCTION("""COMPUTED_VALUE"""),45665.66666666667)</f>
        <v>45665.66667</v>
      </c>
      <c r="B2341" s="13">
        <f>IFERROR(__xludf.DUMMYFUNCTION("""COMPUTED_VALUE"""),5918.25)</f>
        <v>5918.25</v>
      </c>
      <c r="C2341" s="13">
        <f t="shared" si="1"/>
        <v>5946.16</v>
      </c>
      <c r="D2341" s="13">
        <f t="shared" si="2"/>
        <v>5933.48</v>
      </c>
      <c r="E2341" s="13" t="str">
        <f t="shared" si="3"/>
        <v>LONG</v>
      </c>
      <c r="F2341" s="3">
        <f t="shared" si="4"/>
        <v>0.001560323776</v>
      </c>
      <c r="G2341" s="4">
        <f t="shared" si="5"/>
        <v>2.84618825</v>
      </c>
      <c r="H2341" s="3">
        <f t="shared" si="6"/>
        <v>0.001560323776</v>
      </c>
      <c r="I2341" s="5">
        <f t="shared" si="7"/>
        <v>1.761354143</v>
      </c>
    </row>
    <row r="2342">
      <c r="A2342" s="12">
        <f>IFERROR(__xludf.DUMMYFUNCTION("""COMPUTED_VALUE"""),45667.66666666667)</f>
        <v>45667.66667</v>
      </c>
      <c r="B2342" s="13">
        <f>IFERROR(__xludf.DUMMYFUNCTION("""COMPUTED_VALUE"""),5827.04)</f>
        <v>5827.04</v>
      </c>
      <c r="C2342" s="13">
        <f t="shared" si="1"/>
        <v>5933.54</v>
      </c>
      <c r="D2342" s="13">
        <f t="shared" si="2"/>
        <v>5898.19</v>
      </c>
      <c r="E2342" s="13" t="str">
        <f t="shared" si="3"/>
        <v>LONG</v>
      </c>
      <c r="F2342" s="3">
        <f t="shared" si="4"/>
        <v>-0.0154116504</v>
      </c>
      <c r="G2342" s="4">
        <f t="shared" si="5"/>
        <v>2.802323792</v>
      </c>
      <c r="H2342" s="3">
        <f t="shared" si="6"/>
        <v>-0.0154116504</v>
      </c>
      <c r="I2342" s="5">
        <f t="shared" si="7"/>
        <v>1.734208769</v>
      </c>
    </row>
    <row r="2343">
      <c r="A2343" s="12">
        <f>IFERROR(__xludf.DUMMYFUNCTION("""COMPUTED_VALUE"""),45670.66666666667)</f>
        <v>45670.66667</v>
      </c>
      <c r="B2343" s="13">
        <f>IFERROR(__xludf.DUMMYFUNCTION("""COMPUTED_VALUE"""),5836.22)</f>
        <v>5836.22</v>
      </c>
      <c r="C2343" s="13">
        <f t="shared" si="1"/>
        <v>5936.905</v>
      </c>
      <c r="D2343" s="13">
        <f t="shared" si="2"/>
        <v>5911.795</v>
      </c>
      <c r="E2343" s="13" t="str">
        <f t="shared" si="3"/>
        <v>LONG</v>
      </c>
      <c r="F2343" s="3">
        <f t="shared" si="4"/>
        <v>0.001575413932</v>
      </c>
      <c r="G2343" s="4">
        <f t="shared" si="5"/>
        <v>2.806738612</v>
      </c>
      <c r="H2343" s="3">
        <f t="shared" si="6"/>
        <v>0.001575413932</v>
      </c>
      <c r="I2343" s="5">
        <f t="shared" si="7"/>
        <v>1.736940865</v>
      </c>
    </row>
    <row r="2344">
      <c r="A2344" s="12">
        <f>IFERROR(__xludf.DUMMYFUNCTION("""COMPUTED_VALUE"""),45671.66666666667)</f>
        <v>45671.66667</v>
      </c>
      <c r="B2344" s="13">
        <f>IFERROR(__xludf.DUMMYFUNCTION("""COMPUTED_VALUE"""),5842.91)</f>
        <v>5842.91</v>
      </c>
      <c r="C2344" s="13">
        <f t="shared" si="1"/>
        <v>5906.875</v>
      </c>
      <c r="D2344" s="13">
        <f t="shared" si="2"/>
        <v>5932.27</v>
      </c>
      <c r="E2344" s="13" t="str">
        <f t="shared" si="3"/>
        <v/>
      </c>
      <c r="F2344" s="3">
        <f t="shared" si="4"/>
        <v>0.001146289893</v>
      </c>
      <c r="G2344" s="4">
        <f t="shared" si="5"/>
        <v>2.809955948</v>
      </c>
      <c r="H2344" s="5">
        <f t="shared" si="6"/>
        <v>0</v>
      </c>
      <c r="I2344" s="5">
        <f t="shared" si="7"/>
        <v>1.736940865</v>
      </c>
    </row>
    <row r="2345">
      <c r="A2345" s="12">
        <f>IFERROR(__xludf.DUMMYFUNCTION("""COMPUTED_VALUE"""),45672.66666666667)</f>
        <v>45672.66667</v>
      </c>
      <c r="B2345" s="13">
        <f>IFERROR(__xludf.DUMMYFUNCTION("""COMPUTED_VALUE"""),5949.91)</f>
        <v>5949.91</v>
      </c>
      <c r="C2345" s="13">
        <f t="shared" si="1"/>
        <v>5928.425</v>
      </c>
      <c r="D2345" s="13">
        <f t="shared" si="2"/>
        <v>5974.325</v>
      </c>
      <c r="E2345" s="13" t="str">
        <f t="shared" si="3"/>
        <v/>
      </c>
      <c r="F2345" s="3">
        <f t="shared" si="4"/>
        <v>0.01831279277</v>
      </c>
      <c r="G2345" s="4">
        <f t="shared" si="5"/>
        <v>2.861414089</v>
      </c>
      <c r="H2345" s="5">
        <f t="shared" si="6"/>
        <v>0</v>
      </c>
      <c r="I2345" s="5">
        <f t="shared" si="7"/>
        <v>1.736940865</v>
      </c>
    </row>
    <row r="2346">
      <c r="A2346" s="12">
        <f>IFERROR(__xludf.DUMMYFUNCTION("""COMPUTED_VALUE"""),45673.66666666667)</f>
        <v>45673.66667</v>
      </c>
      <c r="B2346" s="13">
        <f>IFERROR(__xludf.DUMMYFUNCTION("""COMPUTED_VALUE"""),5937.34)</f>
        <v>5937.34</v>
      </c>
      <c r="C2346" s="13">
        <f t="shared" si="1"/>
        <v>5909.485</v>
      </c>
      <c r="D2346" s="13">
        <f t="shared" si="2"/>
        <v>5984.86</v>
      </c>
      <c r="E2346" s="13" t="str">
        <f t="shared" si="3"/>
        <v/>
      </c>
      <c r="F2346" s="3">
        <f t="shared" si="4"/>
        <v>-0.002112636998</v>
      </c>
      <c r="G2346" s="4">
        <f t="shared" si="5"/>
        <v>2.85536896</v>
      </c>
      <c r="H2346" s="5">
        <f t="shared" si="6"/>
        <v>0</v>
      </c>
      <c r="I2346" s="5">
        <f t="shared" si="7"/>
        <v>1.736940865</v>
      </c>
    </row>
    <row r="2347">
      <c r="A2347" s="12">
        <f>IFERROR(__xludf.DUMMYFUNCTION("""COMPUTED_VALUE"""),45674.66666666667)</f>
        <v>45674.66667</v>
      </c>
      <c r="B2347" s="13">
        <f>IFERROR(__xludf.DUMMYFUNCTION("""COMPUTED_VALUE"""),5996.66)</f>
        <v>5996.66</v>
      </c>
      <c r="C2347" s="13">
        <f t="shared" si="1"/>
        <v>5932.605</v>
      </c>
      <c r="D2347" s="13">
        <f t="shared" si="2"/>
        <v>6021.905</v>
      </c>
      <c r="E2347" s="13" t="str">
        <f t="shared" si="3"/>
        <v/>
      </c>
      <c r="F2347" s="3">
        <f t="shared" si="4"/>
        <v>0.009991006073</v>
      </c>
      <c r="G2347" s="4">
        <f t="shared" si="5"/>
        <v>2.883896968</v>
      </c>
      <c r="H2347" s="5">
        <f t="shared" si="6"/>
        <v>0</v>
      </c>
      <c r="I2347" s="5">
        <f t="shared" si="7"/>
        <v>1.736940865</v>
      </c>
    </row>
    <row r="2348">
      <c r="A2348" s="12">
        <f>IFERROR(__xludf.DUMMYFUNCTION("""COMPUTED_VALUE"""),45678.66666666667)</f>
        <v>45678.66667</v>
      </c>
      <c r="B2348" s="13">
        <f>IFERROR(__xludf.DUMMYFUNCTION("""COMPUTED_VALUE"""),6049.24)</f>
        <v>6049.24</v>
      </c>
      <c r="C2348" s="13">
        <f t="shared" si="1"/>
        <v>5995.855</v>
      </c>
      <c r="D2348" s="13">
        <f t="shared" si="2"/>
        <v>6049.56</v>
      </c>
      <c r="E2348" s="13" t="str">
        <f t="shared" si="3"/>
        <v/>
      </c>
      <c r="F2348" s="3">
        <f t="shared" si="4"/>
        <v>0.008768214306</v>
      </c>
      <c r="G2348" s="4">
        <f t="shared" si="5"/>
        <v>2.909183595</v>
      </c>
      <c r="H2348" s="5">
        <f t="shared" si="6"/>
        <v>0</v>
      </c>
      <c r="I2348" s="5">
        <f t="shared" si="7"/>
        <v>1.736940865</v>
      </c>
    </row>
    <row r="2349">
      <c r="A2349" s="12">
        <f>IFERROR(__xludf.DUMMYFUNCTION("""COMPUTED_VALUE"""),45679.66666666667)</f>
        <v>45679.66667</v>
      </c>
      <c r="B2349" s="13">
        <f>IFERROR(__xludf.DUMMYFUNCTION("""COMPUTED_VALUE"""),6086.37)</f>
        <v>6086.37</v>
      </c>
      <c r="C2349" s="13">
        <f t="shared" si="1"/>
        <v>6030.875</v>
      </c>
      <c r="D2349" s="13">
        <f t="shared" si="2"/>
        <v>6086.43</v>
      </c>
      <c r="E2349" s="13" t="str">
        <f t="shared" si="3"/>
        <v/>
      </c>
      <c r="F2349" s="3">
        <f t="shared" si="4"/>
        <v>0.006137961132</v>
      </c>
      <c r="G2349" s="4">
        <f t="shared" si="5"/>
        <v>2.927040051</v>
      </c>
      <c r="H2349" s="5">
        <f t="shared" si="6"/>
        <v>0</v>
      </c>
      <c r="I2349" s="5">
        <f t="shared" si="7"/>
        <v>1.736940865</v>
      </c>
    </row>
    <row r="2350">
      <c r="A2350" s="12">
        <f>IFERROR(__xludf.DUMMYFUNCTION("""COMPUTED_VALUE"""),45680.66666666667)</f>
        <v>45680.66667</v>
      </c>
      <c r="B2350" s="13">
        <f>IFERROR(__xludf.DUMMYFUNCTION("""COMPUTED_VALUE"""),6118.71)</f>
        <v>6118.71</v>
      </c>
      <c r="C2350" s="13">
        <f t="shared" si="1"/>
        <v>6013.87</v>
      </c>
      <c r="D2350" s="13">
        <f t="shared" si="2"/>
        <v>6096.91</v>
      </c>
      <c r="E2350" s="13" t="str">
        <f t="shared" si="3"/>
        <v/>
      </c>
      <c r="F2350" s="3">
        <f t="shared" si="4"/>
        <v>0.005313511995</v>
      </c>
      <c r="G2350" s="4">
        <f t="shared" si="5"/>
        <v>2.942592913</v>
      </c>
      <c r="H2350" s="5">
        <f t="shared" si="6"/>
        <v>0</v>
      </c>
      <c r="I2350" s="5">
        <f t="shared" si="7"/>
        <v>1.736940865</v>
      </c>
    </row>
    <row r="2351">
      <c r="A2351" s="12">
        <f>IFERROR(__xludf.DUMMYFUNCTION("""COMPUTED_VALUE"""),45681.66666666667)</f>
        <v>45681.66667</v>
      </c>
      <c r="B2351" s="13">
        <f>IFERROR(__xludf.DUMMYFUNCTION("""COMPUTED_VALUE"""),6101.24)</f>
        <v>6101.24</v>
      </c>
      <c r="C2351" s="13">
        <f t="shared" si="1"/>
        <v>6009.745</v>
      </c>
      <c r="D2351" s="13">
        <f t="shared" si="2"/>
        <v>6095.755</v>
      </c>
      <c r="E2351" s="13" t="str">
        <f t="shared" si="3"/>
        <v/>
      </c>
      <c r="F2351" s="3">
        <f t="shared" si="4"/>
        <v>-0.00285517699</v>
      </c>
      <c r="G2351" s="4">
        <f t="shared" si="5"/>
        <v>2.93419129</v>
      </c>
      <c r="H2351" s="5">
        <f t="shared" si="6"/>
        <v>0</v>
      </c>
      <c r="I2351" s="5">
        <f t="shared" si="7"/>
        <v>1.736940865</v>
      </c>
    </row>
    <row r="2352">
      <c r="A2352" s="12">
        <f>IFERROR(__xludf.DUMMYFUNCTION("""COMPUTED_VALUE"""),45684.66666666667)</f>
        <v>45684.66667</v>
      </c>
      <c r="B2352" s="13">
        <f>IFERROR(__xludf.DUMMYFUNCTION("""COMPUTED_VALUE"""),6012.28)</f>
        <v>6012.28</v>
      </c>
      <c r="C2352" s="13">
        <f t="shared" si="1"/>
        <v>5919.66</v>
      </c>
      <c r="D2352" s="13">
        <f t="shared" si="2"/>
        <v>6032.565</v>
      </c>
      <c r="E2352" s="13" t="str">
        <f t="shared" si="3"/>
        <v/>
      </c>
      <c r="F2352" s="3">
        <f t="shared" si="4"/>
        <v>-0.01458064262</v>
      </c>
      <c r="G2352" s="4">
        <f t="shared" si="5"/>
        <v>2.891408895</v>
      </c>
      <c r="H2352" s="5">
        <f t="shared" si="6"/>
        <v>0</v>
      </c>
      <c r="I2352" s="5">
        <f t="shared" si="7"/>
        <v>1.736940865</v>
      </c>
    </row>
    <row r="2353">
      <c r="A2353" s="12">
        <f>IFERROR(__xludf.DUMMYFUNCTION("""COMPUTED_VALUE"""),45685.66666666667)</f>
        <v>45685.66667</v>
      </c>
      <c r="B2353" s="13">
        <f>IFERROR(__xludf.DUMMYFUNCTION("""COMPUTED_VALUE"""),6067.7)</f>
        <v>6067.7</v>
      </c>
      <c r="C2353" s="13">
        <f t="shared" si="1"/>
        <v>5951.96</v>
      </c>
      <c r="D2353" s="13">
        <f t="shared" si="2"/>
        <v>6051.305</v>
      </c>
      <c r="E2353" s="13" t="str">
        <f t="shared" si="3"/>
        <v/>
      </c>
      <c r="F2353" s="3">
        <f t="shared" si="4"/>
        <v>0.009217800901</v>
      </c>
      <c r="G2353" s="4">
        <f t="shared" si="5"/>
        <v>2.918061327</v>
      </c>
      <c r="H2353" s="5">
        <f t="shared" si="6"/>
        <v>0</v>
      </c>
      <c r="I2353" s="5">
        <f t="shared" si="7"/>
        <v>1.736940865</v>
      </c>
    </row>
    <row r="2354">
      <c r="A2354" s="12">
        <f>IFERROR(__xludf.DUMMYFUNCTION("""COMPUTED_VALUE"""),45686.66666666667)</f>
        <v>45686.66667</v>
      </c>
      <c r="B2354" s="13">
        <f>IFERROR(__xludf.DUMMYFUNCTION("""COMPUTED_VALUE"""),6039.31)</f>
        <v>6039.31</v>
      </c>
      <c r="C2354" s="13">
        <f t="shared" si="1"/>
        <v>5941.11</v>
      </c>
      <c r="D2354" s="13">
        <f t="shared" si="2"/>
        <v>6061.75</v>
      </c>
      <c r="E2354" s="13" t="str">
        <f t="shared" si="3"/>
        <v/>
      </c>
      <c r="F2354" s="3">
        <f t="shared" si="4"/>
        <v>-0.004678873379</v>
      </c>
      <c r="G2354" s="4">
        <f t="shared" si="5"/>
        <v>2.904408087</v>
      </c>
      <c r="H2354" s="5">
        <f t="shared" si="6"/>
        <v>0</v>
      </c>
      <c r="I2354" s="5">
        <f t="shared" si="7"/>
        <v>1.736940865</v>
      </c>
    </row>
    <row r="2355">
      <c r="A2355" s="12">
        <f>IFERROR(__xludf.DUMMYFUNCTION("""COMPUTED_VALUE"""),45687.66666666667)</f>
        <v>45687.66667</v>
      </c>
      <c r="B2355" s="13">
        <f>IFERROR(__xludf.DUMMYFUNCTION("""COMPUTED_VALUE"""),6071.17)</f>
        <v>6071.17</v>
      </c>
      <c r="C2355" s="13">
        <f t="shared" si="1"/>
        <v>6010.54</v>
      </c>
      <c r="D2355" s="13">
        <f t="shared" si="2"/>
        <v>6061.21</v>
      </c>
      <c r="E2355" s="13" t="str">
        <f t="shared" si="3"/>
        <v/>
      </c>
      <c r="F2355" s="3">
        <f t="shared" si="4"/>
        <v>0.005275437095</v>
      </c>
      <c r="G2355" s="4">
        <f t="shared" si="5"/>
        <v>2.919730109</v>
      </c>
      <c r="H2355" s="5">
        <f t="shared" si="6"/>
        <v>0</v>
      </c>
      <c r="I2355" s="5">
        <f t="shared" si="7"/>
        <v>1.736940865</v>
      </c>
    </row>
    <row r="2356">
      <c r="A2356" s="12">
        <f>IFERROR(__xludf.DUMMYFUNCTION("""COMPUTED_VALUE"""),45688.66666666667)</f>
        <v>45688.66667</v>
      </c>
      <c r="B2356" s="13">
        <f>IFERROR(__xludf.DUMMYFUNCTION("""COMPUTED_VALUE"""),6040.53)</f>
        <v>6040.53</v>
      </c>
      <c r="C2356" s="13">
        <f t="shared" si="1"/>
        <v>5988.935</v>
      </c>
      <c r="D2356" s="13">
        <f t="shared" si="2"/>
        <v>6045.81</v>
      </c>
      <c r="E2356" s="13" t="str">
        <f t="shared" si="3"/>
        <v/>
      </c>
      <c r="F2356" s="3">
        <f t="shared" si="4"/>
        <v>-0.00504680317</v>
      </c>
      <c r="G2356" s="4">
        <f t="shared" si="5"/>
        <v>2.904994806</v>
      </c>
      <c r="H2356" s="5">
        <f t="shared" si="6"/>
        <v>0</v>
      </c>
      <c r="I2356" s="5">
        <f t="shared" si="7"/>
        <v>1.736940865</v>
      </c>
    </row>
    <row r="2357">
      <c r="A2357" s="12">
        <f>IFERROR(__xludf.DUMMYFUNCTION("""COMPUTED_VALUE"""),45691.66666666667)</f>
        <v>45691.66667</v>
      </c>
      <c r="B2357" s="13">
        <f>IFERROR(__xludf.DUMMYFUNCTION("""COMPUTED_VALUE"""),5994.57)</f>
        <v>5994.57</v>
      </c>
      <c r="C2357" s="13">
        <f t="shared" si="1"/>
        <v>5995.615</v>
      </c>
      <c r="D2357" s="13">
        <f t="shared" si="2"/>
        <v>6034.325</v>
      </c>
      <c r="E2357" s="13" t="str">
        <f t="shared" si="3"/>
        <v/>
      </c>
      <c r="F2357" s="3">
        <f t="shared" si="4"/>
        <v>-0.007608603881</v>
      </c>
      <c r="G2357" s="4">
        <f t="shared" si="5"/>
        <v>2.882891851</v>
      </c>
      <c r="H2357" s="5">
        <f t="shared" si="6"/>
        <v>0</v>
      </c>
      <c r="I2357" s="5">
        <f t="shared" si="7"/>
        <v>1.736940865</v>
      </c>
    </row>
    <row r="2358">
      <c r="A2358" s="12">
        <f>IFERROR(__xludf.DUMMYFUNCTION("""COMPUTED_VALUE"""),45692.66666666667)</f>
        <v>45692.66667</v>
      </c>
      <c r="B2358" s="13">
        <f>IFERROR(__xludf.DUMMYFUNCTION("""COMPUTED_VALUE"""),6037.88)</f>
        <v>6037.88</v>
      </c>
      <c r="C2358" s="13">
        <f t="shared" si="1"/>
        <v>6043.56</v>
      </c>
      <c r="D2358" s="13">
        <f t="shared" si="2"/>
        <v>6044.245</v>
      </c>
      <c r="E2358" s="13" t="str">
        <f t="shared" si="3"/>
        <v/>
      </c>
      <c r="F2358" s="3">
        <f t="shared" si="4"/>
        <v>0.007224871842</v>
      </c>
      <c r="G2358" s="4">
        <f t="shared" si="5"/>
        <v>2.903720376</v>
      </c>
      <c r="H2358" s="5">
        <f t="shared" si="6"/>
        <v>0</v>
      </c>
      <c r="I2358" s="5">
        <f t="shared" si="7"/>
        <v>1.736940865</v>
      </c>
    </row>
    <row r="2359">
      <c r="A2359" s="12">
        <f>IFERROR(__xludf.DUMMYFUNCTION("""COMPUTED_VALUE"""),45693.66666666667)</f>
        <v>45693.66667</v>
      </c>
      <c r="B2359" s="13">
        <f>IFERROR(__xludf.DUMMYFUNCTION("""COMPUTED_VALUE"""),6061.48)</f>
        <v>6061.48</v>
      </c>
      <c r="C2359" s="13">
        <f t="shared" si="1"/>
        <v>6073.925</v>
      </c>
      <c r="D2359" s="13">
        <f t="shared" si="2"/>
        <v>5966.82</v>
      </c>
      <c r="E2359" s="13" t="str">
        <f t="shared" si="3"/>
        <v>LONG</v>
      </c>
      <c r="F2359" s="3">
        <f t="shared" si="4"/>
        <v>0.003908656681</v>
      </c>
      <c r="G2359" s="4">
        <f t="shared" si="5"/>
        <v>2.915070022</v>
      </c>
      <c r="H2359" s="3">
        <f t="shared" si="6"/>
        <v>0.003908656681</v>
      </c>
      <c r="I2359" s="5">
        <f t="shared" si="7"/>
        <v>1.743729971</v>
      </c>
    </row>
    <row r="2360">
      <c r="A2360" s="12">
        <f>IFERROR(__xludf.DUMMYFUNCTION("""COMPUTED_VALUE"""),45694.66666666667)</f>
        <v>45694.66667</v>
      </c>
      <c r="B2360" s="13">
        <f>IFERROR(__xludf.DUMMYFUNCTION("""COMPUTED_VALUE"""),6083.57)</f>
        <v>6083.57</v>
      </c>
      <c r="C2360" s="13">
        <f t="shared" si="1"/>
        <v>6101.14</v>
      </c>
      <c r="D2360" s="13">
        <f t="shared" si="2"/>
        <v>5975.325</v>
      </c>
      <c r="E2360" s="13" t="str">
        <f t="shared" si="3"/>
        <v>LONG</v>
      </c>
      <c r="F2360" s="3">
        <f t="shared" si="4"/>
        <v>0.003644324488</v>
      </c>
      <c r="G2360" s="4">
        <f t="shared" si="5"/>
        <v>2.925693483</v>
      </c>
      <c r="H2360" s="3">
        <f t="shared" si="6"/>
        <v>0.003644324488</v>
      </c>
      <c r="I2360" s="5">
        <f t="shared" si="7"/>
        <v>1.750084689</v>
      </c>
    </row>
    <row r="2361">
      <c r="A2361" s="12">
        <f>IFERROR(__xludf.DUMMYFUNCTION("""COMPUTED_VALUE"""),45695.66666666667)</f>
        <v>45695.66667</v>
      </c>
      <c r="B2361" s="13">
        <f>IFERROR(__xludf.DUMMYFUNCTION("""COMPUTED_VALUE"""),6025.99)</f>
        <v>6025.99</v>
      </c>
      <c r="C2361" s="13">
        <f t="shared" si="1"/>
        <v>6063.615</v>
      </c>
      <c r="D2361" s="13">
        <f t="shared" si="2"/>
        <v>5978.42</v>
      </c>
      <c r="E2361" s="13" t="str">
        <f t="shared" si="3"/>
        <v>LONG</v>
      </c>
      <c r="F2361" s="3">
        <f t="shared" si="4"/>
        <v>-0.009464837258</v>
      </c>
      <c r="G2361" s="4">
        <f t="shared" si="5"/>
        <v>2.89800227</v>
      </c>
      <c r="H2361" s="3">
        <f t="shared" si="6"/>
        <v>-0.009464837258</v>
      </c>
      <c r="I2361" s="5">
        <f t="shared" si="7"/>
        <v>1.733520422</v>
      </c>
    </row>
    <row r="2362">
      <c r="A2362" s="12">
        <f>IFERROR(__xludf.DUMMYFUNCTION("""COMPUTED_VALUE"""),45698.66666666667)</f>
        <v>45698.66667</v>
      </c>
      <c r="B2362" s="13">
        <f>IFERROR(__xludf.DUMMYFUNCTION("""COMPUTED_VALUE"""),6066.44)</f>
        <v>6066.44</v>
      </c>
      <c r="C2362" s="13">
        <f t="shared" si="1"/>
        <v>6039.36</v>
      </c>
      <c r="D2362" s="13">
        <f t="shared" si="2"/>
        <v>6020.255</v>
      </c>
      <c r="E2362" s="13" t="str">
        <f t="shared" si="3"/>
        <v>LONG</v>
      </c>
      <c r="F2362" s="3">
        <f t="shared" si="4"/>
        <v>0.006712589964</v>
      </c>
      <c r="G2362" s="4">
        <f t="shared" si="5"/>
        <v>2.917455371</v>
      </c>
      <c r="H2362" s="3">
        <f t="shared" si="6"/>
        <v>0.006712589964</v>
      </c>
      <c r="I2362" s="5">
        <f t="shared" si="7"/>
        <v>1.745156834</v>
      </c>
    </row>
    <row r="2363">
      <c r="A2363" s="12">
        <f>IFERROR(__xludf.DUMMYFUNCTION("""COMPUTED_VALUE"""),45699.66666666667)</f>
        <v>45699.66667</v>
      </c>
      <c r="B2363" s="13">
        <f>IFERROR(__xludf.DUMMYFUNCTION("""COMPUTED_VALUE"""),6068.5)</f>
        <v>6068.5</v>
      </c>
      <c r="C2363" s="13">
        <f t="shared" si="1"/>
        <v>6068.1</v>
      </c>
      <c r="D2363" s="13">
        <f t="shared" si="2"/>
        <v>6054.27</v>
      </c>
      <c r="E2363" s="13" t="str">
        <f t="shared" si="3"/>
        <v>LONG</v>
      </c>
      <c r="F2363" s="3">
        <f t="shared" si="4"/>
        <v>0.0003395731269</v>
      </c>
      <c r="G2363" s="4">
        <f t="shared" si="5"/>
        <v>2.91844606</v>
      </c>
      <c r="H2363" s="3">
        <f t="shared" si="6"/>
        <v>0.0003395731269</v>
      </c>
      <c r="I2363" s="5">
        <f t="shared" si="7"/>
        <v>1.745749442</v>
      </c>
    </row>
    <row r="2364">
      <c r="A2364" s="12">
        <f>IFERROR(__xludf.DUMMYFUNCTION("""COMPUTED_VALUE"""),45700.66666666667)</f>
        <v>45700.66667</v>
      </c>
      <c r="B2364" s="13">
        <f>IFERROR(__xludf.DUMMYFUNCTION("""COMPUTED_VALUE"""),6051.97)</f>
        <v>6051.97</v>
      </c>
      <c r="C2364" s="13">
        <f t="shared" si="1"/>
        <v>6045.64</v>
      </c>
      <c r="D2364" s="13">
        <f t="shared" si="2"/>
        <v>6044.78</v>
      </c>
      <c r="E2364" s="13" t="str">
        <f t="shared" si="3"/>
        <v>LONG</v>
      </c>
      <c r="F2364" s="3">
        <f t="shared" si="4"/>
        <v>-0.002723902117</v>
      </c>
      <c r="G2364" s="4">
        <f t="shared" si="5"/>
        <v>2.910496499</v>
      </c>
      <c r="H2364" s="3">
        <f t="shared" si="6"/>
        <v>-0.002723902117</v>
      </c>
      <c r="I2364" s="5">
        <f t="shared" si="7"/>
        <v>1.740994192</v>
      </c>
    </row>
    <row r="2365">
      <c r="A2365" s="12">
        <f>IFERROR(__xludf.DUMMYFUNCTION("""COMPUTED_VALUE"""),45701.66666666667)</f>
        <v>45701.66667</v>
      </c>
      <c r="B2365" s="13">
        <f>IFERROR(__xludf.DUMMYFUNCTION("""COMPUTED_VALUE"""),6115.07)</f>
        <v>6115.07</v>
      </c>
      <c r="C2365" s="13">
        <f t="shared" si="1"/>
        <v>6093.12</v>
      </c>
      <c r="D2365" s="13">
        <f t="shared" si="2"/>
        <v>6042.955</v>
      </c>
      <c r="E2365" s="13" t="str">
        <f t="shared" si="3"/>
        <v>LONG</v>
      </c>
      <c r="F2365" s="3">
        <f t="shared" si="4"/>
        <v>0.01042635704</v>
      </c>
      <c r="G2365" s="4">
        <f t="shared" si="5"/>
        <v>2.940842375</v>
      </c>
      <c r="H2365" s="3">
        <f t="shared" si="6"/>
        <v>0.01042635704</v>
      </c>
      <c r="I2365" s="5">
        <f t="shared" si="7"/>
        <v>1.759146419</v>
      </c>
    </row>
    <row r="2366">
      <c r="A2366" s="12">
        <f>IFERROR(__xludf.DUMMYFUNCTION("""COMPUTED_VALUE"""),45702.66666666667)</f>
        <v>45702.66667</v>
      </c>
      <c r="B2366" s="13">
        <f>IFERROR(__xludf.DUMMYFUNCTION("""COMPUTED_VALUE"""),6114.63)</f>
        <v>6114.63</v>
      </c>
      <c r="C2366" s="13">
        <f t="shared" si="1"/>
        <v>6077.58</v>
      </c>
      <c r="D2366" s="13">
        <f t="shared" si="2"/>
        <v>6010.785</v>
      </c>
      <c r="E2366" s="13" t="str">
        <f t="shared" si="3"/>
        <v>LONG</v>
      </c>
      <c r="F2366" s="3">
        <f t="shared" si="4"/>
        <v>-0.00007195338729</v>
      </c>
      <c r="G2366" s="4">
        <f t="shared" si="5"/>
        <v>2.940630771</v>
      </c>
      <c r="H2366" s="3">
        <f t="shared" si="6"/>
        <v>-0.00007195338729</v>
      </c>
      <c r="I2366" s="5">
        <f t="shared" si="7"/>
        <v>1.759019842</v>
      </c>
    </row>
    <row r="2367">
      <c r="A2367" s="12">
        <f>IFERROR(__xludf.DUMMYFUNCTION("""COMPUTED_VALUE"""),45706.66666666667)</f>
        <v>45706.66667</v>
      </c>
      <c r="B2367" s="13">
        <f>IFERROR(__xludf.DUMMYFUNCTION("""COMPUTED_VALUE"""),6129.58)</f>
        <v>6129.58</v>
      </c>
      <c r="C2367" s="13">
        <f t="shared" si="1"/>
        <v>6062.075</v>
      </c>
      <c r="D2367" s="13">
        <f t="shared" si="2"/>
        <v>6005.605</v>
      </c>
      <c r="E2367" s="13" t="str">
        <f t="shared" si="3"/>
        <v>LONG</v>
      </c>
      <c r="F2367" s="3">
        <f t="shared" si="4"/>
        <v>0.002444955786</v>
      </c>
      <c r="G2367" s="4">
        <f t="shared" si="5"/>
        <v>2.947820483</v>
      </c>
      <c r="H2367" s="3">
        <f t="shared" si="6"/>
        <v>0.002444955786</v>
      </c>
      <c r="I2367" s="5">
        <f t="shared" si="7"/>
        <v>1.763320568</v>
      </c>
    </row>
    <row r="2368">
      <c r="A2368" s="12">
        <f>IFERROR(__xludf.DUMMYFUNCTION("""COMPUTED_VALUE"""),45707.66666666667)</f>
        <v>45707.66667</v>
      </c>
      <c r="B2368" s="13">
        <f>IFERROR(__xludf.DUMMYFUNCTION("""COMPUTED_VALUE"""),6144.15)</f>
        <v>6144.15</v>
      </c>
      <c r="C2368" s="13">
        <f t="shared" si="1"/>
        <v>6091.015</v>
      </c>
      <c r="D2368" s="13">
        <f t="shared" si="2"/>
        <v>6006.35</v>
      </c>
      <c r="E2368" s="13" t="str">
        <f t="shared" si="3"/>
        <v>LONG</v>
      </c>
      <c r="F2368" s="3">
        <f t="shared" si="4"/>
        <v>0.002376998098</v>
      </c>
      <c r="G2368" s="4">
        <f t="shared" si="5"/>
        <v>2.954827447</v>
      </c>
      <c r="H2368" s="3">
        <f t="shared" si="6"/>
        <v>0.002376998098</v>
      </c>
      <c r="I2368" s="5">
        <f t="shared" si="7"/>
        <v>1.767511977</v>
      </c>
    </row>
    <row r="2369">
      <c r="A2369" s="12">
        <f>IFERROR(__xludf.DUMMYFUNCTION("""COMPUTED_VALUE"""),45708.66666666667)</f>
        <v>45708.66667</v>
      </c>
      <c r="B2369" s="13">
        <f>IFERROR(__xludf.DUMMYFUNCTION("""COMPUTED_VALUE"""),6117.52)</f>
        <v>6117.52</v>
      </c>
      <c r="C2369" s="13">
        <f t="shared" si="1"/>
        <v>6089.5</v>
      </c>
      <c r="D2369" s="13">
        <f t="shared" si="2"/>
        <v>6029.995</v>
      </c>
      <c r="E2369" s="13" t="str">
        <f t="shared" si="3"/>
        <v>LONG</v>
      </c>
      <c r="F2369" s="3">
        <f t="shared" si="4"/>
        <v>-0.00433420408</v>
      </c>
      <c r="G2369" s="4">
        <f t="shared" si="5"/>
        <v>2.942020622</v>
      </c>
      <c r="H2369" s="3">
        <f t="shared" si="6"/>
        <v>-0.00433420408</v>
      </c>
      <c r="I2369" s="5">
        <f t="shared" si="7"/>
        <v>1.75985122</v>
      </c>
    </row>
    <row r="2370">
      <c r="A2370" s="12">
        <f>IFERROR(__xludf.DUMMYFUNCTION("""COMPUTED_VALUE"""),45709.66666666667)</f>
        <v>45709.66667</v>
      </c>
      <c r="B2370" s="13">
        <f>IFERROR(__xludf.DUMMYFUNCTION("""COMPUTED_VALUE"""),6013.13)</f>
        <v>6013.13</v>
      </c>
      <c r="C2370" s="13">
        <f t="shared" si="1"/>
        <v>6048.35</v>
      </c>
      <c r="D2370" s="13">
        <f t="shared" si="2"/>
        <v>5994.255</v>
      </c>
      <c r="E2370" s="13" t="str">
        <f t="shared" si="3"/>
        <v>LONG</v>
      </c>
      <c r="F2370" s="3">
        <f t="shared" si="4"/>
        <v>-0.01706410441</v>
      </c>
      <c r="G2370" s="4">
        <f t="shared" si="5"/>
        <v>2.891817675</v>
      </c>
      <c r="H2370" s="3">
        <f t="shared" si="6"/>
        <v>-0.01706410441</v>
      </c>
      <c r="I2370" s="5">
        <f t="shared" si="7"/>
        <v>1.729820935</v>
      </c>
    </row>
    <row r="2371">
      <c r="A2371" s="12">
        <f>IFERROR(__xludf.DUMMYFUNCTION("""COMPUTED_VALUE"""),45712.66666666667)</f>
        <v>45712.66667</v>
      </c>
      <c r="B2371" s="13">
        <f>IFERROR(__xludf.DUMMYFUNCTION("""COMPUTED_VALUE"""),5983.25)</f>
        <v>5983.25</v>
      </c>
      <c r="C2371" s="13">
        <f t="shared" si="1"/>
        <v>6004.62</v>
      </c>
      <c r="D2371" s="13">
        <f t="shared" si="2"/>
        <v>5946.14</v>
      </c>
      <c r="E2371" s="13" t="str">
        <f t="shared" si="3"/>
        <v>LONG</v>
      </c>
      <c r="F2371" s="3">
        <f t="shared" si="4"/>
        <v>-0.004969125896</v>
      </c>
      <c r="G2371" s="4">
        <f t="shared" si="5"/>
        <v>2.877447869</v>
      </c>
      <c r="H2371" s="3">
        <f t="shared" si="6"/>
        <v>-0.004969125896</v>
      </c>
      <c r="I2371" s="5">
        <f t="shared" si="7"/>
        <v>1.721225237</v>
      </c>
    </row>
    <row r="2372">
      <c r="A2372" s="12">
        <f>IFERROR(__xludf.DUMMYFUNCTION("""COMPUTED_VALUE"""),45713.66666666667)</f>
        <v>45713.66667</v>
      </c>
      <c r="B2372" s="13">
        <f>IFERROR(__xludf.DUMMYFUNCTION("""COMPUTED_VALUE"""),5955.25)</f>
        <v>5955.25</v>
      </c>
      <c r="C2372" s="13">
        <f t="shared" si="1"/>
        <v>6010.845</v>
      </c>
      <c r="D2372" s="13">
        <f t="shared" si="2"/>
        <v>5936.75</v>
      </c>
      <c r="E2372" s="13" t="str">
        <f t="shared" si="3"/>
        <v>LONG</v>
      </c>
      <c r="F2372" s="3">
        <f t="shared" si="4"/>
        <v>-0.004679730915</v>
      </c>
      <c r="G2372" s="4">
        <f t="shared" si="5"/>
        <v>2.863982187</v>
      </c>
      <c r="H2372" s="3">
        <f t="shared" si="6"/>
        <v>-0.004679730915</v>
      </c>
      <c r="I2372" s="5">
        <f t="shared" si="7"/>
        <v>1.713170366</v>
      </c>
    </row>
    <row r="2373">
      <c r="A2373" s="12">
        <f>IFERROR(__xludf.DUMMYFUNCTION("""COMPUTED_VALUE"""),45714.66666666667)</f>
        <v>45714.66667</v>
      </c>
      <c r="B2373" s="13">
        <f>IFERROR(__xludf.DUMMYFUNCTION("""COMPUTED_VALUE"""),5956.06)</f>
        <v>5956.06</v>
      </c>
      <c r="C2373" s="13">
        <f t="shared" si="1"/>
        <v>6012.28</v>
      </c>
      <c r="D2373" s="13">
        <f t="shared" si="2"/>
        <v>5891.55</v>
      </c>
      <c r="E2373" s="13" t="str">
        <f t="shared" si="3"/>
        <v>LONG</v>
      </c>
      <c r="F2373" s="3">
        <f t="shared" si="4"/>
        <v>0.000136014441</v>
      </c>
      <c r="G2373" s="4">
        <f t="shared" si="5"/>
        <v>2.86437173</v>
      </c>
      <c r="H2373" s="3">
        <f t="shared" si="6"/>
        <v>0.000136014441</v>
      </c>
      <c r="I2373" s="5">
        <f t="shared" si="7"/>
        <v>1.713403382</v>
      </c>
    </row>
    <row r="2374">
      <c r="A2374" s="12">
        <f>IFERROR(__xludf.DUMMYFUNCTION("""COMPUTED_VALUE"""),45715.66666666667)</f>
        <v>45715.66667</v>
      </c>
      <c r="B2374" s="13">
        <f>IFERROR(__xludf.DUMMYFUNCTION("""COMPUTED_VALUE"""),5861.57)</f>
        <v>5861.57</v>
      </c>
      <c r="C2374" s="13">
        <f t="shared" si="1"/>
        <v>5956.77</v>
      </c>
      <c r="D2374" s="13">
        <f t="shared" si="2"/>
        <v>5848.895</v>
      </c>
      <c r="E2374" s="13" t="str">
        <f t="shared" si="3"/>
        <v>LONG</v>
      </c>
      <c r="F2374" s="3">
        <f t="shared" si="4"/>
        <v>-0.01586451446</v>
      </c>
      <c r="G2374" s="4">
        <f t="shared" si="5"/>
        <v>2.818929863</v>
      </c>
      <c r="H2374" s="3">
        <f t="shared" si="6"/>
        <v>-0.01586451446</v>
      </c>
      <c r="I2374" s="5">
        <f t="shared" si="7"/>
        <v>1.686221069</v>
      </c>
    </row>
    <row r="2375">
      <c r="A2375" s="12">
        <f>IFERROR(__xludf.DUMMYFUNCTION("""COMPUTED_VALUE"""),45716.66666666667)</f>
        <v>45716.66667</v>
      </c>
      <c r="B2375" s="13">
        <f>IFERROR(__xludf.DUMMYFUNCTION("""COMPUTED_VALUE"""),5954.5)</f>
        <v>5954.5</v>
      </c>
      <c r="C2375" s="13">
        <f t="shared" si="1"/>
        <v>6034.785</v>
      </c>
      <c r="D2375" s="13">
        <f t="shared" si="2"/>
        <v>5898.705</v>
      </c>
      <c r="E2375" s="13" t="str">
        <f t="shared" si="3"/>
        <v>LONG</v>
      </c>
      <c r="F2375" s="3">
        <f t="shared" si="4"/>
        <v>0.01585411417</v>
      </c>
      <c r="G2375" s="4">
        <f t="shared" si="5"/>
        <v>2.863621499</v>
      </c>
      <c r="H2375" s="3">
        <f t="shared" si="6"/>
        <v>0.01585411417</v>
      </c>
      <c r="I2375" s="5">
        <f t="shared" si="7"/>
        <v>1.71295461</v>
      </c>
    </row>
    <row r="2376">
      <c r="A2376" s="12">
        <f>IFERROR(__xludf.DUMMYFUNCTION("""COMPUTED_VALUE"""),45719.66666666667)</f>
        <v>45719.66667</v>
      </c>
      <c r="B2376" s="13">
        <f>IFERROR(__xludf.DUMMYFUNCTION("""COMPUTED_VALUE"""),5849.72)</f>
        <v>5849.72</v>
      </c>
      <c r="C2376" s="13">
        <f t="shared" si="1"/>
        <v>5982.175</v>
      </c>
      <c r="D2376" s="13">
        <f t="shared" si="2"/>
        <v>5899.815</v>
      </c>
      <c r="E2376" s="13" t="str">
        <f t="shared" si="3"/>
        <v>LONG</v>
      </c>
      <c r="F2376" s="3">
        <f t="shared" si="4"/>
        <v>-0.01759677555</v>
      </c>
      <c r="G2376" s="4">
        <f t="shared" si="5"/>
        <v>2.813230994</v>
      </c>
      <c r="H2376" s="3">
        <f t="shared" si="6"/>
        <v>-0.01759677555</v>
      </c>
      <c r="I2376" s="5">
        <f t="shared" si="7"/>
        <v>1.682812133</v>
      </c>
    </row>
    <row r="2377">
      <c r="A2377" s="12">
        <f>IFERROR(__xludf.DUMMYFUNCTION("""COMPUTED_VALUE"""),45720.66666666667)</f>
        <v>45720.66667</v>
      </c>
      <c r="B2377" s="13">
        <f>IFERROR(__xludf.DUMMYFUNCTION("""COMPUTED_VALUE"""),5778.15)</f>
        <v>5778.15</v>
      </c>
      <c r="C2377" s="13">
        <f t="shared" si="1"/>
        <v>5953.865</v>
      </c>
      <c r="D2377" s="13">
        <f t="shared" si="2"/>
        <v>5857.745</v>
      </c>
      <c r="E2377" s="13" t="str">
        <f t="shared" si="3"/>
        <v>LONG</v>
      </c>
      <c r="F2377" s="3">
        <f t="shared" si="4"/>
        <v>-0.01223477363</v>
      </c>
      <c r="G2377" s="4">
        <f t="shared" si="5"/>
        <v>2.77881175</v>
      </c>
      <c r="H2377" s="3">
        <f t="shared" si="6"/>
        <v>-0.01223477363</v>
      </c>
      <c r="I2377" s="5">
        <f t="shared" si="7"/>
        <v>1.662223307</v>
      </c>
    </row>
    <row r="2378">
      <c r="A2378" s="12">
        <f>IFERROR(__xludf.DUMMYFUNCTION("""COMPUTED_VALUE"""),45721.66666666667)</f>
        <v>45721.66667</v>
      </c>
      <c r="B2378" s="13">
        <f>IFERROR(__xludf.DUMMYFUNCTION("""COMPUTED_VALUE"""),5842.63)</f>
        <v>5842.63</v>
      </c>
      <c r="C2378" s="13">
        <f t="shared" si="1"/>
        <v>5993.39</v>
      </c>
      <c r="D2378" s="13">
        <f t="shared" si="2"/>
        <v>5919.645</v>
      </c>
      <c r="E2378" s="13" t="str">
        <f t="shared" si="3"/>
        <v>LONG</v>
      </c>
      <c r="F2378" s="3">
        <f t="shared" si="4"/>
        <v>0.01115928108</v>
      </c>
      <c r="G2378" s="4">
        <f t="shared" si="5"/>
        <v>2.809821291</v>
      </c>
      <c r="H2378" s="3">
        <f t="shared" si="6"/>
        <v>0.01115928108</v>
      </c>
      <c r="I2378" s="5">
        <f t="shared" si="7"/>
        <v>1.680772524</v>
      </c>
    </row>
    <row r="2379">
      <c r="A2379" s="12">
        <f>IFERROR(__xludf.DUMMYFUNCTION("""COMPUTED_VALUE"""),45722.66666666667)</f>
        <v>45722.66667</v>
      </c>
      <c r="B2379" s="13">
        <f>IFERROR(__xludf.DUMMYFUNCTION("""COMPUTED_VALUE"""),5738.52)</f>
        <v>5738.52</v>
      </c>
      <c r="C2379" s="13">
        <f t="shared" si="1"/>
        <v>5928.02</v>
      </c>
      <c r="D2379" s="13">
        <f t="shared" si="2"/>
        <v>5893.88</v>
      </c>
      <c r="E2379" s="13" t="str">
        <f t="shared" si="3"/>
        <v>LONG</v>
      </c>
      <c r="F2379" s="3">
        <f t="shared" si="4"/>
        <v>-0.01781903013</v>
      </c>
      <c r="G2379" s="4">
        <f t="shared" si="5"/>
        <v>2.759753001</v>
      </c>
      <c r="H2379" s="3">
        <f t="shared" si="6"/>
        <v>-0.01781903013</v>
      </c>
      <c r="I2379" s="5">
        <f t="shared" si="7"/>
        <v>1.650822788</v>
      </c>
    </row>
    <row r="2380">
      <c r="A2380" s="12">
        <f>IFERROR(__xludf.DUMMYFUNCTION("""COMPUTED_VALUE"""),45723.66666666667)</f>
        <v>45723.66667</v>
      </c>
      <c r="B2380" s="13">
        <f>IFERROR(__xludf.DUMMYFUNCTION("""COMPUTED_VALUE"""),5770.2)</f>
        <v>5770.2</v>
      </c>
      <c r="C2380" s="13">
        <f t="shared" si="1"/>
        <v>5891.665</v>
      </c>
      <c r="D2380" s="13">
        <f t="shared" si="2"/>
        <v>5928.285</v>
      </c>
      <c r="E2380" s="13" t="str">
        <f t="shared" si="3"/>
        <v/>
      </c>
      <c r="F2380" s="3">
        <f t="shared" si="4"/>
        <v>0.00552058719</v>
      </c>
      <c r="G2380" s="4">
        <f t="shared" si="5"/>
        <v>2.774988458</v>
      </c>
      <c r="H2380" s="5">
        <f t="shared" si="6"/>
        <v>0</v>
      </c>
      <c r="I2380" s="5">
        <f t="shared" si="7"/>
        <v>1.650822788</v>
      </c>
    </row>
    <row r="2381">
      <c r="A2381" s="12">
        <f>IFERROR(__xludf.DUMMYFUNCTION("""COMPUTED_VALUE"""),45726.66666666667)</f>
        <v>45726.66667</v>
      </c>
      <c r="B2381" s="13">
        <f>IFERROR(__xludf.DUMMYFUNCTION("""COMPUTED_VALUE"""),5614.56)</f>
        <v>5614.56</v>
      </c>
      <c r="C2381" s="13">
        <f t="shared" si="1"/>
        <v>5798.905</v>
      </c>
      <c r="D2381" s="13">
        <f t="shared" si="2"/>
        <v>5866.635</v>
      </c>
      <c r="E2381" s="13" t="str">
        <f t="shared" si="3"/>
        <v/>
      </c>
      <c r="F2381" s="3">
        <f t="shared" si="4"/>
        <v>-0.02697306852</v>
      </c>
      <c r="G2381" s="4">
        <f t="shared" si="5"/>
        <v>2.700138504</v>
      </c>
      <c r="H2381" s="5">
        <f t="shared" si="6"/>
        <v>0</v>
      </c>
      <c r="I2381" s="5">
        <f t="shared" si="7"/>
        <v>1.650822788</v>
      </c>
    </row>
    <row r="2382">
      <c r="A2382" s="12">
        <f>IFERROR(__xludf.DUMMYFUNCTION("""COMPUTED_VALUE"""),45727.66666666667)</f>
        <v>45727.66667</v>
      </c>
      <c r="B2382" s="13">
        <f>IFERROR(__xludf.DUMMYFUNCTION("""COMPUTED_VALUE"""),5572.07)</f>
        <v>5572.07</v>
      </c>
      <c r="C2382" s="13">
        <f t="shared" si="1"/>
        <v>5763.66</v>
      </c>
      <c r="D2382" s="13">
        <f t="shared" si="2"/>
        <v>5836.655</v>
      </c>
      <c r="E2382" s="13" t="str">
        <f t="shared" si="3"/>
        <v/>
      </c>
      <c r="F2382" s="3">
        <f t="shared" si="4"/>
        <v>-0.007567823658</v>
      </c>
      <c r="G2382" s="4">
        <f t="shared" si="5"/>
        <v>2.679704332</v>
      </c>
      <c r="H2382" s="5">
        <f t="shared" si="6"/>
        <v>0</v>
      </c>
      <c r="I2382" s="5">
        <f t="shared" si="7"/>
        <v>1.650822788</v>
      </c>
    </row>
    <row r="2383">
      <c r="A2383" s="12">
        <f>IFERROR(__xludf.DUMMYFUNCTION("""COMPUTED_VALUE"""),45728.66666666667)</f>
        <v>45728.66667</v>
      </c>
      <c r="B2383" s="13">
        <f>IFERROR(__xludf.DUMMYFUNCTION("""COMPUTED_VALUE"""),5599.3)</f>
        <v>5599.3</v>
      </c>
      <c r="C2383" s="13">
        <f t="shared" si="1"/>
        <v>5777.68</v>
      </c>
      <c r="D2383" s="13">
        <f t="shared" si="2"/>
        <v>5805.79</v>
      </c>
      <c r="E2383" s="13" t="str">
        <f t="shared" si="3"/>
        <v/>
      </c>
      <c r="F2383" s="3">
        <f t="shared" si="4"/>
        <v>0.00488687328</v>
      </c>
      <c r="G2383" s="4">
        <f t="shared" si="5"/>
        <v>2.692799708</v>
      </c>
      <c r="H2383" s="5">
        <f t="shared" si="6"/>
        <v>0</v>
      </c>
      <c r="I2383" s="5">
        <f t="shared" si="7"/>
        <v>1.650822788</v>
      </c>
    </row>
    <row r="2384">
      <c r="A2384" s="12">
        <f>IFERROR(__xludf.DUMMYFUNCTION("""COMPUTED_VALUE"""),45729.66666666667)</f>
        <v>45729.66667</v>
      </c>
      <c r="B2384" s="13">
        <f>IFERROR(__xludf.DUMMYFUNCTION("""COMPUTED_VALUE"""),5521.52)</f>
        <v>5521.52</v>
      </c>
      <c r="C2384" s="13">
        <f t="shared" si="1"/>
        <v>5691.545</v>
      </c>
      <c r="D2384" s="13">
        <f t="shared" si="2"/>
        <v>5794.61</v>
      </c>
      <c r="E2384" s="13" t="str">
        <f t="shared" si="3"/>
        <v/>
      </c>
      <c r="F2384" s="3">
        <f t="shared" si="4"/>
        <v>-0.01389102209</v>
      </c>
      <c r="G2384" s="4">
        <f t="shared" si="5"/>
        <v>2.655393967</v>
      </c>
      <c r="H2384" s="5">
        <f t="shared" si="6"/>
        <v>0</v>
      </c>
      <c r="I2384" s="5">
        <f t="shared" si="7"/>
        <v>1.650822788</v>
      </c>
    </row>
    <row r="2385">
      <c r="A2385" s="12">
        <f>IFERROR(__xludf.DUMMYFUNCTION("""COMPUTED_VALUE"""),45730.66666666667)</f>
        <v>45730.66667</v>
      </c>
      <c r="B2385" s="13">
        <f>IFERROR(__xludf.DUMMYFUNCTION("""COMPUTED_VALUE"""),5638.94)</f>
        <v>5638.94</v>
      </c>
      <c r="C2385" s="13">
        <f t="shared" si="1"/>
        <v>5796.72</v>
      </c>
      <c r="D2385" s="13">
        <f t="shared" si="2"/>
        <v>5839.125</v>
      </c>
      <c r="E2385" s="13" t="str">
        <f t="shared" si="3"/>
        <v/>
      </c>
      <c r="F2385" s="3">
        <f t="shared" si="4"/>
        <v>0.02126588331</v>
      </c>
      <c r="G2385" s="4">
        <f t="shared" si="5"/>
        <v>2.711863266</v>
      </c>
      <c r="H2385" s="5">
        <f t="shared" si="6"/>
        <v>0</v>
      </c>
      <c r="I2385" s="5">
        <f t="shared" si="7"/>
        <v>1.650822788</v>
      </c>
    </row>
    <row r="2386">
      <c r="A2386" s="12">
        <f>IFERROR(__xludf.DUMMYFUNCTION("""COMPUTED_VALUE"""),45733.66666666667)</f>
        <v>45733.66667</v>
      </c>
      <c r="B2386" s="13">
        <f>IFERROR(__xludf.DUMMYFUNCTION("""COMPUTED_VALUE"""),5675.12)</f>
        <v>5675.12</v>
      </c>
      <c r="C2386" s="13">
        <f t="shared" si="1"/>
        <v>5762.42</v>
      </c>
      <c r="D2386" s="13">
        <f t="shared" si="2"/>
        <v>5873.145</v>
      </c>
      <c r="E2386" s="13" t="str">
        <f t="shared" si="3"/>
        <v/>
      </c>
      <c r="F2386" s="3">
        <f t="shared" si="4"/>
        <v>0.00641609948</v>
      </c>
      <c r="G2386" s="4">
        <f t="shared" si="5"/>
        <v>2.72926285</v>
      </c>
      <c r="H2386" s="5">
        <f t="shared" si="6"/>
        <v>0</v>
      </c>
      <c r="I2386" s="5">
        <f t="shared" si="7"/>
        <v>1.650822788</v>
      </c>
    </row>
    <row r="2387">
      <c r="A2387" s="12">
        <f>IFERROR(__xludf.DUMMYFUNCTION("""COMPUTED_VALUE"""),45734.66666666667)</f>
        <v>45734.66667</v>
      </c>
      <c r="B2387" s="13">
        <f>IFERROR(__xludf.DUMMYFUNCTION("""COMPUTED_VALUE"""),5614.66)</f>
        <v>5614.66</v>
      </c>
      <c r="C2387" s="13">
        <f t="shared" si="1"/>
        <v>5696.405</v>
      </c>
      <c r="D2387" s="13">
        <f t="shared" si="2"/>
        <v>5827.595</v>
      </c>
      <c r="E2387" s="13" t="str">
        <f t="shared" si="3"/>
        <v/>
      </c>
      <c r="F2387" s="3">
        <f t="shared" si="4"/>
        <v>-0.01065351922</v>
      </c>
      <c r="G2387" s="4">
        <f t="shared" si="5"/>
        <v>2.700186596</v>
      </c>
      <c r="H2387" s="5">
        <f t="shared" si="6"/>
        <v>0</v>
      </c>
      <c r="I2387" s="5">
        <f t="shared" si="7"/>
        <v>1.650822788</v>
      </c>
    </row>
    <row r="2388">
      <c r="A2388" s="12">
        <f>IFERROR(__xludf.DUMMYFUNCTION("""COMPUTED_VALUE"""),45735.66666666667)</f>
        <v>45735.66667</v>
      </c>
      <c r="B2388" s="13">
        <f>IFERROR(__xludf.DUMMYFUNCTION("""COMPUTED_VALUE"""),5675.29)</f>
        <v>5675.29</v>
      </c>
      <c r="C2388" s="13">
        <f t="shared" si="1"/>
        <v>5758.96</v>
      </c>
      <c r="D2388" s="13">
        <f t="shared" si="2"/>
        <v>5834.93</v>
      </c>
      <c r="E2388" s="13" t="str">
        <f t="shared" si="3"/>
        <v/>
      </c>
      <c r="F2388" s="3">
        <f t="shared" si="4"/>
        <v>0.01079851674</v>
      </c>
      <c r="G2388" s="4">
        <f t="shared" si="5"/>
        <v>2.729344606</v>
      </c>
      <c r="H2388" s="5">
        <f t="shared" si="6"/>
        <v>0</v>
      </c>
      <c r="I2388" s="5">
        <f t="shared" si="7"/>
        <v>1.650822788</v>
      </c>
    </row>
    <row r="2389">
      <c r="A2389" s="12">
        <f>IFERROR(__xludf.DUMMYFUNCTION("""COMPUTED_VALUE"""),45736.66666666667)</f>
        <v>45736.66667</v>
      </c>
      <c r="B2389" s="13">
        <f>IFERROR(__xludf.DUMMYFUNCTION("""COMPUTED_VALUE"""),5662.89)</f>
        <v>5662.89</v>
      </c>
      <c r="C2389" s="13">
        <f t="shared" si="1"/>
        <v>5700.705</v>
      </c>
      <c r="D2389" s="13">
        <f t="shared" si="2"/>
        <v>5850.385</v>
      </c>
      <c r="E2389" s="13" t="str">
        <f t="shared" si="3"/>
        <v/>
      </c>
      <c r="F2389" s="3">
        <f t="shared" si="4"/>
        <v>-0.002184910375</v>
      </c>
      <c r="G2389" s="4">
        <f t="shared" si="5"/>
        <v>2.723381233</v>
      </c>
      <c r="H2389" s="5">
        <f t="shared" si="6"/>
        <v>0</v>
      </c>
      <c r="I2389" s="5">
        <f t="shared" si="7"/>
        <v>1.650822788</v>
      </c>
    </row>
    <row r="2390">
      <c r="A2390" s="12">
        <f>IFERROR(__xludf.DUMMYFUNCTION("""COMPUTED_VALUE"""),45737.66666666667)</f>
        <v>45737.66667</v>
      </c>
      <c r="B2390" s="13">
        <f>IFERROR(__xludf.DUMMYFUNCTION("""COMPUTED_VALUE"""),5667.56)</f>
        <v>5667.56</v>
      </c>
      <c r="C2390" s="13">
        <f t="shared" si="1"/>
        <v>5718.88</v>
      </c>
      <c r="D2390" s="13">
        <f t="shared" si="2"/>
        <v>5864.52</v>
      </c>
      <c r="E2390" s="13" t="str">
        <f t="shared" si="3"/>
        <v/>
      </c>
      <c r="F2390" s="3">
        <f t="shared" si="4"/>
        <v>0.0008246672635</v>
      </c>
      <c r="G2390" s="4">
        <f t="shared" si="5"/>
        <v>2.725627116</v>
      </c>
      <c r="H2390" s="5">
        <f t="shared" si="6"/>
        <v>0</v>
      </c>
      <c r="I2390" s="5">
        <f t="shared" si="7"/>
        <v>1.650822788</v>
      </c>
    </row>
    <row r="2391">
      <c r="A2391" s="12">
        <f>IFERROR(__xludf.DUMMYFUNCTION("""COMPUTED_VALUE"""),45740.66666666667)</f>
        <v>45740.66667</v>
      </c>
      <c r="B2391" s="13">
        <f>IFERROR(__xludf.DUMMYFUNCTION("""COMPUTED_VALUE"""),5767.57)</f>
        <v>5767.57</v>
      </c>
      <c r="C2391" s="13">
        <f t="shared" si="1"/>
        <v>5691.065</v>
      </c>
      <c r="D2391" s="13">
        <f t="shared" si="2"/>
        <v>5925.57</v>
      </c>
      <c r="E2391" s="13" t="str">
        <f t="shared" si="3"/>
        <v/>
      </c>
      <c r="F2391" s="3">
        <f t="shared" si="4"/>
        <v>0.01764604168</v>
      </c>
      <c r="G2391" s="4">
        <f t="shared" si="5"/>
        <v>2.773723646</v>
      </c>
      <c r="H2391" s="5">
        <f t="shared" si="6"/>
        <v>0</v>
      </c>
      <c r="I2391" s="5">
        <f t="shared" si="7"/>
        <v>1.650822788</v>
      </c>
    </row>
    <row r="2392">
      <c r="A2392" s="12">
        <f>IFERROR(__xludf.DUMMYFUNCTION("""COMPUTED_VALUE"""),45741.66666666667)</f>
        <v>45741.66667</v>
      </c>
      <c r="B2392" s="13">
        <f>IFERROR(__xludf.DUMMYFUNCTION("""COMPUTED_VALUE"""),5776.65)</f>
        <v>5776.65</v>
      </c>
      <c r="C2392" s="13">
        <f t="shared" si="1"/>
        <v>5674.36</v>
      </c>
      <c r="D2392" s="13">
        <f t="shared" si="2"/>
        <v>5901.32</v>
      </c>
      <c r="E2392" s="13" t="str">
        <f t="shared" si="3"/>
        <v/>
      </c>
      <c r="F2392" s="3">
        <f t="shared" si="4"/>
        <v>0.001574319861</v>
      </c>
      <c r="G2392" s="4">
        <f t="shared" si="5"/>
        <v>2.778090374</v>
      </c>
      <c r="H2392" s="5">
        <f t="shared" si="6"/>
        <v>0</v>
      </c>
      <c r="I2392" s="5">
        <f t="shared" si="7"/>
        <v>1.650822788</v>
      </c>
    </row>
    <row r="2393">
      <c r="A2393" s="12">
        <f>IFERROR(__xludf.DUMMYFUNCTION("""COMPUTED_VALUE"""),45742.66666666667)</f>
        <v>45742.66667</v>
      </c>
      <c r="B2393" s="13">
        <f>IFERROR(__xludf.DUMMYFUNCTION("""COMPUTED_VALUE"""),5712.2)</f>
        <v>5712.2</v>
      </c>
      <c r="C2393" s="13">
        <f t="shared" si="1"/>
        <v>5655.75</v>
      </c>
      <c r="D2393" s="13">
        <f t="shared" si="2"/>
        <v>5889.32</v>
      </c>
      <c r="E2393" s="13" t="str">
        <f t="shared" si="3"/>
        <v/>
      </c>
      <c r="F2393" s="3">
        <f t="shared" si="4"/>
        <v>-0.01115698545</v>
      </c>
      <c r="G2393" s="4">
        <f t="shared" si="5"/>
        <v>2.74709526</v>
      </c>
      <c r="H2393" s="5">
        <f t="shared" si="6"/>
        <v>0</v>
      </c>
      <c r="I2393" s="5">
        <f t="shared" si="7"/>
        <v>1.650822788</v>
      </c>
    </row>
    <row r="2394">
      <c r="A2394" s="12">
        <f>IFERROR(__xludf.DUMMYFUNCTION("""COMPUTED_VALUE"""),45743.66666666667)</f>
        <v>45743.66667</v>
      </c>
      <c r="B2394" s="13">
        <f>IFERROR(__xludf.DUMMYFUNCTION("""COMPUTED_VALUE"""),5693.31)</f>
        <v>5693.31</v>
      </c>
      <c r="C2394" s="13">
        <f t="shared" si="1"/>
        <v>5607.415</v>
      </c>
      <c r="D2394" s="13">
        <f t="shared" si="2"/>
        <v>5880.905</v>
      </c>
      <c r="E2394" s="13" t="str">
        <f t="shared" si="3"/>
        <v/>
      </c>
      <c r="F2394" s="3">
        <f t="shared" si="4"/>
        <v>-0.003306957039</v>
      </c>
      <c r="G2394" s="4">
        <f t="shared" si="5"/>
        <v>2.738010734</v>
      </c>
      <c r="H2394" s="5">
        <f t="shared" si="6"/>
        <v>0</v>
      </c>
      <c r="I2394" s="5">
        <f t="shared" si="7"/>
        <v>1.650822788</v>
      </c>
    </row>
    <row r="2395">
      <c r="A2395" s="12">
        <f>IFERROR(__xludf.DUMMYFUNCTION("""COMPUTED_VALUE"""),45744.66666666667)</f>
        <v>45744.66667</v>
      </c>
      <c r="B2395" s="13">
        <f>IFERROR(__xludf.DUMMYFUNCTION("""COMPUTED_VALUE"""),5580.94)</f>
        <v>5580.94</v>
      </c>
      <c r="C2395" s="13">
        <f t="shared" si="1"/>
        <v>5609.94</v>
      </c>
      <c r="D2395" s="13">
        <f t="shared" si="2"/>
        <v>5816.455</v>
      </c>
      <c r="E2395" s="13" t="str">
        <f t="shared" si="3"/>
        <v/>
      </c>
      <c r="F2395" s="3">
        <f t="shared" si="4"/>
        <v>-0.01973720033</v>
      </c>
      <c r="G2395" s="4">
        <f t="shared" si="5"/>
        <v>2.683970068</v>
      </c>
      <c r="H2395" s="5">
        <f t="shared" si="6"/>
        <v>0</v>
      </c>
      <c r="I2395" s="5">
        <f t="shared" si="7"/>
        <v>1.650822788</v>
      </c>
    </row>
    <row r="2396">
      <c r="A2396" s="12">
        <f>IFERROR(__xludf.DUMMYFUNCTION("""COMPUTED_VALUE"""),45747.66666666667)</f>
        <v>45747.66667</v>
      </c>
      <c r="B2396" s="13">
        <f>IFERROR(__xludf.DUMMYFUNCTION("""COMPUTED_VALUE"""),5611.85)</f>
        <v>5611.85</v>
      </c>
      <c r="C2396" s="13">
        <f t="shared" si="1"/>
        <v>5643.485</v>
      </c>
      <c r="D2396" s="13">
        <f t="shared" si="2"/>
        <v>5863.46</v>
      </c>
      <c r="E2396" s="13" t="str">
        <f t="shared" si="3"/>
        <v/>
      </c>
      <c r="F2396" s="3">
        <f t="shared" si="4"/>
        <v>0.005538493515</v>
      </c>
      <c r="G2396" s="4">
        <f t="shared" si="5"/>
        <v>2.698835219</v>
      </c>
      <c r="H2396" s="5">
        <f t="shared" si="6"/>
        <v>0</v>
      </c>
      <c r="I2396" s="5">
        <f t="shared" si="7"/>
        <v>1.650822788</v>
      </c>
    </row>
    <row r="2397">
      <c r="A2397" s="12">
        <f>IFERROR(__xludf.DUMMYFUNCTION("""COMPUTED_VALUE"""),45748.66666666667)</f>
        <v>45748.66667</v>
      </c>
      <c r="B2397" s="13">
        <f>IFERROR(__xludf.DUMMYFUNCTION("""COMPUTED_VALUE"""),5633.07)</f>
        <v>5633.07</v>
      </c>
      <c r="C2397" s="13">
        <f t="shared" si="1"/>
        <v>5623.865</v>
      </c>
      <c r="D2397" s="13">
        <f t="shared" si="2"/>
        <v>5873.85</v>
      </c>
      <c r="E2397" s="13" t="str">
        <f t="shared" si="3"/>
        <v/>
      </c>
      <c r="F2397" s="3">
        <f t="shared" si="4"/>
        <v>0.003781284247</v>
      </c>
      <c r="G2397" s="4">
        <f t="shared" si="5"/>
        <v>2.709040282</v>
      </c>
      <c r="H2397" s="5">
        <f t="shared" si="6"/>
        <v>0</v>
      </c>
      <c r="I2397" s="5">
        <f t="shared" si="7"/>
        <v>1.650822788</v>
      </c>
    </row>
    <row r="2398">
      <c r="A2398" s="12">
        <f>IFERROR(__xludf.DUMMYFUNCTION("""COMPUTED_VALUE"""),45749.66666666667)</f>
        <v>45749.66667</v>
      </c>
      <c r="B2398" s="13">
        <f>IFERROR(__xludf.DUMMYFUNCTION("""COMPUTED_VALUE"""),5670.97)</f>
        <v>5670.97</v>
      </c>
      <c r="C2398" s="13">
        <f t="shared" si="1"/>
        <v>5673.13</v>
      </c>
      <c r="D2398" s="13">
        <f t="shared" si="2"/>
        <v>5900.275</v>
      </c>
      <c r="E2398" s="13" t="str">
        <f t="shared" si="3"/>
        <v/>
      </c>
      <c r="F2398" s="3">
        <f t="shared" si="4"/>
        <v>0.006728125161</v>
      </c>
      <c r="G2398" s="4">
        <f t="shared" si="5"/>
        <v>2.727267044</v>
      </c>
      <c r="H2398" s="5">
        <f t="shared" si="6"/>
        <v>0</v>
      </c>
      <c r="I2398" s="5">
        <f t="shared" si="7"/>
        <v>1.650822788</v>
      </c>
    </row>
    <row r="2399">
      <c r="A2399" s="12">
        <f>IFERROR(__xludf.DUMMYFUNCTION("""COMPUTED_VALUE"""),45750.66666666667)</f>
        <v>45750.66667</v>
      </c>
      <c r="B2399" s="13">
        <f>IFERROR(__xludf.DUMMYFUNCTION("""COMPUTED_VALUE"""),5396.52)</f>
        <v>5396.52</v>
      </c>
      <c r="C2399" s="13">
        <f t="shared" si="1"/>
        <v>5529.705</v>
      </c>
      <c r="D2399" s="13">
        <f t="shared" si="2"/>
        <v>5770.335</v>
      </c>
      <c r="E2399" s="13" t="str">
        <f t="shared" si="3"/>
        <v/>
      </c>
      <c r="F2399" s="3">
        <f t="shared" si="4"/>
        <v>-0.04839560075</v>
      </c>
      <c r="G2399" s="4">
        <f t="shared" si="5"/>
        <v>2.595279317</v>
      </c>
      <c r="H2399" s="5">
        <f t="shared" si="6"/>
        <v>0</v>
      </c>
      <c r="I2399" s="5">
        <f t="shared" si="7"/>
        <v>1.650822788</v>
      </c>
    </row>
    <row r="2400">
      <c r="A2400" s="12">
        <f>IFERROR(__xludf.DUMMYFUNCTION("""COMPUTED_VALUE"""),45751.66666666667)</f>
        <v>45751.66667</v>
      </c>
      <c r="B2400" s="13">
        <f>IFERROR(__xludf.DUMMYFUNCTION("""COMPUTED_VALUE"""),5074.08)</f>
        <v>5074.08</v>
      </c>
      <c r="C2400" s="13">
        <f t="shared" si="1"/>
        <v>5370.82</v>
      </c>
      <c r="D2400" s="13">
        <f t="shared" si="2"/>
        <v>5595.8</v>
      </c>
      <c r="E2400" s="13" t="str">
        <f t="shared" si="3"/>
        <v/>
      </c>
      <c r="F2400" s="3">
        <f t="shared" si="4"/>
        <v>-0.05974961642</v>
      </c>
      <c r="G2400" s="4">
        <f t="shared" si="5"/>
        <v>2.440212373</v>
      </c>
      <c r="H2400" s="5">
        <f t="shared" si="6"/>
        <v>0</v>
      </c>
      <c r="I2400" s="5">
        <f t="shared" si="7"/>
        <v>1.650822788</v>
      </c>
    </row>
    <row r="2401">
      <c r="A2401" s="12">
        <f>IFERROR(__xludf.DUMMYFUNCTION("""COMPUTED_VALUE"""),45754.66666666667)</f>
        <v>45754.66667</v>
      </c>
      <c r="B2401" s="13">
        <f>IFERROR(__xludf.DUMMYFUNCTION("""COMPUTED_VALUE"""),5062.25)</f>
        <v>5062.25</v>
      </c>
      <c r="C2401" s="13">
        <f t="shared" si="1"/>
        <v>5414.91</v>
      </c>
      <c r="D2401" s="13">
        <f t="shared" si="2"/>
        <v>5537.69</v>
      </c>
      <c r="E2401" s="13" t="str">
        <f t="shared" si="3"/>
        <v/>
      </c>
      <c r="F2401" s="3">
        <f t="shared" si="4"/>
        <v>-0.002331457131</v>
      </c>
      <c r="G2401" s="4">
        <f t="shared" si="5"/>
        <v>2.434523122</v>
      </c>
      <c r="H2401" s="5">
        <f t="shared" si="6"/>
        <v>0</v>
      </c>
      <c r="I2401" s="5">
        <f t="shared" si="7"/>
        <v>1.650822788</v>
      </c>
    </row>
    <row r="2402">
      <c r="A2402" s="12">
        <f>IFERROR(__xludf.DUMMYFUNCTION("""COMPUTED_VALUE"""),45755.66666666667)</f>
        <v>45755.66667</v>
      </c>
      <c r="B2402" s="13">
        <f>IFERROR(__xludf.DUMMYFUNCTION("""COMPUTED_VALUE"""),4982.77)</f>
        <v>4982.77</v>
      </c>
      <c r="C2402" s="13">
        <f t="shared" si="1"/>
        <v>5379.71</v>
      </c>
      <c r="D2402" s="13">
        <f t="shared" si="2"/>
        <v>5483.01</v>
      </c>
      <c r="E2402" s="13" t="str">
        <f t="shared" si="3"/>
        <v/>
      </c>
      <c r="F2402" s="3">
        <f t="shared" si="4"/>
        <v>-0.01570052842</v>
      </c>
      <c r="G2402" s="4">
        <f t="shared" si="5"/>
        <v>2.396299823</v>
      </c>
      <c r="H2402" s="5">
        <f t="shared" si="6"/>
        <v>0</v>
      </c>
      <c r="I2402" s="5">
        <f t="shared" si="7"/>
        <v>1.650822788</v>
      </c>
    </row>
    <row r="2403">
      <c r="A2403" s="12">
        <f>IFERROR(__xludf.DUMMYFUNCTION("""COMPUTED_VALUE"""),45756.66666666667)</f>
        <v>45756.66667</v>
      </c>
      <c r="B2403" s="13">
        <f>IFERROR(__xludf.DUMMYFUNCTION("""COMPUTED_VALUE"""),5456.9)</f>
        <v>5456.9</v>
      </c>
      <c r="C2403" s="13">
        <f t="shared" si="1"/>
        <v>5584.55</v>
      </c>
      <c r="D2403" s="13">
        <f t="shared" si="2"/>
        <v>5706.075</v>
      </c>
      <c r="E2403" s="13" t="str">
        <f t="shared" si="3"/>
        <v/>
      </c>
      <c r="F2403" s="3">
        <f t="shared" si="4"/>
        <v>0.09515390034</v>
      </c>
      <c r="G2403" s="4">
        <f t="shared" si="5"/>
        <v>2.624317098</v>
      </c>
      <c r="H2403" s="5">
        <f t="shared" si="6"/>
        <v>0</v>
      </c>
      <c r="I2403" s="5">
        <f t="shared" si="7"/>
        <v>1.650822788</v>
      </c>
    </row>
    <row r="2404">
      <c r="A2404" s="12">
        <f>IFERROR(__xludf.DUMMYFUNCTION("""COMPUTED_VALUE"""),45757.66666666667)</f>
        <v>45757.66667</v>
      </c>
      <c r="B2404" s="13">
        <f>IFERROR(__xludf.DUMMYFUNCTION("""COMPUTED_VALUE"""),5268.05)</f>
        <v>5268.05</v>
      </c>
      <c r="C2404" s="13">
        <f t="shared" si="1"/>
        <v>5480.68</v>
      </c>
      <c r="D2404" s="13">
        <f t="shared" si="2"/>
        <v>5612.055</v>
      </c>
      <c r="E2404" s="13" t="str">
        <f t="shared" si="3"/>
        <v/>
      </c>
      <c r="F2404" s="3">
        <f t="shared" si="4"/>
        <v>-0.03460756107</v>
      </c>
      <c r="G2404" s="4">
        <f t="shared" si="5"/>
        <v>2.533495883</v>
      </c>
      <c r="H2404" s="5">
        <f t="shared" si="6"/>
        <v>0</v>
      </c>
      <c r="I2404" s="5">
        <f t="shared" si="7"/>
        <v>1.650822788</v>
      </c>
    </row>
    <row r="2405">
      <c r="A2405" s="12">
        <f>IFERROR(__xludf.DUMMYFUNCTION("""COMPUTED_VALUE"""),45758.66666666667)</f>
        <v>45758.66667</v>
      </c>
      <c r="B2405" s="13">
        <f>IFERROR(__xludf.DUMMYFUNCTION("""COMPUTED_VALUE"""),5363.36)</f>
        <v>5363.36</v>
      </c>
      <c r="C2405" s="13">
        <f t="shared" si="1"/>
        <v>5472.15</v>
      </c>
      <c r="D2405" s="13">
        <f t="shared" si="2"/>
        <v>5612.465</v>
      </c>
      <c r="E2405" s="13" t="str">
        <f t="shared" si="3"/>
        <v/>
      </c>
      <c r="F2405" s="3">
        <f t="shared" si="4"/>
        <v>0.01809208341</v>
      </c>
      <c r="G2405" s="4">
        <f t="shared" si="5"/>
        <v>2.579332102</v>
      </c>
      <c r="H2405" s="5">
        <f t="shared" si="6"/>
        <v>0</v>
      </c>
      <c r="I2405" s="5">
        <f t="shared" si="7"/>
        <v>1.650822788</v>
      </c>
    </row>
    <row r="2406">
      <c r="A2406" s="12">
        <f>IFERROR(__xludf.DUMMYFUNCTION("""COMPUTED_VALUE"""),45761.66666666667)</f>
        <v>45761.66667</v>
      </c>
      <c r="B2406" s="13">
        <f>IFERROR(__xludf.DUMMYFUNCTION("""COMPUTED_VALUE"""),5405.97)</f>
        <v>5405.97</v>
      </c>
      <c r="C2406" s="13">
        <f t="shared" si="1"/>
        <v>5508.91</v>
      </c>
      <c r="D2406" s="13">
        <f t="shared" si="2"/>
        <v>5680.235</v>
      </c>
      <c r="E2406" s="13" t="str">
        <f t="shared" si="3"/>
        <v/>
      </c>
      <c r="F2406" s="3">
        <f t="shared" si="4"/>
        <v>0.007944646639</v>
      </c>
      <c r="G2406" s="4">
        <f t="shared" si="5"/>
        <v>2.599823984</v>
      </c>
      <c r="H2406" s="5">
        <f t="shared" si="6"/>
        <v>0</v>
      </c>
      <c r="I2406" s="5">
        <f t="shared" si="7"/>
        <v>1.650822788</v>
      </c>
    </row>
    <row r="2407">
      <c r="A2407" s="12">
        <f>IFERROR(__xludf.DUMMYFUNCTION("""COMPUTED_VALUE"""),45762.66666666667)</f>
        <v>45762.66667</v>
      </c>
      <c r="B2407" s="13">
        <f>IFERROR(__xludf.DUMMYFUNCTION("""COMPUTED_VALUE"""),5396.63)</f>
        <v>5396.63</v>
      </c>
      <c r="C2407" s="13">
        <f t="shared" si="1"/>
        <v>5514.85</v>
      </c>
      <c r="D2407" s="13">
        <f t="shared" si="2"/>
        <v>5623.175</v>
      </c>
      <c r="E2407" s="13" t="str">
        <f t="shared" si="3"/>
        <v/>
      </c>
      <c r="F2407" s="3">
        <f t="shared" si="4"/>
        <v>-0.00172771954</v>
      </c>
      <c r="G2407" s="4">
        <f t="shared" si="5"/>
        <v>2.595332218</v>
      </c>
      <c r="H2407" s="5">
        <f t="shared" si="6"/>
        <v>0</v>
      </c>
      <c r="I2407" s="5">
        <f t="shared" si="7"/>
        <v>1.650822788</v>
      </c>
    </row>
    <row r="2408">
      <c r="A2408" s="12">
        <f>IFERROR(__xludf.DUMMYFUNCTION("""COMPUTED_VALUE"""),45763.66666666667)</f>
        <v>45763.66667</v>
      </c>
      <c r="B2408" s="13">
        <f>IFERROR(__xludf.DUMMYFUNCTION("""COMPUTED_VALUE"""),5275.7)</f>
        <v>5275.7</v>
      </c>
      <c r="C2408" s="13">
        <f t="shared" si="1"/>
        <v>5473.335</v>
      </c>
      <c r="D2408" s="13">
        <f t="shared" si="2"/>
        <v>5526.925</v>
      </c>
      <c r="E2408" s="13" t="str">
        <f t="shared" si="3"/>
        <v/>
      </c>
      <c r="F2408" s="3">
        <f t="shared" si="4"/>
        <v>-0.02240842896</v>
      </c>
      <c r="G2408" s="4">
        <f t="shared" si="5"/>
        <v>2.5371749</v>
      </c>
      <c r="H2408" s="5">
        <f t="shared" si="6"/>
        <v>0</v>
      </c>
      <c r="I2408" s="5">
        <f t="shared" si="7"/>
        <v>1.650822788</v>
      </c>
    </row>
    <row r="2409">
      <c r="A2409" s="12">
        <f>IFERROR(__xludf.DUMMYFUNCTION("""COMPUTED_VALUE"""),45764.66666666667)</f>
        <v>45764.66667</v>
      </c>
      <c r="B2409" s="13">
        <f>IFERROR(__xludf.DUMMYFUNCTION("""COMPUTED_VALUE"""),5282.7)</f>
        <v>5282.7</v>
      </c>
      <c r="C2409" s="13">
        <f t="shared" si="1"/>
        <v>5339.61</v>
      </c>
      <c r="D2409" s="13">
        <f t="shared" si="2"/>
        <v>5562.665</v>
      </c>
      <c r="E2409" s="13" t="str">
        <f t="shared" si="3"/>
        <v/>
      </c>
      <c r="F2409" s="3">
        <f t="shared" si="4"/>
        <v>0.001326838145</v>
      </c>
      <c r="G2409" s="4">
        <f t="shared" si="5"/>
        <v>2.54054132</v>
      </c>
      <c r="H2409" s="5">
        <f t="shared" si="6"/>
        <v>0</v>
      </c>
      <c r="I2409" s="5">
        <f t="shared" si="7"/>
        <v>1.650822788</v>
      </c>
    </row>
    <row r="2410">
      <c r="A2410" s="12">
        <f>IFERROR(__xludf.DUMMYFUNCTION("""COMPUTED_VALUE"""),45768.66666666667)</f>
        <v>45768.66667</v>
      </c>
      <c r="B2410" s="13">
        <f>IFERROR(__xludf.DUMMYFUNCTION("""COMPUTED_VALUE"""),5158.2)</f>
        <v>5158.2</v>
      </c>
      <c r="C2410" s="13">
        <f t="shared" si="1"/>
        <v>5116.14</v>
      </c>
      <c r="D2410" s="13">
        <f t="shared" si="2"/>
        <v>5448.36</v>
      </c>
      <c r="E2410" s="13" t="str">
        <f t="shared" si="3"/>
        <v/>
      </c>
      <c r="F2410" s="3">
        <f t="shared" si="4"/>
        <v>-0.0235674939</v>
      </c>
      <c r="G2410" s="4">
        <f t="shared" si="5"/>
        <v>2.480667128</v>
      </c>
      <c r="H2410" s="5">
        <f t="shared" si="6"/>
        <v>0</v>
      </c>
      <c r="I2410" s="5">
        <f t="shared" si="7"/>
        <v>1.650822788</v>
      </c>
    </row>
    <row r="2411">
      <c r="A2411" s="12">
        <f>IFERROR(__xludf.DUMMYFUNCTION("""COMPUTED_VALUE"""),45769.66666666667)</f>
        <v>45769.66667</v>
      </c>
      <c r="B2411" s="13">
        <f>IFERROR(__xludf.DUMMYFUNCTION("""COMPUTED_VALUE"""),5287.76)</f>
        <v>5287.76</v>
      </c>
      <c r="C2411" s="13">
        <f t="shared" si="1"/>
        <v>5175.005</v>
      </c>
      <c r="D2411" s="13">
        <f t="shared" si="2"/>
        <v>5528.98</v>
      </c>
      <c r="E2411" s="13" t="str">
        <f t="shared" si="3"/>
        <v/>
      </c>
      <c r="F2411" s="3">
        <f t="shared" si="4"/>
        <v>0.02511728898</v>
      </c>
      <c r="G2411" s="4">
        <f t="shared" si="5"/>
        <v>2.542974761</v>
      </c>
      <c r="H2411" s="5">
        <f t="shared" si="6"/>
        <v>0</v>
      </c>
      <c r="I2411" s="5">
        <f t="shared" si="7"/>
        <v>1.650822788</v>
      </c>
    </row>
    <row r="2412">
      <c r="A2412" s="12">
        <f>IFERROR(__xludf.DUMMYFUNCTION("""COMPUTED_VALUE"""),45770.66666666667)</f>
        <v>45770.66667</v>
      </c>
      <c r="B2412" s="13">
        <f>IFERROR(__xludf.DUMMYFUNCTION("""COMPUTED_VALUE"""),5375.86)</f>
        <v>5375.86</v>
      </c>
      <c r="C2412" s="13">
        <f t="shared" si="1"/>
        <v>5179.315</v>
      </c>
      <c r="D2412" s="13">
        <f t="shared" si="2"/>
        <v>5495.21</v>
      </c>
      <c r="E2412" s="13" t="str">
        <f t="shared" si="3"/>
        <v/>
      </c>
      <c r="F2412" s="3">
        <f t="shared" si="4"/>
        <v>0.01666111926</v>
      </c>
      <c r="G2412" s="4">
        <f t="shared" si="5"/>
        <v>2.585343567</v>
      </c>
      <c r="H2412" s="5">
        <f t="shared" si="6"/>
        <v>0</v>
      </c>
      <c r="I2412" s="5">
        <f t="shared" si="7"/>
        <v>1.650822788</v>
      </c>
    </row>
    <row r="2413">
      <c r="A2413" s="12">
        <f>IFERROR(__xludf.DUMMYFUNCTION("""COMPUTED_VALUE"""),45771.66666666667)</f>
        <v>45771.66667</v>
      </c>
      <c r="B2413" s="13">
        <f>IFERROR(__xludf.DUMMYFUNCTION("""COMPUTED_VALUE"""),5484.77)</f>
        <v>5484.77</v>
      </c>
      <c r="C2413" s="13">
        <f t="shared" si="1"/>
        <v>5470.835</v>
      </c>
      <c r="D2413" s="13">
        <f t="shared" si="2"/>
        <v>5528.42</v>
      </c>
      <c r="E2413" s="13" t="str">
        <f t="shared" si="3"/>
        <v/>
      </c>
      <c r="F2413" s="3">
        <f t="shared" si="4"/>
        <v>0.02025908413</v>
      </c>
      <c r="G2413" s="4">
        <f t="shared" si="5"/>
        <v>2.63772026</v>
      </c>
      <c r="H2413" s="5">
        <f t="shared" si="6"/>
        <v>0</v>
      </c>
      <c r="I2413" s="5">
        <f t="shared" si="7"/>
        <v>1.650822788</v>
      </c>
    </row>
    <row r="2414">
      <c r="A2414" s="12">
        <f>IFERROR(__xludf.DUMMYFUNCTION("""COMPUTED_VALUE"""),45772.66666666667)</f>
        <v>45772.66667</v>
      </c>
      <c r="B2414" s="13">
        <f>IFERROR(__xludf.DUMMYFUNCTION("""COMPUTED_VALUE"""),5525.21)</f>
        <v>5525.21</v>
      </c>
      <c r="C2414" s="13">
        <f t="shared" si="1"/>
        <v>5396.63</v>
      </c>
      <c r="D2414" s="13">
        <f t="shared" si="2"/>
        <v>5562.255</v>
      </c>
      <c r="E2414" s="13" t="str">
        <f t="shared" si="3"/>
        <v/>
      </c>
      <c r="F2414" s="3">
        <f t="shared" si="4"/>
        <v>0.007373144179</v>
      </c>
      <c r="G2414" s="4">
        <f t="shared" si="5"/>
        <v>2.657168552</v>
      </c>
      <c r="H2414" s="5">
        <f t="shared" si="6"/>
        <v>0</v>
      </c>
      <c r="I2414" s="5">
        <f t="shared" si="7"/>
        <v>1.650822788</v>
      </c>
    </row>
    <row r="2415">
      <c r="A2415" s="12">
        <f>IFERROR(__xludf.DUMMYFUNCTION("""COMPUTED_VALUE"""),45775.66666666667)</f>
        <v>45775.66667</v>
      </c>
      <c r="B2415" s="13">
        <f>IFERROR(__xludf.DUMMYFUNCTION("""COMPUTED_VALUE"""),5528.75)</f>
        <v>5528.75</v>
      </c>
      <c r="C2415" s="13">
        <f t="shared" si="1"/>
        <v>5446.055</v>
      </c>
      <c r="D2415" s="13">
        <f t="shared" si="2"/>
        <v>5525.135</v>
      </c>
      <c r="E2415" s="13" t="str">
        <f t="shared" si="3"/>
        <v/>
      </c>
      <c r="F2415" s="3">
        <f t="shared" si="4"/>
        <v>0.0006406996295</v>
      </c>
      <c r="G2415" s="4">
        <f t="shared" si="5"/>
        <v>2.658870999</v>
      </c>
      <c r="H2415" s="5">
        <f t="shared" si="6"/>
        <v>0</v>
      </c>
      <c r="I2415" s="5">
        <f t="shared" si="7"/>
        <v>1.650822788</v>
      </c>
    </row>
    <row r="2416">
      <c r="A2416" s="12">
        <f>IFERROR(__xludf.DUMMYFUNCTION("""COMPUTED_VALUE"""),45776.66666666667)</f>
        <v>45776.66667</v>
      </c>
      <c r="B2416" s="13">
        <f>IFERROR(__xludf.DUMMYFUNCTION("""COMPUTED_VALUE"""),5560.83)</f>
        <v>5560.83</v>
      </c>
      <c r="C2416" s="13">
        <f t="shared" si="1"/>
        <v>5483.4</v>
      </c>
      <c r="D2416" s="13">
        <f t="shared" si="2"/>
        <v>5599.885</v>
      </c>
      <c r="E2416" s="13" t="str">
        <f t="shared" si="3"/>
        <v/>
      </c>
      <c r="F2416" s="3">
        <f t="shared" si="4"/>
        <v>0.005802396563</v>
      </c>
      <c r="G2416" s="4">
        <f t="shared" si="5"/>
        <v>2.674298823</v>
      </c>
      <c r="H2416" s="5">
        <f t="shared" si="6"/>
        <v>0</v>
      </c>
      <c r="I2416" s="5">
        <f t="shared" si="7"/>
        <v>1.650822788</v>
      </c>
    </row>
    <row r="2417">
      <c r="A2417" s="12">
        <f>IFERROR(__xludf.DUMMYFUNCTION("""COMPUTED_VALUE"""),45777.66666666667)</f>
        <v>45777.66667</v>
      </c>
      <c r="B2417" s="13">
        <f>IFERROR(__xludf.DUMMYFUNCTION("""COMPUTED_VALUE"""),5569.06)</f>
        <v>5569.06</v>
      </c>
      <c r="C2417" s="13">
        <f t="shared" si="1"/>
        <v>5482.845</v>
      </c>
      <c r="D2417" s="13">
        <f t="shared" si="2"/>
        <v>5622.09</v>
      </c>
      <c r="E2417" s="13" t="str">
        <f t="shared" si="3"/>
        <v/>
      </c>
      <c r="F2417" s="3">
        <f t="shared" si="4"/>
        <v>0.001479994893</v>
      </c>
      <c r="G2417" s="4">
        <f t="shared" si="5"/>
        <v>2.678256771</v>
      </c>
      <c r="H2417" s="5">
        <f t="shared" si="6"/>
        <v>0</v>
      </c>
      <c r="I2417" s="5">
        <f t="shared" si="7"/>
        <v>1.650822788</v>
      </c>
    </row>
    <row r="2418">
      <c r="A2418" s="12">
        <f>IFERROR(__xludf.DUMMYFUNCTION("""COMPUTED_VALUE"""),45778.66666666667)</f>
        <v>45778.66667</v>
      </c>
      <c r="B2418" s="13">
        <f>IFERROR(__xludf.DUMMYFUNCTION("""COMPUTED_VALUE"""),5604.14)</f>
        <v>5604.14</v>
      </c>
      <c r="C2418" s="13">
        <f t="shared" si="1"/>
        <v>5439.92</v>
      </c>
      <c r="D2418" s="13">
        <f t="shared" si="2"/>
        <v>5609.4</v>
      </c>
      <c r="E2418" s="13" t="str">
        <f t="shared" si="3"/>
        <v/>
      </c>
      <c r="F2418" s="3">
        <f t="shared" si="4"/>
        <v>0.006299088176</v>
      </c>
      <c r="G2418" s="4">
        <f t="shared" si="5"/>
        <v>2.695127347</v>
      </c>
      <c r="H2418" s="5">
        <f t="shared" si="6"/>
        <v>0</v>
      </c>
      <c r="I2418" s="5">
        <f t="shared" si="7"/>
        <v>1.650822788</v>
      </c>
    </row>
    <row r="2419">
      <c r="A2419" s="12">
        <f>IFERROR(__xludf.DUMMYFUNCTION("""COMPUTED_VALUE"""),45779.66666666667)</f>
        <v>45779.66667</v>
      </c>
      <c r="B2419" s="13">
        <f>IFERROR(__xludf.DUMMYFUNCTION("""COMPUTED_VALUE"""),5686.67)</f>
        <v>5686.67</v>
      </c>
      <c r="C2419" s="13">
        <f t="shared" si="1"/>
        <v>5484.685</v>
      </c>
      <c r="D2419" s="13">
        <f t="shared" si="2"/>
        <v>5680.98</v>
      </c>
      <c r="E2419" s="13" t="str">
        <f t="shared" si="3"/>
        <v/>
      </c>
      <c r="F2419" s="3">
        <f t="shared" si="4"/>
        <v>0.01472661283</v>
      </c>
      <c r="G2419" s="4">
        <f t="shared" si="5"/>
        <v>2.734817444</v>
      </c>
      <c r="H2419" s="5">
        <f t="shared" si="6"/>
        <v>0</v>
      </c>
      <c r="I2419" s="5">
        <f t="shared" si="7"/>
        <v>1.650822788</v>
      </c>
    </row>
    <row r="2420">
      <c r="A2420" s="12">
        <f>IFERROR(__xludf.DUMMYFUNCTION("""COMPUTED_VALUE"""),45782.66666666667)</f>
        <v>45782.66667</v>
      </c>
      <c r="B2420" s="13">
        <f>IFERROR(__xludf.DUMMYFUNCTION("""COMPUTED_VALUE"""),5650.38)</f>
        <v>5650.38</v>
      </c>
      <c r="C2420" s="13">
        <f t="shared" si="1"/>
        <v>5404.29</v>
      </c>
      <c r="D2420" s="13">
        <f t="shared" si="2"/>
        <v>5656.635</v>
      </c>
      <c r="E2420" s="13" t="str">
        <f t="shared" si="3"/>
        <v/>
      </c>
      <c r="F2420" s="3">
        <f t="shared" si="4"/>
        <v>-0.006381590632</v>
      </c>
      <c r="G2420" s="4">
        <f t="shared" si="5"/>
        <v>2.717364958</v>
      </c>
      <c r="H2420" s="5">
        <f t="shared" si="6"/>
        <v>0</v>
      </c>
      <c r="I2420" s="5">
        <f t="shared" si="7"/>
        <v>1.650822788</v>
      </c>
    </row>
    <row r="2421">
      <c r="A2421" s="12">
        <f>IFERROR(__xludf.DUMMYFUNCTION("""COMPUTED_VALUE"""),45783.66666666667)</f>
        <v>45783.66667</v>
      </c>
      <c r="B2421" s="13">
        <f>IFERROR(__xludf.DUMMYFUNCTION("""COMPUTED_VALUE"""),5606.91)</f>
        <v>5606.91</v>
      </c>
      <c r="C2421" s="13">
        <f t="shared" si="1"/>
        <v>5447.335</v>
      </c>
      <c r="D2421" s="13">
        <f t="shared" si="2"/>
        <v>5637.235</v>
      </c>
      <c r="E2421" s="13" t="str">
        <f t="shared" si="3"/>
        <v/>
      </c>
      <c r="F2421" s="3">
        <f t="shared" si="4"/>
        <v>-0.007693287885</v>
      </c>
      <c r="G2421" s="4">
        <f t="shared" si="5"/>
        <v>2.696459488</v>
      </c>
      <c r="H2421" s="5">
        <f t="shared" si="6"/>
        <v>0</v>
      </c>
      <c r="I2421" s="5">
        <f t="shared" si="7"/>
        <v>1.650822788</v>
      </c>
    </row>
    <row r="2422">
      <c r="A2422" s="12">
        <f>IFERROR(__xludf.DUMMYFUNCTION("""COMPUTED_VALUE"""),45784.66666666667)</f>
        <v>45784.66667</v>
      </c>
      <c r="B2422" s="13">
        <f>IFERROR(__xludf.DUMMYFUNCTION("""COMPUTED_VALUE"""),5631.28)</f>
        <v>5631.28</v>
      </c>
      <c r="C2422" s="13">
        <f t="shared" si="1"/>
        <v>5503.57</v>
      </c>
      <c r="D2422" s="13">
        <f t="shared" si="2"/>
        <v>5699.425</v>
      </c>
      <c r="E2422" s="13" t="str">
        <f t="shared" si="3"/>
        <v/>
      </c>
      <c r="F2422" s="3">
        <f t="shared" si="4"/>
        <v>0.004346422539</v>
      </c>
      <c r="G2422" s="4">
        <f t="shared" si="5"/>
        <v>2.70817944</v>
      </c>
      <c r="H2422" s="5">
        <f t="shared" si="6"/>
        <v>0</v>
      </c>
      <c r="I2422" s="5">
        <f t="shared" si="7"/>
        <v>1.650822788</v>
      </c>
    </row>
    <row r="2423">
      <c r="A2423" s="12">
        <f>IFERROR(__xludf.DUMMYFUNCTION("""COMPUTED_VALUE"""),45785.66666666667)</f>
        <v>45785.66667</v>
      </c>
      <c r="B2423" s="13">
        <f>IFERROR(__xludf.DUMMYFUNCTION("""COMPUTED_VALUE"""),5663.94)</f>
        <v>5663.94</v>
      </c>
      <c r="C2423" s="13">
        <f t="shared" si="1"/>
        <v>5574.355</v>
      </c>
      <c r="D2423" s="13">
        <f t="shared" si="2"/>
        <v>5720.295</v>
      </c>
      <c r="E2423" s="13" t="str">
        <f t="shared" si="3"/>
        <v/>
      </c>
      <c r="F2423" s="3">
        <f t="shared" si="4"/>
        <v>0.005799747127</v>
      </c>
      <c r="G2423" s="4">
        <f t="shared" si="5"/>
        <v>2.723886196</v>
      </c>
      <c r="H2423" s="5">
        <f t="shared" si="6"/>
        <v>0</v>
      </c>
      <c r="I2423" s="5">
        <f t="shared" si="7"/>
        <v>1.650822788</v>
      </c>
    </row>
    <row r="2424">
      <c r="A2424" s="12">
        <f>IFERROR(__xludf.DUMMYFUNCTION("""COMPUTED_VALUE"""),45786.66666666667)</f>
        <v>45786.66667</v>
      </c>
      <c r="B2424" s="13">
        <f>IFERROR(__xludf.DUMMYFUNCTION("""COMPUTED_VALUE"""),5659.91)</f>
        <v>5659.91</v>
      </c>
      <c r="C2424" s="13">
        <f t="shared" si="1"/>
        <v>5592.56</v>
      </c>
      <c r="D2424" s="13">
        <f t="shared" si="2"/>
        <v>5686.055</v>
      </c>
      <c r="E2424" s="13" t="str">
        <f t="shared" si="3"/>
        <v/>
      </c>
      <c r="F2424" s="3">
        <f t="shared" si="4"/>
        <v>-0.0007115188367</v>
      </c>
      <c r="G2424" s="4">
        <f t="shared" si="5"/>
        <v>2.721948099</v>
      </c>
      <c r="H2424" s="5">
        <f t="shared" si="6"/>
        <v>0</v>
      </c>
      <c r="I2424" s="5">
        <f t="shared" si="7"/>
        <v>1.650822788</v>
      </c>
    </row>
    <row r="2425">
      <c r="A2425" s="12">
        <f>IFERROR(__xludf.DUMMYFUNCTION("""COMPUTED_VALUE"""),45789.66666666667)</f>
        <v>45789.66667</v>
      </c>
      <c r="B2425" s="13">
        <f>IFERROR(__xludf.DUMMYFUNCTION("""COMPUTED_VALUE"""),5844.19)</f>
        <v>5844.19</v>
      </c>
      <c r="C2425" s="13">
        <f t="shared" si="1"/>
        <v>5686.47</v>
      </c>
      <c r="D2425" s="13">
        <f t="shared" si="2"/>
        <v>5768.75</v>
      </c>
      <c r="E2425" s="13" t="str">
        <f t="shared" si="3"/>
        <v/>
      </c>
      <c r="F2425" s="3">
        <f t="shared" si="4"/>
        <v>0.03255882161</v>
      </c>
      <c r="G2425" s="4">
        <f t="shared" si="5"/>
        <v>2.810571522</v>
      </c>
      <c r="H2425" s="5">
        <f t="shared" si="6"/>
        <v>0</v>
      </c>
      <c r="I2425" s="5">
        <f t="shared" si="7"/>
        <v>1.650822788</v>
      </c>
    </row>
    <row r="2426">
      <c r="A2426" s="12">
        <f>IFERROR(__xludf.DUMMYFUNCTION("""COMPUTED_VALUE"""),45790.66666666667)</f>
        <v>45790.66667</v>
      </c>
      <c r="B2426" s="13">
        <f>IFERROR(__xludf.DUMMYFUNCTION("""COMPUTED_VALUE"""),5886.55)</f>
        <v>5886.55</v>
      </c>
      <c r="C2426" s="13">
        <f t="shared" si="1"/>
        <v>5723.69</v>
      </c>
      <c r="D2426" s="13">
        <f t="shared" si="2"/>
        <v>5733.745</v>
      </c>
      <c r="E2426" s="13" t="str">
        <f t="shared" si="3"/>
        <v/>
      </c>
      <c r="F2426" s="3">
        <f t="shared" si="4"/>
        <v>0.007248224305</v>
      </c>
      <c r="G2426" s="4">
        <f t="shared" si="5"/>
        <v>2.830943175</v>
      </c>
      <c r="H2426" s="5">
        <f t="shared" si="6"/>
        <v>0</v>
      </c>
      <c r="I2426" s="5">
        <f t="shared" si="7"/>
        <v>1.650822788</v>
      </c>
    </row>
    <row r="2427">
      <c r="A2427" s="12">
        <f>IFERROR(__xludf.DUMMYFUNCTION("""COMPUTED_VALUE"""),45791.66666666667)</f>
        <v>45791.66667</v>
      </c>
      <c r="B2427" s="13">
        <f>IFERROR(__xludf.DUMMYFUNCTION("""COMPUTED_VALUE"""),5892.58)</f>
        <v>5892.58</v>
      </c>
      <c r="C2427" s="13">
        <f t="shared" si="1"/>
        <v>5730.82</v>
      </c>
      <c r="D2427" s="13">
        <f t="shared" si="2"/>
        <v>5752.215</v>
      </c>
      <c r="E2427" s="13" t="str">
        <f t="shared" si="3"/>
        <v/>
      </c>
      <c r="F2427" s="3">
        <f t="shared" si="4"/>
        <v>0.001024369113</v>
      </c>
      <c r="G2427" s="4">
        <f t="shared" si="5"/>
        <v>2.833843106</v>
      </c>
      <c r="H2427" s="5">
        <f t="shared" si="6"/>
        <v>0</v>
      </c>
      <c r="I2427" s="5">
        <f t="shared" si="7"/>
        <v>1.650822788</v>
      </c>
    </row>
    <row r="2428">
      <c r="A2428" s="12">
        <f>IFERROR(__xludf.DUMMYFUNCTION("""COMPUTED_VALUE"""),45792.66666666667)</f>
        <v>45792.66667</v>
      </c>
      <c r="B2428" s="13">
        <f>IFERROR(__xludf.DUMMYFUNCTION("""COMPUTED_VALUE"""),5916.93)</f>
        <v>5916.93</v>
      </c>
      <c r="C2428" s="13">
        <f t="shared" si="1"/>
        <v>5760.535</v>
      </c>
      <c r="D2428" s="13">
        <f t="shared" si="2"/>
        <v>5775</v>
      </c>
      <c r="E2428" s="13" t="str">
        <f t="shared" si="3"/>
        <v/>
      </c>
      <c r="F2428" s="3">
        <f t="shared" si="4"/>
        <v>0.004132315556</v>
      </c>
      <c r="G2428" s="4">
        <f t="shared" si="5"/>
        <v>2.84555344</v>
      </c>
      <c r="H2428" s="5">
        <f t="shared" si="6"/>
        <v>0</v>
      </c>
      <c r="I2428" s="5">
        <f t="shared" si="7"/>
        <v>1.650822788</v>
      </c>
    </row>
    <row r="2429">
      <c r="A2429" s="12">
        <f>IFERROR(__xludf.DUMMYFUNCTION("""COMPUTED_VALUE"""),45793.66666666667)</f>
        <v>45793.66667</v>
      </c>
      <c r="B2429" s="13">
        <f>IFERROR(__xludf.DUMMYFUNCTION("""COMPUTED_VALUE"""),5958.38)</f>
        <v>5958.38</v>
      </c>
      <c r="C2429" s="13">
        <f t="shared" si="1"/>
        <v>5822.525</v>
      </c>
      <c r="D2429" s="13">
        <f t="shared" si="2"/>
        <v>5814.675</v>
      </c>
      <c r="E2429" s="13" t="str">
        <f t="shared" si="3"/>
        <v>LONG</v>
      </c>
      <c r="F2429" s="3">
        <f t="shared" si="4"/>
        <v>0.007005322017</v>
      </c>
      <c r="G2429" s="4">
        <f t="shared" si="5"/>
        <v>2.865487458</v>
      </c>
      <c r="H2429" s="3">
        <f t="shared" si="6"/>
        <v>0.007005322017</v>
      </c>
      <c r="I2429" s="5">
        <f t="shared" si="7"/>
        <v>1.662387333</v>
      </c>
    </row>
    <row r="2430">
      <c r="A2430" s="12">
        <f>IFERROR(__xludf.DUMMYFUNCTION("""COMPUTED_VALUE"""),45796.66666666667)</f>
        <v>45796.66667</v>
      </c>
      <c r="B2430" s="13">
        <f>IFERROR(__xludf.DUMMYFUNCTION("""COMPUTED_VALUE"""),5963.6)</f>
        <v>5963.6</v>
      </c>
      <c r="C2430" s="13">
        <f t="shared" si="1"/>
        <v>5806.99</v>
      </c>
      <c r="D2430" s="13">
        <f t="shared" si="2"/>
        <v>5680.06</v>
      </c>
      <c r="E2430" s="13" t="str">
        <f t="shared" si="3"/>
        <v>LONG</v>
      </c>
      <c r="F2430" s="3">
        <f t="shared" si="4"/>
        <v>0.0008760770545</v>
      </c>
      <c r="G2430" s="4">
        <f t="shared" si="5"/>
        <v>2.867997845</v>
      </c>
      <c r="H2430" s="3">
        <f t="shared" si="6"/>
        <v>0.0008760770545</v>
      </c>
      <c r="I2430" s="5">
        <f t="shared" si="7"/>
        <v>1.663843713</v>
      </c>
    </row>
    <row r="2431">
      <c r="A2431" s="12">
        <f>IFERROR(__xludf.DUMMYFUNCTION("""COMPUTED_VALUE"""),45797.66666666667)</f>
        <v>45797.66667</v>
      </c>
      <c r="B2431" s="13">
        <f>IFERROR(__xludf.DUMMYFUNCTION("""COMPUTED_VALUE"""),5940.46)</f>
        <v>5940.46</v>
      </c>
      <c r="C2431" s="13">
        <f t="shared" si="1"/>
        <v>5773.685</v>
      </c>
      <c r="D2431" s="13">
        <f t="shared" si="2"/>
        <v>5507.27</v>
      </c>
      <c r="E2431" s="13" t="str">
        <f t="shared" si="3"/>
        <v>LONG</v>
      </c>
      <c r="F2431" s="3">
        <f t="shared" si="4"/>
        <v>-0.003880206587</v>
      </c>
      <c r="G2431" s="4">
        <f t="shared" si="5"/>
        <v>2.856869421</v>
      </c>
      <c r="H2431" s="3">
        <f t="shared" si="6"/>
        <v>-0.003880206587</v>
      </c>
      <c r="I2431" s="5">
        <f t="shared" si="7"/>
        <v>1.657387655</v>
      </c>
    </row>
    <row r="2432">
      <c r="A2432" s="12">
        <f>IFERROR(__xludf.DUMMYFUNCTION("""COMPUTED_VALUE"""),45798.66666666667)</f>
        <v>45798.66667</v>
      </c>
      <c r="B2432" s="13">
        <f>IFERROR(__xludf.DUMMYFUNCTION("""COMPUTED_VALUE"""),5844.61)</f>
        <v>5844.61</v>
      </c>
      <c r="C2432" s="13">
        <f t="shared" si="1"/>
        <v>5737.945</v>
      </c>
      <c r="D2432" s="13">
        <f t="shared" si="2"/>
        <v>5453.43</v>
      </c>
      <c r="E2432" s="13" t="str">
        <f t="shared" si="3"/>
        <v>LONG</v>
      </c>
      <c r="F2432" s="3">
        <f t="shared" si="4"/>
        <v>-0.01613511412</v>
      </c>
      <c r="G2432" s="4">
        <f t="shared" si="5"/>
        <v>2.810773507</v>
      </c>
      <c r="H2432" s="3">
        <f t="shared" si="6"/>
        <v>-0.01613511412</v>
      </c>
      <c r="I2432" s="5">
        <f t="shared" si="7"/>
        <v>1.630645516</v>
      </c>
    </row>
    <row r="2433">
      <c r="A2433" s="12">
        <f>IFERROR(__xludf.DUMMYFUNCTION("""COMPUTED_VALUE"""),45799.66666666667)</f>
        <v>45799.66667</v>
      </c>
      <c r="B2433" s="13">
        <f>IFERROR(__xludf.DUMMYFUNCTION("""COMPUTED_VALUE"""),5842.01)</f>
        <v>5842.01</v>
      </c>
      <c r="C2433" s="13">
        <f t="shared" si="1"/>
        <v>5752.975</v>
      </c>
      <c r="D2433" s="13">
        <f t="shared" si="2"/>
        <v>5412.39</v>
      </c>
      <c r="E2433" s="13" t="str">
        <f t="shared" si="3"/>
        <v>LONG</v>
      </c>
      <c r="F2433" s="3">
        <f t="shared" si="4"/>
        <v>-0.0004448543188</v>
      </c>
      <c r="G2433" s="4">
        <f t="shared" si="5"/>
        <v>2.809523122</v>
      </c>
      <c r="H2433" s="3">
        <f t="shared" si="6"/>
        <v>-0.0004448543188</v>
      </c>
      <c r="I2433" s="5">
        <f t="shared" si="7"/>
        <v>1.629920117</v>
      </c>
    </row>
    <row r="2434">
      <c r="A2434" s="12">
        <f>IFERROR(__xludf.DUMMYFUNCTION("""COMPUTED_VALUE"""),45800.66666666667)</f>
        <v>45800.66667</v>
      </c>
      <c r="B2434" s="13">
        <f>IFERROR(__xludf.DUMMYFUNCTION("""COMPUTED_VALUE"""),5802.82)</f>
        <v>5802.82</v>
      </c>
      <c r="C2434" s="13">
        <f t="shared" si="1"/>
        <v>5731.365</v>
      </c>
      <c r="D2434" s="13">
        <f t="shared" si="2"/>
        <v>5629.86</v>
      </c>
      <c r="E2434" s="13" t="str">
        <f t="shared" si="3"/>
        <v>LONG</v>
      </c>
      <c r="F2434" s="3">
        <f t="shared" si="4"/>
        <v>-0.006708307586</v>
      </c>
      <c r="G2434" s="4">
        <f t="shared" si="5"/>
        <v>2.790675977</v>
      </c>
      <c r="H2434" s="3">
        <f t="shared" si="6"/>
        <v>-0.006708307586</v>
      </c>
      <c r="I2434" s="5">
        <f t="shared" si="7"/>
        <v>1.618986111</v>
      </c>
    </row>
    <row r="2435">
      <c r="A2435" s="12">
        <f>IFERROR(__xludf.DUMMYFUNCTION("""COMPUTED_VALUE"""),45804.66666666667)</f>
        <v>45804.66667</v>
      </c>
      <c r="B2435" s="13">
        <f>IFERROR(__xludf.DUMMYFUNCTION("""COMPUTED_VALUE"""),5921.54)</f>
        <v>5921.54</v>
      </c>
      <c r="C2435" s="13">
        <f t="shared" si="1"/>
        <v>5882.865</v>
      </c>
      <c r="D2435" s="13">
        <f t="shared" si="2"/>
        <v>5594.795</v>
      </c>
      <c r="E2435" s="13" t="str">
        <f t="shared" si="3"/>
        <v>LONG</v>
      </c>
      <c r="F2435" s="3">
        <f t="shared" si="4"/>
        <v>0.0204590182</v>
      </c>
      <c r="G2435" s="4">
        <f t="shared" si="5"/>
        <v>2.847770468</v>
      </c>
      <c r="H2435" s="3">
        <f t="shared" si="6"/>
        <v>0.0204590182</v>
      </c>
      <c r="I2435" s="5">
        <f t="shared" si="7"/>
        <v>1.652108977</v>
      </c>
    </row>
    <row r="2436">
      <c r="A2436" s="12">
        <f>IFERROR(__xludf.DUMMYFUNCTION("""COMPUTED_VALUE"""),45805.66666666667)</f>
        <v>45805.66667</v>
      </c>
      <c r="B2436" s="13">
        <f>IFERROR(__xludf.DUMMYFUNCTION("""COMPUTED_VALUE"""),5888.55)</f>
        <v>5888.55</v>
      </c>
      <c r="C2436" s="13">
        <f t="shared" si="1"/>
        <v>5887.55</v>
      </c>
      <c r="D2436" s="13">
        <f t="shared" si="2"/>
        <v>5625.955</v>
      </c>
      <c r="E2436" s="13" t="str">
        <f t="shared" si="3"/>
        <v>LONG</v>
      </c>
      <c r="F2436" s="3">
        <f t="shared" si="4"/>
        <v>-0.005571185874</v>
      </c>
      <c r="G2436" s="4">
        <f t="shared" si="5"/>
        <v>2.831905009</v>
      </c>
      <c r="H2436" s="3">
        <f t="shared" si="6"/>
        <v>-0.005571185874</v>
      </c>
      <c r="I2436" s="5">
        <f t="shared" si="7"/>
        <v>1.642904771</v>
      </c>
    </row>
    <row r="2437">
      <c r="A2437" s="12">
        <f>IFERROR(__xludf.DUMMYFUNCTION("""COMPUTED_VALUE"""),45806.66666666667)</f>
        <v>45806.66667</v>
      </c>
      <c r="B2437" s="13">
        <f>IFERROR(__xludf.DUMMYFUNCTION("""COMPUTED_VALUE"""),5912.17)</f>
        <v>5912.17</v>
      </c>
      <c r="C2437" s="13">
        <f t="shared" si="1"/>
        <v>5902.375</v>
      </c>
      <c r="D2437" s="13">
        <f t="shared" si="2"/>
        <v>5659.07</v>
      </c>
      <c r="E2437" s="13" t="str">
        <f t="shared" si="3"/>
        <v>LONG</v>
      </c>
      <c r="F2437" s="3">
        <f t="shared" si="4"/>
        <v>0.004011174228</v>
      </c>
      <c r="G2437" s="4">
        <f t="shared" si="5"/>
        <v>2.843264274</v>
      </c>
      <c r="H2437" s="3">
        <f t="shared" si="6"/>
        <v>0.004011174228</v>
      </c>
      <c r="I2437" s="5">
        <f t="shared" si="7"/>
        <v>1.649494749</v>
      </c>
    </row>
    <row r="2438">
      <c r="A2438" s="12">
        <f>IFERROR(__xludf.DUMMYFUNCTION("""COMPUTED_VALUE"""),45807.66666666667)</f>
        <v>45807.66667</v>
      </c>
      <c r="B2438" s="13">
        <f>IFERROR(__xludf.DUMMYFUNCTION("""COMPUTED_VALUE"""),5911.69)</f>
        <v>5911.69</v>
      </c>
      <c r="C2438" s="13">
        <f t="shared" si="1"/>
        <v>5914.31</v>
      </c>
      <c r="D2438" s="13">
        <f t="shared" si="2"/>
        <v>5654.16</v>
      </c>
      <c r="E2438" s="13" t="str">
        <f t="shared" si="3"/>
        <v>LONG</v>
      </c>
      <c r="F2438" s="3">
        <f t="shared" si="4"/>
        <v>-0.0000811884638</v>
      </c>
      <c r="G2438" s="4">
        <f t="shared" si="5"/>
        <v>2.843033433</v>
      </c>
      <c r="H2438" s="3">
        <f t="shared" si="6"/>
        <v>-0.0000811884638</v>
      </c>
      <c r="I2438" s="5">
        <f t="shared" si="7"/>
        <v>1.649360829</v>
      </c>
    </row>
    <row r="2439">
      <c r="A2439" s="12">
        <f>IFERROR(__xludf.DUMMYFUNCTION("""COMPUTED_VALUE"""),45810.66666666667)</f>
        <v>45810.66667</v>
      </c>
      <c r="B2439" s="13">
        <f>IFERROR(__xludf.DUMMYFUNCTION("""COMPUTED_VALUE"""),5935.94)</f>
        <v>5935.94</v>
      </c>
      <c r="C2439" s="13">
        <f t="shared" si="1"/>
        <v>5947.16</v>
      </c>
      <c r="D2439" s="13">
        <f t="shared" si="2"/>
        <v>5605.82</v>
      </c>
      <c r="E2439" s="13" t="str">
        <f t="shared" si="3"/>
        <v>LONG</v>
      </c>
      <c r="F2439" s="3">
        <f t="shared" si="4"/>
        <v>0.004102041886</v>
      </c>
      <c r="G2439" s="4">
        <f t="shared" si="5"/>
        <v>2.854695676</v>
      </c>
      <c r="H2439" s="3">
        <f t="shared" si="6"/>
        <v>0.004102041886</v>
      </c>
      <c r="I2439" s="5">
        <f t="shared" si="7"/>
        <v>1.656126576</v>
      </c>
    </row>
    <row r="2440">
      <c r="A2440" s="12">
        <f>IFERROR(__xludf.DUMMYFUNCTION("""COMPUTED_VALUE"""),45811.66666666667)</f>
        <v>45811.66667</v>
      </c>
      <c r="B2440" s="13">
        <f>IFERROR(__xludf.DUMMYFUNCTION("""COMPUTED_VALUE"""),5970.37)</f>
        <v>5970.37</v>
      </c>
      <c r="C2440" s="13">
        <f t="shared" si="1"/>
        <v>5966.985</v>
      </c>
      <c r="D2440" s="13">
        <f t="shared" si="2"/>
        <v>5626.535</v>
      </c>
      <c r="E2440" s="13" t="str">
        <f t="shared" si="3"/>
        <v>LONG</v>
      </c>
      <c r="F2440" s="3">
        <f t="shared" si="4"/>
        <v>0.005800260784</v>
      </c>
      <c r="G2440" s="4">
        <f t="shared" si="5"/>
        <v>2.871253655</v>
      </c>
      <c r="H2440" s="3">
        <f t="shared" si="6"/>
        <v>0.005800260784</v>
      </c>
      <c r="I2440" s="5">
        <f t="shared" si="7"/>
        <v>1.665732542</v>
      </c>
    </row>
    <row r="2441">
      <c r="A2441" s="12">
        <f>IFERROR(__xludf.DUMMYFUNCTION("""COMPUTED_VALUE"""),45812.66666666667)</f>
        <v>45812.66667</v>
      </c>
      <c r="B2441" s="13">
        <f>IFERROR(__xludf.DUMMYFUNCTION("""COMPUTED_VALUE"""),5970.81)</f>
        <v>5970.81</v>
      </c>
      <c r="C2441" s="13">
        <f t="shared" si="1"/>
        <v>5955.635</v>
      </c>
      <c r="D2441" s="13">
        <f t="shared" si="2"/>
        <v>5564.505</v>
      </c>
      <c r="E2441" s="13" t="str">
        <f t="shared" si="3"/>
        <v>LONG</v>
      </c>
      <c r="F2441" s="3">
        <f t="shared" si="4"/>
        <v>0.00007369727504</v>
      </c>
      <c r="G2441" s="4">
        <f t="shared" si="5"/>
        <v>2.871465259</v>
      </c>
      <c r="H2441" s="3">
        <f t="shared" si="6"/>
        <v>0.00007369727504</v>
      </c>
      <c r="I2441" s="5">
        <f t="shared" si="7"/>
        <v>1.665855302</v>
      </c>
    </row>
    <row r="2442">
      <c r="A2442" s="12">
        <f>IFERROR(__xludf.DUMMYFUNCTION("""COMPUTED_VALUE"""),45813.66666666667)</f>
        <v>45813.66667</v>
      </c>
      <c r="B2442" s="13">
        <f>IFERROR(__xludf.DUMMYFUNCTION("""COMPUTED_VALUE"""),5939.3)</f>
        <v>5939.3</v>
      </c>
      <c r="C2442" s="13">
        <f t="shared" si="1"/>
        <v>5891.955</v>
      </c>
      <c r="D2442" s="13">
        <f t="shared" si="2"/>
        <v>5613.53</v>
      </c>
      <c r="E2442" s="13" t="str">
        <f t="shared" si="3"/>
        <v>LONG</v>
      </c>
      <c r="F2442" s="3">
        <f t="shared" si="4"/>
        <v>-0.00527734093</v>
      </c>
      <c r="G2442" s="4">
        <f t="shared" si="5"/>
        <v>2.856311557</v>
      </c>
      <c r="H2442" s="3">
        <f t="shared" si="6"/>
        <v>-0.00527734093</v>
      </c>
      <c r="I2442" s="5">
        <f t="shared" si="7"/>
        <v>1.657064015</v>
      </c>
    </row>
    <row r="2443">
      <c r="A2443" s="12">
        <f>IFERROR(__xludf.DUMMYFUNCTION("""COMPUTED_VALUE"""),45814.66666666667)</f>
        <v>45814.66667</v>
      </c>
      <c r="B2443" s="13">
        <f>IFERROR(__xludf.DUMMYFUNCTION("""COMPUTED_VALUE"""),6000.36)</f>
        <v>6000.36</v>
      </c>
      <c r="C2443" s="13">
        <f t="shared" si="1"/>
        <v>5921.185</v>
      </c>
      <c r="D2443" s="13">
        <f t="shared" si="2"/>
        <v>5688.11</v>
      </c>
      <c r="E2443" s="13" t="str">
        <f t="shared" si="3"/>
        <v>LONG</v>
      </c>
      <c r="F2443" s="3">
        <f t="shared" si="4"/>
        <v>0.01028067281</v>
      </c>
      <c r="G2443" s="4">
        <f t="shared" si="5"/>
        <v>2.885676362</v>
      </c>
      <c r="H2443" s="3">
        <f t="shared" si="6"/>
        <v>0.01028067281</v>
      </c>
      <c r="I2443" s="5">
        <f t="shared" si="7"/>
        <v>1.674099748</v>
      </c>
    </row>
    <row r="2444">
      <c r="A2444" s="12">
        <f>IFERROR(__xludf.DUMMYFUNCTION("""COMPUTED_VALUE"""),45817.66666666667)</f>
        <v>45817.66667</v>
      </c>
      <c r="B2444" s="13">
        <f>IFERROR(__xludf.DUMMYFUNCTION("""COMPUTED_VALUE"""),6005.88)</f>
        <v>6005.88</v>
      </c>
      <c r="C2444" s="13">
        <f t="shared" si="1"/>
        <v>5904.35</v>
      </c>
      <c r="D2444" s="13">
        <f t="shared" si="2"/>
        <v>5745.325</v>
      </c>
      <c r="E2444" s="13" t="str">
        <f t="shared" si="3"/>
        <v>LONG</v>
      </c>
      <c r="F2444" s="3">
        <f t="shared" si="4"/>
        <v>0.0009199448033</v>
      </c>
      <c r="G2444" s="4">
        <f t="shared" si="5"/>
        <v>2.888331025</v>
      </c>
      <c r="H2444" s="3">
        <f t="shared" si="6"/>
        <v>0.0009199448033</v>
      </c>
      <c r="I2444" s="5">
        <f t="shared" si="7"/>
        <v>1.675639828</v>
      </c>
    </row>
    <row r="2445">
      <c r="A2445" s="12">
        <f>IFERROR(__xludf.DUMMYFUNCTION("""COMPUTED_VALUE"""),45818.66666666667)</f>
        <v>45818.66667</v>
      </c>
      <c r="B2445" s="13">
        <f>IFERROR(__xludf.DUMMYFUNCTION("""COMPUTED_VALUE"""),6038.81)</f>
        <v>6038.81</v>
      </c>
      <c r="C2445" s="13">
        <f t="shared" si="1"/>
        <v>5980.175</v>
      </c>
      <c r="D2445" s="13">
        <f t="shared" si="2"/>
        <v>5782.01</v>
      </c>
      <c r="E2445" s="13" t="str">
        <f t="shared" si="3"/>
        <v>LONG</v>
      </c>
      <c r="F2445" s="3">
        <f t="shared" si="4"/>
        <v>0.005482960033</v>
      </c>
      <c r="G2445" s="4">
        <f t="shared" si="5"/>
        <v>2.904167629</v>
      </c>
      <c r="H2445" s="3">
        <f t="shared" si="6"/>
        <v>0.005482960033</v>
      </c>
      <c r="I2445" s="5">
        <f t="shared" si="7"/>
        <v>1.684827294</v>
      </c>
    </row>
    <row r="2446">
      <c r="A2446" s="12">
        <f>IFERROR(__xludf.DUMMYFUNCTION("""COMPUTED_VALUE"""),45819.66666666667)</f>
        <v>45819.66667</v>
      </c>
      <c r="B2446" s="13">
        <f>IFERROR(__xludf.DUMMYFUNCTION("""COMPUTED_VALUE"""),6022.24)</f>
        <v>6022.24</v>
      </c>
      <c r="C2446" s="13">
        <f t="shared" si="1"/>
        <v>5955.395</v>
      </c>
      <c r="D2446" s="13">
        <f t="shared" si="2"/>
        <v>5775.495</v>
      </c>
      <c r="E2446" s="13" t="str">
        <f t="shared" si="3"/>
        <v>LONG</v>
      </c>
      <c r="F2446" s="3">
        <f t="shared" si="4"/>
        <v>-0.00274391809</v>
      </c>
      <c r="G2446" s="4">
        <f t="shared" si="5"/>
        <v>2.89619883</v>
      </c>
      <c r="H2446" s="3">
        <f t="shared" si="6"/>
        <v>-0.00274391809</v>
      </c>
      <c r="I2446" s="5">
        <f t="shared" si="7"/>
        <v>1.680204266</v>
      </c>
    </row>
    <row r="2447">
      <c r="A2447" s="12">
        <f>IFERROR(__xludf.DUMMYFUNCTION("""COMPUTED_VALUE"""),45820.66666666667)</f>
        <v>45820.66667</v>
      </c>
      <c r="B2447" s="13">
        <f>IFERROR(__xludf.DUMMYFUNCTION("""COMPUTED_VALUE"""),6045.26)</f>
        <v>6045.26</v>
      </c>
      <c r="C2447" s="13">
        <f t="shared" si="1"/>
        <v>5978.715</v>
      </c>
      <c r="D2447" s="13">
        <f t="shared" si="2"/>
        <v>5803.045</v>
      </c>
      <c r="E2447" s="13" t="str">
        <f t="shared" si="3"/>
        <v>LONG</v>
      </c>
      <c r="F2447" s="3">
        <f t="shared" si="4"/>
        <v>0.003822497941</v>
      </c>
      <c r="G2447" s="4">
        <f t="shared" si="5"/>
        <v>2.907269544</v>
      </c>
      <c r="H2447" s="3">
        <f t="shared" si="6"/>
        <v>0.003822497941</v>
      </c>
      <c r="I2447" s="5">
        <f t="shared" si="7"/>
        <v>1.686626843</v>
      </c>
    </row>
    <row r="2448">
      <c r="A2448" s="12">
        <f>IFERROR(__xludf.DUMMYFUNCTION("""COMPUTED_VALUE"""),45821.66666666667)</f>
        <v>45821.66667</v>
      </c>
      <c r="B2448" s="13">
        <f>IFERROR(__xludf.DUMMYFUNCTION("""COMPUTED_VALUE"""),5976.97)</f>
        <v>5976.97</v>
      </c>
      <c r="C2448" s="13">
        <f t="shared" si="1"/>
        <v>5944.33</v>
      </c>
      <c r="D2448" s="13">
        <f t="shared" si="2"/>
        <v>5773.015</v>
      </c>
      <c r="E2448" s="13" t="str">
        <f t="shared" si="3"/>
        <v>LONG</v>
      </c>
      <c r="F2448" s="3">
        <f t="shared" si="4"/>
        <v>-0.01129645375</v>
      </c>
      <c r="G2448" s="4">
        <f t="shared" si="5"/>
        <v>2.874427709</v>
      </c>
      <c r="H2448" s="3">
        <f t="shared" si="6"/>
        <v>-0.01129645375</v>
      </c>
      <c r="I2448" s="5">
        <f t="shared" si="7"/>
        <v>1.667573941</v>
      </c>
    </row>
    <row r="2449">
      <c r="A2449" s="12">
        <f>IFERROR(__xludf.DUMMYFUNCTION("""COMPUTED_VALUE"""),45824.66666666667)</f>
        <v>45824.66667</v>
      </c>
      <c r="B2449" s="13">
        <f>IFERROR(__xludf.DUMMYFUNCTION("""COMPUTED_VALUE"""),6033.11)</f>
        <v>6033.11</v>
      </c>
      <c r="C2449" s="13">
        <f t="shared" si="1"/>
        <v>5984.525</v>
      </c>
      <c r="D2449" s="13">
        <f t="shared" si="2"/>
        <v>5818.625</v>
      </c>
      <c r="E2449" s="13" t="str">
        <f t="shared" si="3"/>
        <v>LONG</v>
      </c>
      <c r="F2449" s="3">
        <f t="shared" si="4"/>
        <v>0.009392719053</v>
      </c>
      <c r="G2449" s="4">
        <f t="shared" si="5"/>
        <v>2.9014264</v>
      </c>
      <c r="H2449" s="3">
        <f t="shared" si="6"/>
        <v>0.009392719053</v>
      </c>
      <c r="I2449" s="5">
        <f t="shared" si="7"/>
        <v>1.683236995</v>
      </c>
    </row>
    <row r="2450">
      <c r="A2450" s="12">
        <f>IFERROR(__xludf.DUMMYFUNCTION("""COMPUTED_VALUE"""),45825.66666666667)</f>
        <v>45825.66667</v>
      </c>
      <c r="B2450" s="13">
        <f>IFERROR(__xludf.DUMMYFUNCTION("""COMPUTED_VALUE"""),5982.72)</f>
        <v>5982.72</v>
      </c>
      <c r="C2450" s="13">
        <f t="shared" si="1"/>
        <v>5976.545</v>
      </c>
      <c r="D2450" s="13">
        <f t="shared" si="2"/>
        <v>5834.695</v>
      </c>
      <c r="E2450" s="13" t="str">
        <f t="shared" si="3"/>
        <v>LONG</v>
      </c>
      <c r="F2450" s="3">
        <f t="shared" si="4"/>
        <v>-0.008352242873</v>
      </c>
      <c r="G2450" s="4">
        <f t="shared" si="5"/>
        <v>2.877192982</v>
      </c>
      <c r="H2450" s="3">
        <f t="shared" si="6"/>
        <v>-0.008352242873</v>
      </c>
      <c r="I2450" s="5">
        <f t="shared" si="7"/>
        <v>1.66917819</v>
      </c>
    </row>
    <row r="2451">
      <c r="A2451" s="12">
        <f>IFERROR(__xludf.DUMMYFUNCTION("""COMPUTED_VALUE"""),45826.66666666667)</f>
        <v>45826.66667</v>
      </c>
      <c r="B2451" s="13">
        <f>IFERROR(__xludf.DUMMYFUNCTION("""COMPUTED_VALUE"""),5980.87)</f>
        <v>5980.87</v>
      </c>
      <c r="C2451" s="13">
        <f t="shared" si="1"/>
        <v>5975.84</v>
      </c>
      <c r="D2451" s="13">
        <f t="shared" si="2"/>
        <v>5815.625</v>
      </c>
      <c r="E2451" s="13" t="str">
        <f t="shared" si="3"/>
        <v>LONG</v>
      </c>
      <c r="F2451" s="3">
        <f t="shared" si="4"/>
        <v>-0.0003092238982</v>
      </c>
      <c r="G2451" s="4">
        <f t="shared" si="5"/>
        <v>2.876303286</v>
      </c>
      <c r="H2451" s="3">
        <f t="shared" si="6"/>
        <v>-0.0003092238982</v>
      </c>
      <c r="I2451" s="5">
        <f t="shared" si="7"/>
        <v>1.668662041</v>
      </c>
    </row>
    <row r="2452">
      <c r="A2452" s="12">
        <f>IFERROR(__xludf.DUMMYFUNCTION("""COMPUTED_VALUE"""),45828.66666666667)</f>
        <v>45828.66667</v>
      </c>
      <c r="B2452" s="13">
        <f>IFERROR(__xludf.DUMMYFUNCTION("""COMPUTED_VALUE"""),5967.84)</f>
        <v>5967.84</v>
      </c>
      <c r="C2452" s="13">
        <f t="shared" si="1"/>
        <v>5953.57</v>
      </c>
      <c r="D2452" s="13">
        <f t="shared" si="2"/>
        <v>5787.375</v>
      </c>
      <c r="E2452" s="13" t="str">
        <f t="shared" si="3"/>
        <v>LONG</v>
      </c>
      <c r="F2452" s="3">
        <f t="shared" si="4"/>
        <v>-0.002178612811</v>
      </c>
      <c r="G2452" s="4">
        <f t="shared" si="5"/>
        <v>2.870036934</v>
      </c>
      <c r="H2452" s="3">
        <f t="shared" si="6"/>
        <v>-0.002178612811</v>
      </c>
      <c r="I2452" s="5">
        <f t="shared" si="7"/>
        <v>1.665026672</v>
      </c>
    </row>
    <row r="2453">
      <c r="A2453" s="12">
        <f>IFERROR(__xludf.DUMMYFUNCTION("""COMPUTED_VALUE"""),45831.66666666667)</f>
        <v>45831.66667</v>
      </c>
      <c r="B2453" s="13">
        <f>IFERROR(__xludf.DUMMYFUNCTION("""COMPUTED_VALUE"""),6025.17)</f>
        <v>6025.17</v>
      </c>
      <c r="C2453" s="13">
        <f t="shared" si="1"/>
        <v>6012.765</v>
      </c>
      <c r="D2453" s="13">
        <f t="shared" si="2"/>
        <v>5828.225</v>
      </c>
      <c r="E2453" s="13" t="str">
        <f t="shared" si="3"/>
        <v>LONG</v>
      </c>
      <c r="F2453" s="3">
        <f t="shared" si="4"/>
        <v>0.009606490791</v>
      </c>
      <c r="G2453" s="4">
        <f t="shared" si="5"/>
        <v>2.897607918</v>
      </c>
      <c r="H2453" s="3">
        <f t="shared" si="6"/>
        <v>0.009606490791</v>
      </c>
      <c r="I2453" s="5">
        <f t="shared" si="7"/>
        <v>1.681021736</v>
      </c>
    </row>
    <row r="2454">
      <c r="A2454" s="12">
        <f>IFERROR(__xludf.DUMMYFUNCTION("""COMPUTED_VALUE"""),45832.66666666667)</f>
        <v>45832.66667</v>
      </c>
      <c r="B2454" s="13">
        <f>IFERROR(__xludf.DUMMYFUNCTION("""COMPUTED_VALUE"""),6092.18)</f>
        <v>6092.18</v>
      </c>
      <c r="C2454" s="13">
        <f t="shared" si="1"/>
        <v>6049.03</v>
      </c>
      <c r="D2454" s="13">
        <f t="shared" si="2"/>
        <v>5878.06</v>
      </c>
      <c r="E2454" s="13" t="str">
        <f t="shared" si="3"/>
        <v>LONG</v>
      </c>
      <c r="F2454" s="3">
        <f t="shared" si="4"/>
        <v>0.01112167789</v>
      </c>
      <c r="G2454" s="4">
        <f t="shared" si="5"/>
        <v>2.92983418</v>
      </c>
      <c r="H2454" s="3">
        <f t="shared" si="6"/>
        <v>0.01112167789</v>
      </c>
      <c r="I2454" s="5">
        <f t="shared" si="7"/>
        <v>1.699717518</v>
      </c>
    </row>
    <row r="2455">
      <c r="A2455" s="12">
        <f>IFERROR(__xludf.DUMMYFUNCTION("""COMPUTED_VALUE"""),45833.66666666667)</f>
        <v>45833.66667</v>
      </c>
      <c r="B2455" s="13">
        <f>IFERROR(__xludf.DUMMYFUNCTION("""COMPUTED_VALUE"""),6092.16)</f>
        <v>6092.16</v>
      </c>
      <c r="C2455" s="13">
        <f t="shared" si="1"/>
        <v>6065.485</v>
      </c>
      <c r="D2455" s="13">
        <f t="shared" si="2"/>
        <v>5876.035</v>
      </c>
      <c r="E2455" s="13" t="str">
        <f t="shared" si="3"/>
        <v>LONG</v>
      </c>
      <c r="F2455" s="3">
        <f t="shared" si="4"/>
        <v>-0.000003282897091</v>
      </c>
      <c r="G2455" s="4">
        <f t="shared" si="5"/>
        <v>2.929824561</v>
      </c>
      <c r="H2455" s="3">
        <f t="shared" si="6"/>
        <v>-0.000003282897091</v>
      </c>
      <c r="I2455" s="5">
        <f t="shared" si="7"/>
        <v>1.699711938</v>
      </c>
    </row>
    <row r="2456">
      <c r="A2456" s="12">
        <f>IFERROR(__xludf.DUMMYFUNCTION("""COMPUTED_VALUE"""),45834.66666666667)</f>
        <v>45834.66667</v>
      </c>
      <c r="B2456" s="13">
        <f>IFERROR(__xludf.DUMMYFUNCTION("""COMPUTED_VALUE"""),6141.02)</f>
        <v>6141.02</v>
      </c>
      <c r="C2456" s="13">
        <f t="shared" si="1"/>
        <v>6081.63</v>
      </c>
      <c r="D2456" s="13">
        <f t="shared" si="2"/>
        <v>5992.605</v>
      </c>
      <c r="E2456" s="13" t="str">
        <f t="shared" si="3"/>
        <v>LONG</v>
      </c>
      <c r="F2456" s="3">
        <f t="shared" si="4"/>
        <v>0.008020143923</v>
      </c>
      <c r="G2456" s="4">
        <f t="shared" si="5"/>
        <v>2.953322176</v>
      </c>
      <c r="H2456" s="3">
        <f t="shared" si="6"/>
        <v>0.008020143923</v>
      </c>
      <c r="I2456" s="5">
        <f t="shared" si="7"/>
        <v>1.713343872</v>
      </c>
    </row>
    <row r="2457">
      <c r="A2457" s="12">
        <f>IFERROR(__xludf.DUMMYFUNCTION("""COMPUTED_VALUE"""),45835.66666666667)</f>
        <v>45835.66667</v>
      </c>
      <c r="B2457" s="13">
        <f>IFERROR(__xludf.DUMMYFUNCTION("""COMPUTED_VALUE"""),6173.07)</f>
        <v>6173.07</v>
      </c>
      <c r="C2457" s="13">
        <f t="shared" si="1"/>
        <v>6109.165</v>
      </c>
      <c r="D2457" s="13">
        <f t="shared" si="2"/>
        <v>6029.81</v>
      </c>
      <c r="E2457" s="13" t="str">
        <f t="shared" si="3"/>
        <v>LONG</v>
      </c>
      <c r="F2457" s="3">
        <f t="shared" si="4"/>
        <v>0.005219002706</v>
      </c>
      <c r="G2457" s="4">
        <f t="shared" si="5"/>
        <v>2.968735572</v>
      </c>
      <c r="H2457" s="3">
        <f t="shared" si="6"/>
        <v>0.005219002706</v>
      </c>
      <c r="I2457" s="5">
        <f t="shared" si="7"/>
        <v>1.722285818</v>
      </c>
    </row>
    <row r="2458">
      <c r="A2458" s="12">
        <f>IFERROR(__xludf.DUMMYFUNCTION("""COMPUTED_VALUE"""),45838.66666666667)</f>
        <v>45838.66667</v>
      </c>
      <c r="B2458" s="13">
        <f>IFERROR(__xludf.DUMMYFUNCTION("""COMPUTED_VALUE"""),6204.95)</f>
        <v>6204.95</v>
      </c>
      <c r="C2458" s="13">
        <f t="shared" si="1"/>
        <v>6090.96</v>
      </c>
      <c r="D2458" s="13">
        <f t="shared" si="2"/>
        <v>6048.765</v>
      </c>
      <c r="E2458" s="13" t="str">
        <f t="shared" si="3"/>
        <v>LONG</v>
      </c>
      <c r="F2458" s="3">
        <f t="shared" si="4"/>
        <v>0.005164367163</v>
      </c>
      <c r="G2458" s="4">
        <f t="shared" si="5"/>
        <v>2.984067213</v>
      </c>
      <c r="H2458" s="3">
        <f t="shared" si="6"/>
        <v>0.005164367163</v>
      </c>
      <c r="I2458" s="5">
        <f t="shared" si="7"/>
        <v>1.731180335</v>
      </c>
    </row>
    <row r="2459">
      <c r="A2459" s="12">
        <f>IFERROR(__xludf.DUMMYFUNCTION("""COMPUTED_VALUE"""),45839.66666666667)</f>
        <v>45839.66667</v>
      </c>
      <c r="B2459" s="13">
        <f>IFERROR(__xludf.DUMMYFUNCTION("""COMPUTED_VALUE"""),6198.01)</f>
        <v>6198.01</v>
      </c>
      <c r="C2459" s="13">
        <f t="shared" si="1"/>
        <v>6115.56</v>
      </c>
      <c r="D2459" s="13">
        <f t="shared" si="2"/>
        <v>6057.47</v>
      </c>
      <c r="E2459" s="13" t="str">
        <f t="shared" si="3"/>
        <v>LONG</v>
      </c>
      <c r="F2459" s="3">
        <f t="shared" si="4"/>
        <v>-0.001118461873</v>
      </c>
      <c r="G2459" s="4">
        <f t="shared" si="5"/>
        <v>2.980729648</v>
      </c>
      <c r="H2459" s="3">
        <f t="shared" si="6"/>
        <v>-0.001118461873</v>
      </c>
      <c r="I2459" s="5">
        <f t="shared" si="7"/>
        <v>1.729244076</v>
      </c>
    </row>
    <row r="2460">
      <c r="A2460" s="12">
        <f>IFERROR(__xludf.DUMMYFUNCTION("""COMPUTED_VALUE"""),45840.66666666667)</f>
        <v>45840.66667</v>
      </c>
      <c r="B2460" s="13">
        <f>IFERROR(__xludf.DUMMYFUNCTION("""COMPUTED_VALUE"""),6227.42)</f>
        <v>6227.42</v>
      </c>
      <c r="C2460" s="13">
        <f t="shared" si="1"/>
        <v>6105.07</v>
      </c>
      <c r="D2460" s="13">
        <f t="shared" si="2"/>
        <v>6092.9</v>
      </c>
      <c r="E2460" s="13" t="str">
        <f t="shared" si="3"/>
        <v>LONG</v>
      </c>
      <c r="F2460" s="3">
        <f t="shared" si="4"/>
        <v>0.004745071402</v>
      </c>
      <c r="G2460" s="4">
        <f t="shared" si="5"/>
        <v>2.994873423</v>
      </c>
      <c r="H2460" s="3">
        <f t="shared" si="6"/>
        <v>0.004745071402</v>
      </c>
      <c r="I2460" s="5">
        <f t="shared" si="7"/>
        <v>1.737449462</v>
      </c>
    </row>
    <row r="2461">
      <c r="A2461" s="12">
        <f>IFERROR(__xludf.DUMMYFUNCTION("""COMPUTED_VALUE"""),45841.54166666667)</f>
        <v>45841.54167</v>
      </c>
      <c r="B2461" s="13">
        <f>IFERROR(__xludf.DUMMYFUNCTION("""COMPUTED_VALUE"""),6279.35)</f>
        <v>6279.35</v>
      </c>
      <c r="C2461" s="13">
        <f t="shared" si="1"/>
        <v>6130.11</v>
      </c>
      <c r="D2461" s="13">
        <f t="shared" si="2"/>
        <v>6121.475</v>
      </c>
      <c r="E2461" s="13" t="str">
        <f t="shared" si="3"/>
        <v>LONG</v>
      </c>
      <c r="F2461" s="3">
        <f t="shared" si="4"/>
        <v>0.008338926875</v>
      </c>
      <c r="G2461" s="4">
        <f t="shared" si="5"/>
        <v>3.019847453</v>
      </c>
      <c r="H2461" s="3">
        <f t="shared" si="6"/>
        <v>0.008338926875</v>
      </c>
      <c r="I2461" s="5">
        <f t="shared" si="7"/>
        <v>1.751937926</v>
      </c>
    </row>
    <row r="2462">
      <c r="A2462" s="12">
        <f>IFERROR(__xludf.DUMMYFUNCTION("""COMPUTED_VALUE"""),45845.66666666667)</f>
        <v>45845.66667</v>
      </c>
      <c r="B2462" s="13">
        <f>IFERROR(__xludf.DUMMYFUNCTION("""COMPUTED_VALUE"""),6229.98)</f>
        <v>6229.98</v>
      </c>
      <c r="C2462" s="13">
        <f t="shared" si="1"/>
        <v>6098.91</v>
      </c>
      <c r="D2462" s="13">
        <f t="shared" si="2"/>
        <v>6085.22</v>
      </c>
      <c r="E2462" s="13" t="str">
        <f t="shared" si="3"/>
        <v>LONG</v>
      </c>
      <c r="F2462" s="3">
        <f t="shared" si="4"/>
        <v>-0.007862278739</v>
      </c>
      <c r="G2462" s="4">
        <f t="shared" si="5"/>
        <v>2.996104571</v>
      </c>
      <c r="H2462" s="3">
        <f t="shared" si="6"/>
        <v>-0.007862278739</v>
      </c>
      <c r="I2462" s="5">
        <f t="shared" si="7"/>
        <v>1.738163702</v>
      </c>
    </row>
    <row r="2463">
      <c r="A2463" s="12">
        <f>IFERROR(__xludf.DUMMYFUNCTION("""COMPUTED_VALUE"""),45846.66666666667)</f>
        <v>45846.66667</v>
      </c>
      <c r="B2463" s="13">
        <f>IFERROR(__xludf.DUMMYFUNCTION("""COMPUTED_VALUE"""),6225.52)</f>
        <v>6225.52</v>
      </c>
      <c r="C2463" s="13">
        <f t="shared" si="1"/>
        <v>6125.345</v>
      </c>
      <c r="D2463" s="13">
        <f t="shared" si="2"/>
        <v>6035.065</v>
      </c>
      <c r="E2463" s="13" t="str">
        <f t="shared" si="3"/>
        <v>LONG</v>
      </c>
      <c r="F2463" s="3">
        <f t="shared" si="4"/>
        <v>-0.0007158931489</v>
      </c>
      <c r="G2463" s="4">
        <f t="shared" si="5"/>
        <v>2.99395968</v>
      </c>
      <c r="H2463" s="3">
        <f t="shared" si="6"/>
        <v>-0.0007158931489</v>
      </c>
      <c r="I2463" s="5">
        <f t="shared" si="7"/>
        <v>1.736919362</v>
      </c>
    </row>
    <row r="2464">
      <c r="A2464" s="12">
        <f>IFERROR(__xludf.DUMMYFUNCTION("""COMPUTED_VALUE"""),45847.66666666667)</f>
        <v>45847.66667</v>
      </c>
      <c r="B2464" s="13">
        <f>IFERROR(__xludf.DUMMYFUNCTION("""COMPUTED_VALUE"""),6263.26)</f>
        <v>6263.26</v>
      </c>
      <c r="C2464" s="13">
        <f t="shared" si="1"/>
        <v>6177.72</v>
      </c>
      <c r="D2464" s="13">
        <f t="shared" si="2"/>
        <v>6052.635</v>
      </c>
      <c r="E2464" s="13" t="str">
        <f t="shared" si="3"/>
        <v>LONG</v>
      </c>
      <c r="F2464" s="3">
        <f t="shared" si="4"/>
        <v>0.006062144206</v>
      </c>
      <c r="G2464" s="4">
        <f t="shared" si="5"/>
        <v>3.012109495</v>
      </c>
      <c r="H2464" s="3">
        <f t="shared" si="6"/>
        <v>0.006062144206</v>
      </c>
      <c r="I2464" s="5">
        <f t="shared" si="7"/>
        <v>1.747448818</v>
      </c>
    </row>
    <row r="2465">
      <c r="A2465" s="12">
        <f>IFERROR(__xludf.DUMMYFUNCTION("""COMPUTED_VALUE"""),45848.66666666667)</f>
        <v>45848.66667</v>
      </c>
      <c r="B2465" s="13">
        <f>IFERROR(__xludf.DUMMYFUNCTION("""COMPUTED_VALUE"""),6280.46)</f>
        <v>6280.46</v>
      </c>
      <c r="C2465" s="13">
        <f t="shared" si="1"/>
        <v>6186.31</v>
      </c>
      <c r="D2465" s="13">
        <f t="shared" si="2"/>
        <v>6041.64</v>
      </c>
      <c r="E2465" s="13" t="str">
        <f t="shared" si="3"/>
        <v>LONG</v>
      </c>
      <c r="F2465" s="3">
        <f t="shared" si="4"/>
        <v>0.002746173718</v>
      </c>
      <c r="G2465" s="4">
        <f t="shared" si="5"/>
        <v>3.020381271</v>
      </c>
      <c r="H2465" s="3">
        <f t="shared" si="6"/>
        <v>0.002746173718</v>
      </c>
      <c r="I2465" s="5">
        <f t="shared" si="7"/>
        <v>1.752247616</v>
      </c>
    </row>
    <row r="2466">
      <c r="A2466" s="12">
        <f>IFERROR(__xludf.DUMMYFUNCTION("""COMPUTED_VALUE"""),45849.66666666667)</f>
        <v>45849.66667</v>
      </c>
      <c r="B2466" s="13">
        <f>IFERROR(__xludf.DUMMYFUNCTION("""COMPUTED_VALUE"""),6259.75)</f>
        <v>6259.75</v>
      </c>
      <c r="C2466" s="13">
        <f t="shared" si="1"/>
        <v>6200.385</v>
      </c>
      <c r="D2466" s="13">
        <f t="shared" si="2"/>
        <v>6090.645</v>
      </c>
      <c r="E2466" s="13" t="str">
        <f t="shared" si="3"/>
        <v>LONG</v>
      </c>
      <c r="F2466" s="3">
        <f t="shared" si="4"/>
        <v>-0.003297529162</v>
      </c>
      <c r="G2466" s="4">
        <f t="shared" si="5"/>
        <v>3.010421476</v>
      </c>
      <c r="H2466" s="3">
        <f t="shared" si="6"/>
        <v>-0.003297529162</v>
      </c>
      <c r="I2466" s="5">
        <f t="shared" si="7"/>
        <v>1.746469528</v>
      </c>
    </row>
    <row r="2467">
      <c r="A2467" s="12">
        <f>IFERROR(__xludf.DUMMYFUNCTION("""COMPUTED_VALUE"""),45852.66666666667)</f>
        <v>45852.66667</v>
      </c>
      <c r="B2467" s="13">
        <f>IFERROR(__xludf.DUMMYFUNCTION("""COMPUTED_VALUE"""),6268.56)</f>
        <v>6268.56</v>
      </c>
      <c r="C2467" s="13">
        <f t="shared" si="1"/>
        <v>6220.815</v>
      </c>
      <c r="D2467" s="13">
        <f t="shared" si="2"/>
        <v>6078.555</v>
      </c>
      <c r="E2467" s="13" t="str">
        <f t="shared" si="3"/>
        <v>LONG</v>
      </c>
      <c r="F2467" s="3">
        <f t="shared" si="4"/>
        <v>0.001407404449</v>
      </c>
      <c r="G2467" s="4">
        <f t="shared" si="5"/>
        <v>3.014658356</v>
      </c>
      <c r="H2467" s="3">
        <f t="shared" si="6"/>
        <v>0.001407404449</v>
      </c>
      <c r="I2467" s="5">
        <f t="shared" si="7"/>
        <v>1.748927517</v>
      </c>
    </row>
    <row r="2468">
      <c r="A2468" s="12">
        <f>IFERROR(__xludf.DUMMYFUNCTION("""COMPUTED_VALUE"""),45853.66666666667)</f>
        <v>45853.66667</v>
      </c>
      <c r="B2468" s="13">
        <f>IFERROR(__xludf.DUMMYFUNCTION("""COMPUTED_VALUE"""),6243.76)</f>
        <v>6243.76</v>
      </c>
      <c r="C2468" s="13">
        <f t="shared" si="1"/>
        <v>6224.355</v>
      </c>
      <c r="D2468" s="13">
        <f t="shared" si="2"/>
        <v>6077.965</v>
      </c>
      <c r="E2468" s="13" t="str">
        <f t="shared" si="3"/>
        <v>LONG</v>
      </c>
      <c r="F2468" s="3">
        <f t="shared" si="4"/>
        <v>-0.003956251515</v>
      </c>
      <c r="G2468" s="4">
        <f t="shared" si="5"/>
        <v>3.00273161</v>
      </c>
      <c r="H2468" s="3">
        <f t="shared" si="6"/>
        <v>-0.003956251515</v>
      </c>
      <c r="I2468" s="5">
        <f t="shared" si="7"/>
        <v>1.74200832</v>
      </c>
    </row>
    <row r="2469">
      <c r="A2469" s="12">
        <f>IFERROR(__xludf.DUMMYFUNCTION("""COMPUTED_VALUE"""),45854.66666666667)</f>
        <v>45854.66667</v>
      </c>
      <c r="B2469" s="13">
        <f>IFERROR(__xludf.DUMMYFUNCTION("""COMPUTED_VALUE"""),6263.7)</f>
        <v>6263.7</v>
      </c>
      <c r="C2469" s="13">
        <f t="shared" si="1"/>
        <v>6230.855</v>
      </c>
      <c r="D2469" s="13">
        <f t="shared" si="2"/>
        <v>6087.695</v>
      </c>
      <c r="E2469" s="13" t="str">
        <f t="shared" si="3"/>
        <v>LONG</v>
      </c>
      <c r="F2469" s="3">
        <f t="shared" si="4"/>
        <v>0.003193588479</v>
      </c>
      <c r="G2469" s="4">
        <f t="shared" si="5"/>
        <v>3.012321099</v>
      </c>
      <c r="H2469" s="3">
        <f t="shared" si="6"/>
        <v>0.003193588479</v>
      </c>
      <c r="I2469" s="5">
        <f t="shared" si="7"/>
        <v>1.747571578</v>
      </c>
    </row>
    <row r="2470">
      <c r="A2470" s="12">
        <f>IFERROR(__xludf.DUMMYFUNCTION("""COMPUTED_VALUE"""),45855.66666666667)</f>
        <v>45855.66667</v>
      </c>
      <c r="B2470" s="13">
        <f>IFERROR(__xludf.DUMMYFUNCTION("""COMPUTED_VALUE"""),6297.36)</f>
        <v>6297.36</v>
      </c>
      <c r="C2470" s="13">
        <f t="shared" si="1"/>
        <v>6262.39</v>
      </c>
      <c r="D2470" s="13">
        <f t="shared" si="2"/>
        <v>6116.65</v>
      </c>
      <c r="E2470" s="13" t="str">
        <f t="shared" si="3"/>
        <v>LONG</v>
      </c>
      <c r="F2470" s="3">
        <f t="shared" si="4"/>
        <v>0.005373820585</v>
      </c>
      <c r="G2470" s="4">
        <f t="shared" si="5"/>
        <v>3.028508772</v>
      </c>
      <c r="H2470" s="3">
        <f t="shared" si="6"/>
        <v>0.005373820585</v>
      </c>
      <c r="I2470" s="5">
        <f t="shared" si="7"/>
        <v>1.756962714</v>
      </c>
    </row>
    <row r="2471">
      <c r="A2471" s="12">
        <f>IFERROR(__xludf.DUMMYFUNCTION("""COMPUTED_VALUE"""),45856.66666666667)</f>
        <v>45856.66667</v>
      </c>
      <c r="B2471" s="13">
        <f>IFERROR(__xludf.DUMMYFUNCTION("""COMPUTED_VALUE"""),6296.79)</f>
        <v>6296.79</v>
      </c>
      <c r="C2471" s="13">
        <f t="shared" si="1"/>
        <v>6288.07</v>
      </c>
      <c r="D2471" s="13">
        <f t="shared" si="2"/>
        <v>6133.58</v>
      </c>
      <c r="E2471" s="13" t="str">
        <f t="shared" si="3"/>
        <v>LONG</v>
      </c>
      <c r="F2471" s="3">
        <f t="shared" si="4"/>
        <v>-0.0000905141202</v>
      </c>
      <c r="G2471" s="4">
        <f t="shared" si="5"/>
        <v>3.028234649</v>
      </c>
      <c r="H2471" s="3">
        <f t="shared" si="6"/>
        <v>-0.0000905141202</v>
      </c>
      <c r="I2471" s="5">
        <f t="shared" si="7"/>
        <v>1.756803684</v>
      </c>
    </row>
    <row r="2472">
      <c r="A2472" s="12">
        <f>IFERROR(__xludf.DUMMYFUNCTION("""COMPUTED_VALUE"""),45859.66666666667)</f>
        <v>45859.66667</v>
      </c>
      <c r="B2472" s="13">
        <f>IFERROR(__xludf.DUMMYFUNCTION("""COMPUTED_VALUE"""),6305.6)</f>
        <v>6305.6</v>
      </c>
      <c r="C2472" s="13">
        <f t="shared" si="1"/>
        <v>6267.79</v>
      </c>
      <c r="D2472" s="13">
        <f t="shared" si="2"/>
        <v>6138.205</v>
      </c>
      <c r="E2472" s="13" t="str">
        <f t="shared" si="3"/>
        <v>LONG</v>
      </c>
      <c r="F2472" s="3">
        <f t="shared" si="4"/>
        <v>0.001399125586</v>
      </c>
      <c r="G2472" s="4">
        <f t="shared" si="5"/>
        <v>3.03247153</v>
      </c>
      <c r="H2472" s="3">
        <f t="shared" si="6"/>
        <v>0.001399125586</v>
      </c>
      <c r="I2472" s="5">
        <f t="shared" si="7"/>
        <v>1.759261673</v>
      </c>
    </row>
    <row r="2473">
      <c r="A2473" s="12">
        <f>IFERROR(__xludf.DUMMYFUNCTION("""COMPUTED_VALUE"""),45860.66666666667)</f>
        <v>45860.66667</v>
      </c>
      <c r="B2473" s="13">
        <f>IFERROR(__xludf.DUMMYFUNCTION("""COMPUTED_VALUE"""),6309.62)</f>
        <v>6309.62</v>
      </c>
      <c r="C2473" s="13">
        <f t="shared" si="1"/>
        <v>6267.57</v>
      </c>
      <c r="D2473" s="13">
        <f t="shared" si="2"/>
        <v>6124.46</v>
      </c>
      <c r="E2473" s="13" t="str">
        <f t="shared" si="3"/>
        <v>LONG</v>
      </c>
      <c r="F2473" s="3">
        <f t="shared" si="4"/>
        <v>0.0006375285461</v>
      </c>
      <c r="G2473" s="4">
        <f t="shared" si="5"/>
        <v>3.034404817</v>
      </c>
      <c r="H2473" s="3">
        <f t="shared" si="6"/>
        <v>0.0006375285461</v>
      </c>
      <c r="I2473" s="5">
        <f t="shared" si="7"/>
        <v>1.760383253</v>
      </c>
    </row>
    <row r="2474">
      <c r="A2474" s="12">
        <f>IFERROR(__xludf.DUMMYFUNCTION("""COMPUTED_VALUE"""),45861.66666666667)</f>
        <v>45861.66667</v>
      </c>
      <c r="B2474" s="13">
        <f>IFERROR(__xludf.DUMMYFUNCTION("""COMPUTED_VALUE"""),6358.91)</f>
        <v>6358.91</v>
      </c>
      <c r="C2474" s="13">
        <f t="shared" si="1"/>
        <v>6311.085</v>
      </c>
      <c r="D2474" s="13">
        <f t="shared" si="2"/>
        <v>6179.635</v>
      </c>
      <c r="E2474" s="13" t="str">
        <f t="shared" si="3"/>
        <v>LONG</v>
      </c>
      <c r="F2474" s="3">
        <f t="shared" si="4"/>
        <v>0.007811880906</v>
      </c>
      <c r="G2474" s="4">
        <f t="shared" si="5"/>
        <v>3.058109226</v>
      </c>
      <c r="H2474" s="3">
        <f t="shared" si="6"/>
        <v>0.007811880906</v>
      </c>
      <c r="I2474" s="5">
        <f t="shared" si="7"/>
        <v>1.774135157</v>
      </c>
    </row>
    <row r="2475">
      <c r="A2475" s="12">
        <f>IFERROR(__xludf.DUMMYFUNCTION("""COMPUTED_VALUE"""),45862.66666666667)</f>
        <v>45862.66667</v>
      </c>
      <c r="B2475" s="13">
        <f>IFERROR(__xludf.DUMMYFUNCTION("""COMPUTED_VALUE"""),6363.35)</f>
        <v>6363.35</v>
      </c>
      <c r="C2475" s="13">
        <f t="shared" si="1"/>
        <v>6321.905</v>
      </c>
      <c r="D2475" s="13">
        <f t="shared" si="2"/>
        <v>6184.615</v>
      </c>
      <c r="E2475" s="13" t="str">
        <f t="shared" si="3"/>
        <v>LONG</v>
      </c>
      <c r="F2475" s="3">
        <f t="shared" si="4"/>
        <v>0.0006982328732</v>
      </c>
      <c r="G2475" s="4">
        <f t="shared" si="5"/>
        <v>3.060244498</v>
      </c>
      <c r="H2475" s="3">
        <f t="shared" si="6"/>
        <v>0.0006982328732</v>
      </c>
      <c r="I2475" s="5">
        <f t="shared" si="7"/>
        <v>1.775373917</v>
      </c>
    </row>
    <row r="2476">
      <c r="A2476" s="12">
        <f>IFERROR(__xludf.DUMMYFUNCTION("""COMPUTED_VALUE"""),45863.66666666667)</f>
        <v>45863.66667</v>
      </c>
      <c r="B2476" s="13">
        <f>IFERROR(__xludf.DUMMYFUNCTION("""COMPUTED_VALUE"""),6388.64)</f>
        <v>6388.64</v>
      </c>
      <c r="C2476" s="13">
        <f t="shared" si="1"/>
        <v>6324.195</v>
      </c>
      <c r="D2476" s="13">
        <f t="shared" si="2"/>
        <v>6213.725</v>
      </c>
      <c r="E2476" s="13" t="str">
        <f t="shared" si="3"/>
        <v>LONG</v>
      </c>
      <c r="F2476" s="3">
        <f t="shared" si="4"/>
        <v>0.003974321702</v>
      </c>
      <c r="G2476" s="4">
        <f t="shared" si="5"/>
        <v>3.072406894</v>
      </c>
      <c r="H2476" s="3">
        <f t="shared" si="6"/>
        <v>0.003974321702</v>
      </c>
      <c r="I2476" s="5">
        <f t="shared" si="7"/>
        <v>1.782429824</v>
      </c>
    </row>
    <row r="2477">
      <c r="A2477" s="12">
        <f>IFERROR(__xludf.DUMMYFUNCTION("""COMPUTED_VALUE"""),45866.66666666667)</f>
        <v>45866.66667</v>
      </c>
      <c r="B2477" s="13">
        <f>IFERROR(__xludf.DUMMYFUNCTION("""COMPUTED_VALUE"""),6389.77)</f>
        <v>6389.77</v>
      </c>
      <c r="C2477" s="13">
        <f t="shared" si="1"/>
        <v>6329.165</v>
      </c>
      <c r="D2477" s="13">
        <f t="shared" si="2"/>
        <v>6206.005</v>
      </c>
      <c r="E2477" s="13" t="str">
        <f t="shared" si="3"/>
        <v>LONG</v>
      </c>
      <c r="F2477" s="3">
        <f t="shared" si="4"/>
        <v>0.0001768764557</v>
      </c>
      <c r="G2477" s="4">
        <f t="shared" si="5"/>
        <v>3.072950331</v>
      </c>
      <c r="H2477" s="3">
        <f t="shared" si="6"/>
        <v>0.0001768764557</v>
      </c>
      <c r="I2477" s="5">
        <f t="shared" si="7"/>
        <v>1.782745093</v>
      </c>
    </row>
    <row r="2478">
      <c r="A2478" s="12">
        <f>IFERROR(__xludf.DUMMYFUNCTION("""COMPUTED_VALUE"""),45867.66666666667)</f>
        <v>45867.66667</v>
      </c>
      <c r="B2478" s="13">
        <f>IFERROR(__xludf.DUMMYFUNCTION("""COMPUTED_VALUE"""),6370.86)</f>
        <v>6370.86</v>
      </c>
      <c r="C2478" s="13">
        <f t="shared" si="1"/>
        <v>6307.31</v>
      </c>
      <c r="D2478" s="13">
        <f t="shared" si="2"/>
        <v>6208.06</v>
      </c>
      <c r="E2478" s="13" t="str">
        <f t="shared" si="3"/>
        <v>LONG</v>
      </c>
      <c r="F2478" s="3">
        <f t="shared" si="4"/>
        <v>-0.002959417945</v>
      </c>
      <c r="G2478" s="4">
        <f t="shared" si="5"/>
        <v>3.063856187</v>
      </c>
      <c r="H2478" s="3">
        <f t="shared" si="6"/>
        <v>-0.002959417945</v>
      </c>
      <c r="I2478" s="5">
        <f t="shared" si="7"/>
        <v>1.777469206</v>
      </c>
    </row>
    <row r="2479">
      <c r="A2479" s="12">
        <f>IFERROR(__xludf.DUMMYFUNCTION("""COMPUTED_VALUE"""),45868.66666666667)</f>
        <v>45868.66667</v>
      </c>
      <c r="B2479" s="13">
        <f>IFERROR(__xludf.DUMMYFUNCTION("""COMPUTED_VALUE"""),6362.9)</f>
        <v>6362.9</v>
      </c>
      <c r="C2479" s="13">
        <f t="shared" si="1"/>
        <v>6313.3</v>
      </c>
      <c r="D2479" s="13">
        <f t="shared" si="2"/>
        <v>6169.935</v>
      </c>
      <c r="E2479" s="13" t="str">
        <f t="shared" si="3"/>
        <v>LONG</v>
      </c>
      <c r="F2479" s="3">
        <f t="shared" si="4"/>
        <v>-0.001249438851</v>
      </c>
      <c r="G2479" s="4">
        <f t="shared" si="5"/>
        <v>3.060028086</v>
      </c>
      <c r="H2479" s="3">
        <f t="shared" si="6"/>
        <v>-0.001249438851</v>
      </c>
      <c r="I2479" s="5">
        <f t="shared" si="7"/>
        <v>1.775248367</v>
      </c>
    </row>
    <row r="2480">
      <c r="A2480" s="12">
        <f>IFERROR(__xludf.DUMMYFUNCTION("""COMPUTED_VALUE"""),45869.66666666667)</f>
        <v>45869.66667</v>
      </c>
      <c r="B2480" s="13">
        <f>IFERROR(__xludf.DUMMYFUNCTION("""COMPUTED_VALUE"""),6339.39)</f>
        <v>6339.39</v>
      </c>
      <c r="C2480" s="13">
        <f t="shared" si="1"/>
        <v>6318.375</v>
      </c>
      <c r="D2480" s="13">
        <f t="shared" si="2"/>
        <v>6186.25</v>
      </c>
      <c r="E2480" s="13" t="str">
        <f t="shared" si="3"/>
        <v>LONG</v>
      </c>
      <c r="F2480" s="3">
        <f t="shared" si="4"/>
        <v>-0.003694856119</v>
      </c>
      <c r="G2480" s="4">
        <f t="shared" si="5"/>
        <v>3.048721722</v>
      </c>
      <c r="H2480" s="3">
        <f t="shared" si="6"/>
        <v>-0.003694856119</v>
      </c>
      <c r="I2480" s="5">
        <f t="shared" si="7"/>
        <v>1.768689079</v>
      </c>
    </row>
    <row r="2481">
      <c r="A2481" s="12">
        <f>IFERROR(__xludf.DUMMYFUNCTION("""COMPUTED_VALUE"""),45870.66666666667)</f>
        <v>45870.66667</v>
      </c>
      <c r="B2481" s="13">
        <f>IFERROR(__xludf.DUMMYFUNCTION("""COMPUTED_VALUE"""),6238.01)</f>
        <v>6238.01</v>
      </c>
      <c r="C2481" s="13">
        <f t="shared" si="1"/>
        <v>6267.4</v>
      </c>
      <c r="D2481" s="13">
        <f t="shared" si="2"/>
        <v>6110.365</v>
      </c>
      <c r="E2481" s="13" t="str">
        <f t="shared" si="3"/>
        <v>LONG</v>
      </c>
      <c r="F2481" s="3">
        <f t="shared" si="4"/>
        <v>-0.01599207495</v>
      </c>
      <c r="G2481" s="4">
        <f t="shared" si="5"/>
        <v>2.999966336</v>
      </c>
      <c r="H2481" s="3">
        <f t="shared" si="6"/>
        <v>-0.01599207495</v>
      </c>
      <c r="I2481" s="5">
        <f t="shared" si="7"/>
        <v>1.740404071</v>
      </c>
    </row>
    <row r="2482">
      <c r="A2482" s="12">
        <f>IFERROR(__xludf.DUMMYFUNCTION("""COMPUTED_VALUE"""),45873.66666666667)</f>
        <v>45873.66667</v>
      </c>
      <c r="B2482" s="13">
        <f>IFERROR(__xludf.DUMMYFUNCTION("""COMPUTED_VALUE"""),6329.94)</f>
        <v>6329.94</v>
      </c>
      <c r="C2482" s="13">
        <f t="shared" si="1"/>
        <v>6317.77</v>
      </c>
      <c r="D2482" s="13">
        <f t="shared" si="2"/>
        <v>6155.405</v>
      </c>
      <c r="E2482" s="13" t="str">
        <f t="shared" si="3"/>
        <v>LONG</v>
      </c>
      <c r="F2482" s="3">
        <f t="shared" si="4"/>
        <v>0.0147370716</v>
      </c>
      <c r="G2482" s="4">
        <f t="shared" si="5"/>
        <v>3.044177054</v>
      </c>
      <c r="H2482" s="3">
        <f t="shared" si="6"/>
        <v>0.0147370716</v>
      </c>
      <c r="I2482" s="5">
        <f t="shared" si="7"/>
        <v>1.76605253</v>
      </c>
    </row>
    <row r="2483">
      <c r="A2483" s="12">
        <f>IFERROR(__xludf.DUMMYFUNCTION("""COMPUTED_VALUE"""),45874.66666666667)</f>
        <v>45874.66667</v>
      </c>
      <c r="B2483" s="13">
        <f>IFERROR(__xludf.DUMMYFUNCTION("""COMPUTED_VALUE"""),6299.19)</f>
        <v>6299.19</v>
      </c>
      <c r="C2483" s="13">
        <f t="shared" si="1"/>
        <v>6304.405</v>
      </c>
      <c r="D2483" s="13">
        <f t="shared" si="2"/>
        <v>6133.515</v>
      </c>
      <c r="E2483" s="13" t="str">
        <f t="shared" si="3"/>
        <v>LONG</v>
      </c>
      <c r="F2483" s="3">
        <f t="shared" si="4"/>
        <v>-0.004857865951</v>
      </c>
      <c r="G2483" s="4">
        <f t="shared" si="5"/>
        <v>3.02938885</v>
      </c>
      <c r="H2483" s="3">
        <f t="shared" si="6"/>
        <v>-0.004857865951</v>
      </c>
      <c r="I2483" s="5">
        <f t="shared" si="7"/>
        <v>1.757473284</v>
      </c>
    </row>
    <row r="2484">
      <c r="A2484" s="12">
        <f>IFERROR(__xludf.DUMMYFUNCTION("""COMPUTED_VALUE"""),45875.66666666667)</f>
        <v>45875.66667</v>
      </c>
      <c r="B2484" s="13">
        <f>IFERROR(__xludf.DUMMYFUNCTION("""COMPUTED_VALUE"""),6345.06)</f>
        <v>6345.06</v>
      </c>
      <c r="C2484" s="13">
        <f t="shared" si="1"/>
        <v>6351.985</v>
      </c>
      <c r="D2484" s="13">
        <f t="shared" si="2"/>
        <v>6185.115</v>
      </c>
      <c r="E2484" s="13" t="str">
        <f t="shared" si="3"/>
        <v>LONG</v>
      </c>
      <c r="F2484" s="3">
        <f t="shared" si="4"/>
        <v>0.007281888624</v>
      </c>
      <c r="G2484" s="4">
        <f t="shared" si="5"/>
        <v>3.051448523</v>
      </c>
      <c r="H2484" s="3">
        <f t="shared" si="6"/>
        <v>0.007281888624</v>
      </c>
      <c r="I2484" s="5">
        <f t="shared" si="7"/>
        <v>1.770271009</v>
      </c>
    </row>
    <row r="2485">
      <c r="A2485" s="12">
        <f>IFERROR(__xludf.DUMMYFUNCTION("""COMPUTED_VALUE"""),45876.66666666667)</f>
        <v>45876.66667</v>
      </c>
      <c r="B2485" s="13">
        <f>IFERROR(__xludf.DUMMYFUNCTION("""COMPUTED_VALUE"""),6340.0)</f>
        <v>6340</v>
      </c>
      <c r="C2485" s="13">
        <f t="shared" si="1"/>
        <v>6351.675</v>
      </c>
      <c r="D2485" s="13">
        <f t="shared" si="2"/>
        <v>6216.09</v>
      </c>
      <c r="E2485" s="13" t="str">
        <f t="shared" si="3"/>
        <v>LONG</v>
      </c>
      <c r="F2485" s="3">
        <f t="shared" si="4"/>
        <v>-0.0007974707883</v>
      </c>
      <c r="G2485" s="4">
        <f t="shared" si="5"/>
        <v>3.049015082</v>
      </c>
      <c r="H2485" s="3">
        <f t="shared" si="6"/>
        <v>-0.0007974707883</v>
      </c>
      <c r="I2485" s="5">
        <f t="shared" si="7"/>
        <v>1.768859269</v>
      </c>
    </row>
    <row r="2486">
      <c r="A2486" s="12">
        <f>IFERROR(__xludf.DUMMYFUNCTION("""COMPUTED_VALUE"""),45877.66666666667)</f>
        <v>45877.66667</v>
      </c>
      <c r="B2486" s="13">
        <f>IFERROR(__xludf.DUMMYFUNCTION("""COMPUTED_VALUE"""),6389.45)</f>
        <v>6389.45</v>
      </c>
      <c r="C2486" s="13">
        <f t="shared" si="1"/>
        <v>6389.045</v>
      </c>
      <c r="D2486" s="13">
        <f t="shared" si="2"/>
        <v>6240.805</v>
      </c>
      <c r="E2486" s="13" t="str">
        <f t="shared" si="3"/>
        <v>LONG</v>
      </c>
      <c r="F2486" s="3">
        <f t="shared" si="4"/>
        <v>0.007799684543</v>
      </c>
      <c r="G2486" s="4">
        <f t="shared" si="5"/>
        <v>3.072796437</v>
      </c>
      <c r="H2486" s="3">
        <f t="shared" si="6"/>
        <v>0.007799684543</v>
      </c>
      <c r="I2486" s="5">
        <f t="shared" si="7"/>
        <v>1.782655814</v>
      </c>
    </row>
    <row r="2487">
      <c r="A2487" s="12">
        <f>IFERROR(__xludf.DUMMYFUNCTION("""COMPUTED_VALUE"""),45880.66666666667)</f>
        <v>45880.66667</v>
      </c>
      <c r="B2487" s="13">
        <f>IFERROR(__xludf.DUMMYFUNCTION("""COMPUTED_VALUE"""),6373.45)</f>
        <v>6373.45</v>
      </c>
      <c r="C2487" s="13">
        <f t="shared" si="1"/>
        <v>6381.61</v>
      </c>
      <c r="D2487" s="13">
        <f t="shared" si="2"/>
        <v>6257.235</v>
      </c>
      <c r="E2487" s="13" t="str">
        <f t="shared" si="3"/>
        <v>LONG</v>
      </c>
      <c r="F2487" s="3">
        <f t="shared" si="4"/>
        <v>-0.002504127898</v>
      </c>
      <c r="G2487" s="4">
        <f t="shared" si="5"/>
        <v>3.065101762</v>
      </c>
      <c r="H2487" s="3">
        <f t="shared" si="6"/>
        <v>-0.002504127898</v>
      </c>
      <c r="I2487" s="5">
        <f t="shared" si="7"/>
        <v>1.778191815</v>
      </c>
    </row>
    <row r="2488">
      <c r="A2488" s="12">
        <f>IFERROR(__xludf.DUMMYFUNCTION("""COMPUTED_VALUE"""),45881.66666666667)</f>
        <v>45881.66667</v>
      </c>
      <c r="B2488" s="13">
        <f>IFERROR(__xludf.DUMMYFUNCTION("""COMPUTED_VALUE"""),6445.76)</f>
        <v>6445.76</v>
      </c>
      <c r="C2488" s="13">
        <f t="shared" si="1"/>
        <v>6408.31</v>
      </c>
      <c r="D2488" s="13">
        <f t="shared" si="2"/>
        <v>6309.415</v>
      </c>
      <c r="E2488" s="13" t="str">
        <f t="shared" si="3"/>
        <v>LONG</v>
      </c>
      <c r="F2488" s="3">
        <f t="shared" si="4"/>
        <v>0.01134550361</v>
      </c>
      <c r="G2488" s="4">
        <f t="shared" si="5"/>
        <v>3.099876885</v>
      </c>
      <c r="H2488" s="3">
        <f t="shared" si="6"/>
        <v>0.01134550361</v>
      </c>
      <c r="I2488" s="5">
        <f t="shared" si="7"/>
        <v>1.798366297</v>
      </c>
    </row>
    <row r="2489">
      <c r="A2489" s="12">
        <f>IFERROR(__xludf.DUMMYFUNCTION("""COMPUTED_VALUE"""),45882.66666666667)</f>
        <v>45882.66667</v>
      </c>
      <c r="B2489" s="13">
        <f>IFERROR(__xludf.DUMMYFUNCTION("""COMPUTED_VALUE"""),6466.58)</f>
        <v>6466.58</v>
      </c>
      <c r="C2489" s="13">
        <f t="shared" si="1"/>
        <v>6414.74</v>
      </c>
      <c r="D2489" s="13">
        <f t="shared" si="2"/>
        <v>6335.765</v>
      </c>
      <c r="E2489" s="13" t="str">
        <f t="shared" si="3"/>
        <v>LONG</v>
      </c>
      <c r="F2489" s="3">
        <f t="shared" si="4"/>
        <v>0.003230030283</v>
      </c>
      <c r="G2489" s="4">
        <f t="shared" si="5"/>
        <v>3.109889581</v>
      </c>
      <c r="H2489" s="3">
        <f t="shared" si="6"/>
        <v>0.003230030283</v>
      </c>
      <c r="I2489" s="5">
        <f t="shared" si="7"/>
        <v>1.804175075</v>
      </c>
    </row>
    <row r="2490">
      <c r="A2490" s="12">
        <f>IFERROR(__xludf.DUMMYFUNCTION("""COMPUTED_VALUE"""),45883.66666666667)</f>
        <v>45883.66667</v>
      </c>
      <c r="B2490" s="13">
        <f>IFERROR(__xludf.DUMMYFUNCTION("""COMPUTED_VALUE"""),6468.54)</f>
        <v>6468.54</v>
      </c>
      <c r="C2490" s="13">
        <f t="shared" si="1"/>
        <v>6403.965</v>
      </c>
      <c r="D2490" s="13">
        <f t="shared" si="2"/>
        <v>6333.275</v>
      </c>
      <c r="E2490" s="13" t="str">
        <f t="shared" si="3"/>
        <v>LONG</v>
      </c>
      <c r="F2490" s="3">
        <f t="shared" si="4"/>
        <v>0.0003030968456</v>
      </c>
      <c r="G2490" s="4">
        <f t="shared" si="5"/>
        <v>3.110832179</v>
      </c>
      <c r="H2490" s="3">
        <f t="shared" si="6"/>
        <v>0.0003030968456</v>
      </c>
      <c r="I2490" s="5">
        <f t="shared" si="7"/>
        <v>1.804721914</v>
      </c>
    </row>
    <row r="2491">
      <c r="A2491" s="12">
        <f>IFERROR(__xludf.DUMMYFUNCTION("""COMPUTED_VALUE"""),45887.66666666667)</f>
        <v>45887.66667</v>
      </c>
      <c r="B2491" s="13">
        <f>IFERROR(__xludf.DUMMYFUNCTION("""COMPUTED_VALUE"""),6449.15)</f>
        <v>6449.15</v>
      </c>
      <c r="C2491" s="13">
        <f t="shared" si="1"/>
        <v>6343.58</v>
      </c>
      <c r="D2491" s="13">
        <f t="shared" si="2"/>
        <v>6338.285</v>
      </c>
      <c r="E2491" s="13" t="str">
        <f t="shared" si="3"/>
        <v>LONG</v>
      </c>
      <c r="F2491" s="3">
        <f t="shared" si="4"/>
        <v>-0.002997585236</v>
      </c>
      <c r="G2491" s="4">
        <f t="shared" si="5"/>
        <v>3.101507195</v>
      </c>
      <c r="H2491" s="3">
        <f t="shared" si="6"/>
        <v>-0.002997585236</v>
      </c>
      <c r="I2491" s="5">
        <f t="shared" si="7"/>
        <v>1.799312107</v>
      </c>
    </row>
    <row r="2492">
      <c r="A2492" s="12">
        <f>IFERROR(__xludf.DUMMYFUNCTION("""COMPUTED_VALUE"""),45888.66666666667)</f>
        <v>45888.66667</v>
      </c>
      <c r="B2492" s="13">
        <f>IFERROR(__xludf.DUMMYFUNCTION("""COMPUTED_VALUE"""),6411.37)</f>
        <v>6411.37</v>
      </c>
      <c r="C2492" s="13">
        <f t="shared" si="1"/>
        <v>6370.655</v>
      </c>
      <c r="D2492" s="13">
        <f t="shared" si="2"/>
        <v>6345.36</v>
      </c>
      <c r="E2492" s="13" t="str">
        <f t="shared" si="3"/>
        <v>LONG</v>
      </c>
      <c r="F2492" s="3">
        <f t="shared" si="4"/>
        <v>-0.005858136344</v>
      </c>
      <c r="G2492" s="4">
        <f t="shared" si="5"/>
        <v>3.083338143</v>
      </c>
      <c r="H2492" s="3">
        <f t="shared" si="6"/>
        <v>-0.005858136344</v>
      </c>
      <c r="I2492" s="5">
        <f t="shared" si="7"/>
        <v>1.788771491</v>
      </c>
    </row>
    <row r="2493">
      <c r="A2493" s="12">
        <f>IFERROR(__xludf.DUMMYFUNCTION("""COMPUTED_VALUE"""),45889.66666666667)</f>
        <v>45889.66667</v>
      </c>
      <c r="B2493" s="13">
        <f>IFERROR(__xludf.DUMMYFUNCTION("""COMPUTED_VALUE"""),6395.78)</f>
        <v>6395.78</v>
      </c>
      <c r="C2493" s="13">
        <f t="shared" si="1"/>
        <v>6347.485</v>
      </c>
      <c r="D2493" s="13">
        <f t="shared" si="2"/>
        <v>6312.88</v>
      </c>
      <c r="E2493" s="13" t="str">
        <f t="shared" si="3"/>
        <v>LONG</v>
      </c>
      <c r="F2493" s="3">
        <f t="shared" si="4"/>
        <v>-0.002431617579</v>
      </c>
      <c r="G2493" s="4">
        <f t="shared" si="5"/>
        <v>3.075840643</v>
      </c>
      <c r="H2493" s="3">
        <f t="shared" si="6"/>
        <v>-0.002431617579</v>
      </c>
      <c r="I2493" s="5">
        <f t="shared" si="7"/>
        <v>1.784421883</v>
      </c>
    </row>
    <row r="2494">
      <c r="A2494" s="12">
        <f>IFERROR(__xludf.DUMMYFUNCTION("""COMPUTED_VALUE"""),45890.66666666667)</f>
        <v>45890.66667</v>
      </c>
      <c r="B2494" s="13">
        <f>IFERROR(__xludf.DUMMYFUNCTION("""COMPUTED_VALUE"""),6370.17)</f>
        <v>6370.17</v>
      </c>
      <c r="C2494" s="13">
        <f t="shared" si="1"/>
        <v>6357.615</v>
      </c>
      <c r="D2494" s="13">
        <f t="shared" si="2"/>
        <v>6297.845</v>
      </c>
      <c r="E2494" s="13" t="str">
        <f t="shared" si="3"/>
        <v>LONG</v>
      </c>
      <c r="F2494" s="3">
        <f t="shared" si="4"/>
        <v>-0.004004202771</v>
      </c>
      <c r="G2494" s="4">
        <f t="shared" si="5"/>
        <v>3.063524354</v>
      </c>
      <c r="H2494" s="3">
        <f t="shared" si="6"/>
        <v>-0.004004202771</v>
      </c>
      <c r="I2494" s="5">
        <f t="shared" si="7"/>
        <v>1.777276696</v>
      </c>
    </row>
    <row r="2495">
      <c r="A2495" s="12">
        <f>IFERROR(__xludf.DUMMYFUNCTION("""COMPUTED_VALUE"""),45891.66666666667)</f>
        <v>45891.66667</v>
      </c>
      <c r="B2495" s="13">
        <f>IFERROR(__xludf.DUMMYFUNCTION("""COMPUTED_VALUE"""),6466.91)</f>
        <v>6466.91</v>
      </c>
      <c r="C2495" s="13">
        <f t="shared" si="1"/>
        <v>6403.455</v>
      </c>
      <c r="D2495" s="13">
        <f t="shared" si="2"/>
        <v>6365.085</v>
      </c>
      <c r="E2495" s="13" t="str">
        <f t="shared" si="3"/>
        <v>LONG</v>
      </c>
      <c r="F2495" s="3">
        <f t="shared" si="4"/>
        <v>0.0151864079</v>
      </c>
      <c r="G2495" s="4">
        <f t="shared" si="5"/>
        <v>3.110048284</v>
      </c>
      <c r="H2495" s="3">
        <f t="shared" si="6"/>
        <v>0.0151864079</v>
      </c>
      <c r="I2495" s="5">
        <f t="shared" si="7"/>
        <v>1.804267145</v>
      </c>
    </row>
    <row r="2496">
      <c r="A2496" s="12">
        <f>IFERROR(__xludf.DUMMYFUNCTION("""COMPUTED_VALUE"""),45894.66666666667)</f>
        <v>45894.66667</v>
      </c>
      <c r="B2496" s="13">
        <f>IFERROR(__xludf.DUMMYFUNCTION("""COMPUTED_VALUE"""),6439.32)</f>
        <v>6439.32</v>
      </c>
      <c r="C2496" s="13">
        <f t="shared" si="1"/>
        <v>6414.385</v>
      </c>
      <c r="D2496" s="13">
        <f t="shared" si="2"/>
        <v>6359.89</v>
      </c>
      <c r="E2496" s="13" t="str">
        <f t="shared" si="3"/>
        <v>LONG</v>
      </c>
      <c r="F2496" s="3">
        <f t="shared" si="4"/>
        <v>-0.004266334308</v>
      </c>
      <c r="G2496" s="4">
        <f t="shared" si="5"/>
        <v>3.096779778</v>
      </c>
      <c r="H2496" s="3">
        <f t="shared" si="6"/>
        <v>-0.004266334308</v>
      </c>
      <c r="I2496" s="5">
        <f t="shared" si="7"/>
        <v>1.796569538</v>
      </c>
    </row>
    <row r="2497">
      <c r="A2497" s="12">
        <f>IFERROR(__xludf.DUMMYFUNCTION("""COMPUTED_VALUE"""),45895.66666666667)</f>
        <v>45895.66667</v>
      </c>
      <c r="B2497" s="13">
        <f>IFERROR(__xludf.DUMMYFUNCTION("""COMPUTED_VALUE"""),6465.94)</f>
        <v>6465.94</v>
      </c>
      <c r="C2497" s="13">
        <f t="shared" si="1"/>
        <v>6419.695</v>
      </c>
      <c r="D2497" s="13">
        <f t="shared" si="2"/>
        <v>6362.845</v>
      </c>
      <c r="E2497" s="13" t="str">
        <f t="shared" si="3"/>
        <v>LONG</v>
      </c>
      <c r="F2497" s="3">
        <f t="shared" si="4"/>
        <v>0.00413397688</v>
      </c>
      <c r="G2497" s="4">
        <f t="shared" si="5"/>
        <v>3.109581794</v>
      </c>
      <c r="H2497" s="3">
        <f t="shared" si="6"/>
        <v>0.00413397688</v>
      </c>
      <c r="I2497" s="5">
        <f t="shared" si="7"/>
        <v>1.803996515</v>
      </c>
    </row>
    <row r="2498">
      <c r="A2498" s="12">
        <f>IFERROR(__xludf.DUMMYFUNCTION("""COMPUTED_VALUE"""),45896.66666666667)</f>
        <v>45896.66667</v>
      </c>
      <c r="B2498" s="13">
        <f>IFERROR(__xludf.DUMMYFUNCTION("""COMPUTED_VALUE"""),6481.4)</f>
        <v>6481.4</v>
      </c>
      <c r="C2498" s="13">
        <f t="shared" si="1"/>
        <v>6463.58</v>
      </c>
      <c r="D2498" s="13">
        <f t="shared" si="2"/>
        <v>6374.98</v>
      </c>
      <c r="E2498" s="13" t="str">
        <f t="shared" si="3"/>
        <v>LONG</v>
      </c>
      <c r="F2498" s="3">
        <f t="shared" si="4"/>
        <v>0.002390990328</v>
      </c>
      <c r="G2498" s="4">
        <f t="shared" si="5"/>
        <v>3.117016774</v>
      </c>
      <c r="H2498" s="3">
        <f t="shared" si="6"/>
        <v>0.002390990328</v>
      </c>
      <c r="I2498" s="5">
        <f t="shared" si="7"/>
        <v>1.808309853</v>
      </c>
    </row>
    <row r="2499">
      <c r="A2499" s="12">
        <f>IFERROR(__xludf.DUMMYFUNCTION("""COMPUTED_VALUE"""),45897.66666666667)</f>
        <v>45897.66667</v>
      </c>
      <c r="B2499" s="13">
        <f>IFERROR(__xludf.DUMMYFUNCTION("""COMPUTED_VALUE"""),6501.86)</f>
        <v>6501.86</v>
      </c>
      <c r="C2499" s="13">
        <f t="shared" si="1"/>
        <v>6484.22</v>
      </c>
      <c r="D2499" s="13">
        <f t="shared" si="2"/>
        <v>6372.81</v>
      </c>
      <c r="E2499" s="13" t="str">
        <f t="shared" si="3"/>
        <v>LONG</v>
      </c>
      <c r="F2499" s="3">
        <f t="shared" si="4"/>
        <v>0.003156725399</v>
      </c>
      <c r="G2499" s="4">
        <f t="shared" si="5"/>
        <v>3.12685634</v>
      </c>
      <c r="H2499" s="3">
        <f t="shared" si="6"/>
        <v>0.003156725399</v>
      </c>
      <c r="I2499" s="5">
        <f t="shared" si="7"/>
        <v>1.814018191</v>
      </c>
    </row>
    <row r="2500">
      <c r="A2500" s="12">
        <f>IFERROR(__xludf.DUMMYFUNCTION("""COMPUTED_VALUE"""),45898.66666666667)</f>
        <v>45898.66667</v>
      </c>
      <c r="B2500" s="13">
        <f>IFERROR(__xludf.DUMMYFUNCTION("""COMPUTED_VALUE"""),6460.26)</f>
        <v>6460.26</v>
      </c>
      <c r="C2500" s="13">
        <f t="shared" si="1"/>
        <v>6464.4</v>
      </c>
      <c r="D2500" s="13">
        <f t="shared" si="2"/>
        <v>6361.98</v>
      </c>
      <c r="E2500" s="13" t="str">
        <f t="shared" si="3"/>
        <v>LONG</v>
      </c>
      <c r="F2500" s="3">
        <f t="shared" si="4"/>
        <v>-0.006398169139</v>
      </c>
      <c r="G2500" s="4">
        <f t="shared" si="5"/>
        <v>3.106850185</v>
      </c>
      <c r="H2500" s="3">
        <f t="shared" si="6"/>
        <v>-0.006398169139</v>
      </c>
      <c r="I2500" s="5">
        <f t="shared" si="7"/>
        <v>1.802411795</v>
      </c>
    </row>
    <row r="2501">
      <c r="A2501" s="12">
        <f>IFERROR(__xludf.DUMMYFUNCTION("""COMPUTED_VALUE"""),45902.66666666667)</f>
        <v>45902.66667</v>
      </c>
      <c r="B2501" s="13">
        <f>IFERROR(__xludf.DUMMYFUNCTION("""COMPUTED_VALUE"""),6415.54)</f>
        <v>6415.54</v>
      </c>
      <c r="C2501" s="13">
        <f t="shared" si="1"/>
        <v>6432.345</v>
      </c>
      <c r="D2501" s="13">
        <f t="shared" si="2"/>
        <v>6356.45</v>
      </c>
      <c r="E2501" s="13" t="str">
        <f t="shared" si="3"/>
        <v>LONG</v>
      </c>
      <c r="F2501" s="3">
        <f t="shared" si="4"/>
        <v>-0.006922322012</v>
      </c>
      <c r="G2501" s="4">
        <f t="shared" si="5"/>
        <v>3.085343567</v>
      </c>
      <c r="H2501" s="3">
        <f t="shared" si="6"/>
        <v>-0.006922322012</v>
      </c>
      <c r="I2501" s="5">
        <f t="shared" si="7"/>
        <v>1.789934921</v>
      </c>
    </row>
    <row r="2502">
      <c r="A2502" s="12">
        <f>IFERROR(__xludf.DUMMYFUNCTION("""COMPUTED_VALUE"""),45903.66666666667)</f>
        <v>45903.66667</v>
      </c>
      <c r="B2502" s="13">
        <f>IFERROR(__xludf.DUMMYFUNCTION("""COMPUTED_VALUE"""),6448.26)</f>
        <v>6448.26</v>
      </c>
      <c r="C2502" s="13">
        <f t="shared" si="1"/>
        <v>6429.815</v>
      </c>
      <c r="D2502" s="13">
        <f t="shared" si="2"/>
        <v>6372.525</v>
      </c>
      <c r="E2502" s="13" t="str">
        <f t="shared" si="3"/>
        <v>LONG</v>
      </c>
      <c r="F2502" s="3">
        <f t="shared" si="4"/>
        <v>0.00510011628</v>
      </c>
      <c r="G2502" s="4">
        <f t="shared" si="5"/>
        <v>3.101079178</v>
      </c>
      <c r="H2502" s="3">
        <f t="shared" si="6"/>
        <v>0.00510011628</v>
      </c>
      <c r="I2502" s="5">
        <f t="shared" si="7"/>
        <v>1.799063797</v>
      </c>
    </row>
    <row r="2503">
      <c r="A2503" s="12">
        <f>IFERROR(__xludf.DUMMYFUNCTION("""COMPUTED_VALUE"""),45904.66666666667)</f>
        <v>45904.66667</v>
      </c>
      <c r="B2503" s="13">
        <f>IFERROR(__xludf.DUMMYFUNCTION("""COMPUTED_VALUE"""),6502.08)</f>
        <v>6502.08</v>
      </c>
      <c r="C2503" s="13">
        <f t="shared" si="1"/>
        <v>6448.93</v>
      </c>
      <c r="D2503" s="13">
        <f t="shared" si="2"/>
        <v>6403.84</v>
      </c>
      <c r="E2503" s="13" t="str">
        <f t="shared" si="3"/>
        <v>LONG</v>
      </c>
      <c r="F2503" s="3">
        <f t="shared" si="4"/>
        <v>0.008346437644</v>
      </c>
      <c r="G2503" s="4">
        <f t="shared" si="5"/>
        <v>3.126962142</v>
      </c>
      <c r="H2503" s="3">
        <f t="shared" si="6"/>
        <v>0.008346437644</v>
      </c>
      <c r="I2503" s="5">
        <f t="shared" si="7"/>
        <v>1.814079571</v>
      </c>
    </row>
    <row r="2504">
      <c r="A2504" s="12">
        <f>IFERROR(__xludf.DUMMYFUNCTION("""COMPUTED_VALUE"""),45905.66666666667)</f>
        <v>45905.66667</v>
      </c>
      <c r="B2504" s="13">
        <f>IFERROR(__xludf.DUMMYFUNCTION("""COMPUTED_VALUE"""),6481.5)</f>
        <v>6481.5</v>
      </c>
      <c r="C2504" s="13">
        <f t="shared" si="1"/>
        <v>6425.835</v>
      </c>
      <c r="D2504" s="13">
        <f t="shared" si="2"/>
        <v>6395.56</v>
      </c>
      <c r="E2504" s="13" t="str">
        <f t="shared" si="3"/>
        <v>LONG</v>
      </c>
      <c r="F2504" s="3">
        <f t="shared" si="4"/>
        <v>-0.003165141001</v>
      </c>
      <c r="G2504" s="4">
        <f t="shared" si="5"/>
        <v>3.117064866</v>
      </c>
      <c r="H2504" s="3">
        <f t="shared" si="6"/>
        <v>-0.003165141001</v>
      </c>
      <c r="I2504" s="5">
        <f t="shared" si="7"/>
        <v>1.808337753</v>
      </c>
    </row>
    <row r="2505">
      <c r="A2505" s="12">
        <f>IFERROR(__xludf.DUMMYFUNCTION("""COMPUTED_VALUE"""),45908.66666666667)</f>
        <v>45908.66667</v>
      </c>
      <c r="B2505" s="13">
        <f>IFERROR(__xludf.DUMMYFUNCTION("""COMPUTED_VALUE"""),6495.15)</f>
        <v>6495.15</v>
      </c>
      <c r="C2505" s="13">
        <f t="shared" si="1"/>
        <v>6481.03</v>
      </c>
      <c r="D2505" s="13">
        <f t="shared" si="2"/>
        <v>6427.03</v>
      </c>
      <c r="E2505" s="13" t="str">
        <f t="shared" si="3"/>
        <v>LONG</v>
      </c>
      <c r="F2505" s="3">
        <f t="shared" si="4"/>
        <v>0.002105993983</v>
      </c>
      <c r="G2505" s="4">
        <f t="shared" si="5"/>
        <v>3.123629386</v>
      </c>
      <c r="H2505" s="3">
        <f t="shared" si="6"/>
        <v>0.002105993983</v>
      </c>
      <c r="I2505" s="5">
        <f t="shared" si="7"/>
        <v>1.812146101</v>
      </c>
    </row>
    <row r="2506">
      <c r="A2506" s="12">
        <f>IFERROR(__xludf.DUMMYFUNCTION("""COMPUTED_VALUE"""),45909.66666666667)</f>
        <v>45909.66667</v>
      </c>
      <c r="B2506" s="13">
        <f>IFERROR(__xludf.DUMMYFUNCTION("""COMPUTED_VALUE"""),6512.61)</f>
        <v>6512.61</v>
      </c>
      <c r="C2506" s="13">
        <f t="shared" si="1"/>
        <v>6475.965</v>
      </c>
      <c r="D2506" s="13">
        <f t="shared" si="2"/>
        <v>6437.98</v>
      </c>
      <c r="E2506" s="13" t="str">
        <f t="shared" si="3"/>
        <v>LONG</v>
      </c>
      <c r="F2506" s="3">
        <f t="shared" si="4"/>
        <v>0.002688159627</v>
      </c>
      <c r="G2506" s="4">
        <f t="shared" si="5"/>
        <v>3.1320262</v>
      </c>
      <c r="H2506" s="3">
        <f t="shared" si="6"/>
        <v>0.002688159627</v>
      </c>
      <c r="I2506" s="5">
        <f t="shared" si="7"/>
        <v>1.817017439</v>
      </c>
    </row>
    <row r="2507">
      <c r="A2507" s="12">
        <f>IFERROR(__xludf.DUMMYFUNCTION("""COMPUTED_VALUE"""),45910.66666666667)</f>
        <v>45910.66667</v>
      </c>
      <c r="B2507" s="13">
        <f>IFERROR(__xludf.DUMMYFUNCTION("""COMPUTED_VALUE"""),6532.04)</f>
        <v>6532.04</v>
      </c>
      <c r="C2507" s="13">
        <f t="shared" si="1"/>
        <v>6498.99</v>
      </c>
      <c r="D2507" s="13">
        <f t="shared" si="2"/>
        <v>6460.34</v>
      </c>
      <c r="E2507" s="13" t="str">
        <f t="shared" si="3"/>
        <v>LONG</v>
      </c>
      <c r="F2507" s="3">
        <f t="shared" si="4"/>
        <v>0.00298344289</v>
      </c>
      <c r="G2507" s="4">
        <f t="shared" si="5"/>
        <v>3.141370422</v>
      </c>
      <c r="H2507" s="3">
        <f t="shared" si="6"/>
        <v>0.00298344289</v>
      </c>
      <c r="I2507" s="5">
        <f t="shared" si="7"/>
        <v>1.822438407</v>
      </c>
    </row>
    <row r="2508">
      <c r="A2508" s="12">
        <f>IFERROR(__xludf.DUMMYFUNCTION("""COMPUTED_VALUE"""),45911.66666666667)</f>
        <v>45911.66667</v>
      </c>
      <c r="B2508" s="13">
        <f>IFERROR(__xludf.DUMMYFUNCTION("""COMPUTED_VALUE"""),6587.47)</f>
        <v>6587.47</v>
      </c>
      <c r="C2508" s="13">
        <f t="shared" si="1"/>
        <v>6534.435</v>
      </c>
      <c r="D2508" s="13">
        <f t="shared" si="2"/>
        <v>6488.62</v>
      </c>
      <c r="E2508" s="13" t="str">
        <f t="shared" si="3"/>
        <v>LONG</v>
      </c>
      <c r="F2508" s="3">
        <f t="shared" si="4"/>
        <v>0.008485863528</v>
      </c>
      <c r="G2508" s="4">
        <f t="shared" si="5"/>
        <v>3.168027662</v>
      </c>
      <c r="H2508" s="3">
        <f t="shared" si="6"/>
        <v>0.008485863528</v>
      </c>
      <c r="I2508" s="5">
        <f t="shared" si="7"/>
        <v>1.837903371</v>
      </c>
    </row>
    <row r="2509">
      <c r="A2509" s="12">
        <f>IFERROR(__xludf.DUMMYFUNCTION("""COMPUTED_VALUE"""),45912.66666666667)</f>
        <v>45912.66667</v>
      </c>
      <c r="B2509" s="13">
        <f>IFERROR(__xludf.DUMMYFUNCTION("""COMPUTED_VALUE"""),6584.29)</f>
        <v>6584.29</v>
      </c>
      <c r="C2509" s="13">
        <f t="shared" si="1"/>
        <v>6543.075</v>
      </c>
      <c r="D2509" s="13">
        <f t="shared" si="2"/>
        <v>6477.575</v>
      </c>
      <c r="E2509" s="13" t="str">
        <f t="shared" si="3"/>
        <v>LONG</v>
      </c>
      <c r="F2509" s="3">
        <f t="shared" si="4"/>
        <v>-0.0004827346462</v>
      </c>
      <c r="G2509" s="4">
        <f t="shared" si="5"/>
        <v>3.166498346</v>
      </c>
      <c r="H2509" s="3">
        <f t="shared" si="6"/>
        <v>-0.0004827346462</v>
      </c>
      <c r="I2509" s="5">
        <f t="shared" si="7"/>
        <v>1.837016151</v>
      </c>
    </row>
    <row r="2510">
      <c r="C2510" s="13">
        <f t="shared" si="1"/>
        <v>6460.26</v>
      </c>
      <c r="D2510" s="13">
        <f t="shared" si="2"/>
        <v>6362.9</v>
      </c>
      <c r="E2510" s="13" t="str">
        <f t="shared" si="3"/>
        <v>LONG</v>
      </c>
      <c r="F2510" s="3">
        <f t="shared" si="4"/>
        <v>-1</v>
      </c>
      <c r="G2510" s="4">
        <f t="shared" si="5"/>
        <v>0</v>
      </c>
      <c r="H2510" s="3">
        <f t="shared" si="6"/>
        <v>-1</v>
      </c>
      <c r="I2510" s="5">
        <f t="shared" si="7"/>
        <v>0</v>
      </c>
    </row>
    <row r="2511">
      <c r="C2511" s="13">
        <f t="shared" si="1"/>
        <v>6415.54</v>
      </c>
      <c r="D2511" s="13">
        <f t="shared" si="2"/>
        <v>6339.39</v>
      </c>
      <c r="E2511" s="13" t="str">
        <f t="shared" si="3"/>
        <v>LONG</v>
      </c>
      <c r="F2511" s="3" t="str">
        <f t="shared" si="4"/>
        <v>#DIV/0!</v>
      </c>
      <c r="G2511" s="4" t="str">
        <f t="shared" si="5"/>
        <v>#DIV/0!</v>
      </c>
      <c r="H2511" s="3" t="str">
        <f t="shared" si="6"/>
        <v>#DIV/0!</v>
      </c>
      <c r="I2511" s="5" t="str">
        <f t="shared" si="7"/>
        <v>#DIV/0!</v>
      </c>
    </row>
    <row r="2512">
      <c r="C2512" s="13">
        <f t="shared" si="1"/>
        <v>6448.26</v>
      </c>
      <c r="D2512" s="13">
        <f t="shared" si="2"/>
        <v>6238.01</v>
      </c>
      <c r="E2512" s="13" t="str">
        <f t="shared" si="3"/>
        <v>LONG</v>
      </c>
      <c r="F2512" s="3" t="str">
        <f t="shared" si="4"/>
        <v>#DIV/0!</v>
      </c>
      <c r="G2512" s="4" t="str">
        <f t="shared" si="5"/>
        <v>#DIV/0!</v>
      </c>
      <c r="H2512" s="3" t="str">
        <f t="shared" si="6"/>
        <v>#DIV/0!</v>
      </c>
      <c r="I2512" s="5" t="str">
        <f t="shared" si="7"/>
        <v>#DIV/0!</v>
      </c>
    </row>
    <row r="2513">
      <c r="F2513" s="3"/>
      <c r="G2513" s="4"/>
      <c r="H2513" s="5"/>
      <c r="I2513" s="5"/>
    </row>
    <row r="2514">
      <c r="F2514" s="3"/>
      <c r="G2514" s="4"/>
      <c r="H2514" s="5"/>
      <c r="I2514" s="5"/>
    </row>
    <row r="2515">
      <c r="F2515" s="3"/>
      <c r="G2515" s="4"/>
      <c r="H2515" s="5"/>
      <c r="I2515" s="5"/>
    </row>
    <row r="2516">
      <c r="F2516" s="3"/>
      <c r="G2516" s="4"/>
      <c r="H2516" s="5"/>
      <c r="I2516" s="5"/>
    </row>
    <row r="2517">
      <c r="F2517" s="3"/>
      <c r="G2517" s="4"/>
      <c r="H2517" s="5"/>
      <c r="I2517" s="5"/>
    </row>
    <row r="2518">
      <c r="F2518" s="3"/>
      <c r="G2518" s="4"/>
      <c r="H2518" s="5"/>
      <c r="I2518" s="5"/>
    </row>
    <row r="2519">
      <c r="F2519" s="3"/>
      <c r="G2519" s="4"/>
      <c r="H2519" s="5"/>
      <c r="I2519" s="5"/>
    </row>
    <row r="2520">
      <c r="F2520" s="3"/>
      <c r="G2520" s="4"/>
      <c r="H2520" s="5"/>
      <c r="I2520" s="5"/>
    </row>
    <row r="2521">
      <c r="F2521" s="3"/>
      <c r="G2521" s="4"/>
      <c r="H2521" s="5"/>
      <c r="I2521" s="5"/>
    </row>
    <row r="2522">
      <c r="F2522" s="3"/>
      <c r="G2522" s="4"/>
      <c r="H2522" s="5"/>
      <c r="I2522" s="5"/>
    </row>
    <row r="2523">
      <c r="F2523" s="3"/>
      <c r="G2523" s="4"/>
      <c r="H2523" s="5"/>
      <c r="I2523" s="5"/>
    </row>
    <row r="2524">
      <c r="F2524" s="3"/>
      <c r="G2524" s="4"/>
      <c r="H2524" s="5"/>
      <c r="I2524" s="5"/>
    </row>
    <row r="2525">
      <c r="F2525" s="3"/>
      <c r="G2525" s="4"/>
      <c r="H2525" s="5"/>
      <c r="I2525" s="5"/>
    </row>
    <row r="2526">
      <c r="F2526" s="3"/>
      <c r="G2526" s="4"/>
      <c r="H2526" s="5"/>
      <c r="I2526" s="5"/>
    </row>
    <row r="2527">
      <c r="F2527" s="3"/>
      <c r="G2527" s="4"/>
      <c r="H2527" s="5"/>
      <c r="I2527" s="5"/>
    </row>
    <row r="2528">
      <c r="F2528" s="3"/>
      <c r="G2528" s="4"/>
      <c r="H2528" s="5"/>
      <c r="I2528" s="5"/>
    </row>
    <row r="2529">
      <c r="F2529" s="3"/>
      <c r="G2529" s="4"/>
      <c r="H2529" s="5"/>
      <c r="I2529" s="5"/>
    </row>
    <row r="2530">
      <c r="F2530" s="3"/>
      <c r="G2530" s="4"/>
      <c r="H2530" s="5"/>
      <c r="I2530" s="5"/>
    </row>
    <row r="2531">
      <c r="F2531" s="3"/>
      <c r="G2531" s="4"/>
      <c r="H2531" s="5"/>
      <c r="I2531" s="5"/>
    </row>
    <row r="2532">
      <c r="F2532" s="3"/>
      <c r="G2532" s="4"/>
      <c r="H2532" s="5"/>
      <c r="I2532" s="5"/>
    </row>
    <row r="2533">
      <c r="F2533" s="3"/>
      <c r="G2533" s="4"/>
      <c r="H2533" s="5"/>
      <c r="I2533" s="5"/>
    </row>
    <row r="2534">
      <c r="F2534" s="3"/>
      <c r="G2534" s="4"/>
      <c r="H2534" s="5"/>
      <c r="I2534" s="5"/>
    </row>
    <row r="2535">
      <c r="F2535" s="3"/>
      <c r="G2535" s="4"/>
      <c r="H2535" s="5"/>
      <c r="I2535" s="5"/>
    </row>
    <row r="2536">
      <c r="F2536" s="3"/>
      <c r="G2536" s="4"/>
      <c r="H2536" s="5"/>
      <c r="I2536" s="5"/>
    </row>
    <row r="2537">
      <c r="F2537" s="3"/>
      <c r="G2537" s="4"/>
      <c r="H2537" s="5"/>
      <c r="I2537" s="5"/>
    </row>
    <row r="2538">
      <c r="F2538" s="3"/>
      <c r="G2538" s="4"/>
      <c r="H2538" s="5"/>
      <c r="I2538" s="5"/>
    </row>
    <row r="2539">
      <c r="F2539" s="3"/>
      <c r="G2539" s="4"/>
      <c r="H2539" s="5"/>
      <c r="I2539" s="5"/>
    </row>
    <row r="2540">
      <c r="F2540" s="3"/>
      <c r="G2540" s="4"/>
      <c r="H2540" s="5"/>
      <c r="I2540" s="5"/>
    </row>
    <row r="2541">
      <c r="F2541" s="3"/>
      <c r="G2541" s="4"/>
      <c r="H2541" s="5"/>
      <c r="I2541" s="5"/>
    </row>
    <row r="2542">
      <c r="F2542" s="3"/>
      <c r="G2542" s="4"/>
      <c r="H2542" s="5"/>
      <c r="I2542" s="5"/>
    </row>
    <row r="2543">
      <c r="F2543" s="3"/>
      <c r="G2543" s="4"/>
      <c r="H2543" s="5"/>
      <c r="I2543" s="5"/>
    </row>
    <row r="2544">
      <c r="F2544" s="3"/>
      <c r="G2544" s="4"/>
      <c r="H2544" s="5"/>
      <c r="I2544" s="5"/>
    </row>
    <row r="2545">
      <c r="F2545" s="3"/>
      <c r="G2545" s="4"/>
      <c r="H2545" s="5"/>
      <c r="I2545" s="5"/>
    </row>
    <row r="2546">
      <c r="F2546" s="3"/>
      <c r="G2546" s="4"/>
      <c r="H2546" s="5"/>
      <c r="I2546" s="5"/>
    </row>
    <row r="2547">
      <c r="F2547" s="3"/>
      <c r="G2547" s="4"/>
      <c r="H2547" s="5"/>
      <c r="I2547" s="5"/>
    </row>
    <row r="2548">
      <c r="F2548" s="3"/>
      <c r="G2548" s="4"/>
      <c r="H2548" s="5"/>
      <c r="I2548" s="5"/>
    </row>
    <row r="2549">
      <c r="F2549" s="3"/>
      <c r="G2549" s="4"/>
      <c r="H2549" s="5"/>
      <c r="I2549" s="5"/>
    </row>
    <row r="2550">
      <c r="F2550" s="3"/>
      <c r="G2550" s="4"/>
      <c r="H2550" s="5"/>
      <c r="I2550" s="5"/>
    </row>
    <row r="2551">
      <c r="F2551" s="3"/>
      <c r="G2551" s="4"/>
      <c r="H2551" s="5"/>
      <c r="I2551" s="5"/>
    </row>
    <row r="2552">
      <c r="F2552" s="3"/>
      <c r="G2552" s="4"/>
      <c r="H2552" s="5"/>
      <c r="I2552" s="5"/>
    </row>
    <row r="2553">
      <c r="F2553" s="3"/>
      <c r="G2553" s="4"/>
      <c r="H2553" s="5"/>
      <c r="I2553" s="5"/>
    </row>
    <row r="2554">
      <c r="F2554" s="3"/>
      <c r="G2554" s="4"/>
      <c r="H2554" s="5"/>
      <c r="I2554" s="5"/>
    </row>
    <row r="2555">
      <c r="F2555" s="3"/>
      <c r="G2555" s="4"/>
      <c r="H2555" s="5"/>
      <c r="I2555" s="5"/>
    </row>
    <row r="2556">
      <c r="F2556" s="3"/>
      <c r="G2556" s="4"/>
      <c r="H2556" s="5"/>
      <c r="I2556" s="5"/>
    </row>
    <row r="2557">
      <c r="F2557" s="3"/>
      <c r="G2557" s="4"/>
      <c r="H2557" s="5"/>
      <c r="I2557" s="5"/>
    </row>
    <row r="2558">
      <c r="F2558" s="3"/>
      <c r="G2558" s="4"/>
      <c r="H2558" s="5"/>
      <c r="I2558" s="5"/>
    </row>
    <row r="2559">
      <c r="F2559" s="3"/>
      <c r="G2559" s="4"/>
      <c r="H2559" s="5"/>
      <c r="I2559" s="5"/>
    </row>
    <row r="2560">
      <c r="F2560" s="3"/>
      <c r="G2560" s="4"/>
      <c r="H2560" s="5"/>
      <c r="I2560" s="5"/>
    </row>
    <row r="2561">
      <c r="F2561" s="3"/>
      <c r="G2561" s="4"/>
      <c r="H2561" s="5"/>
      <c r="I2561" s="5"/>
    </row>
    <row r="2562">
      <c r="F2562" s="3"/>
      <c r="G2562" s="4"/>
      <c r="H2562" s="5"/>
      <c r="I2562" s="5"/>
    </row>
    <row r="2563">
      <c r="F2563" s="3"/>
      <c r="G2563" s="4"/>
      <c r="H2563" s="5"/>
      <c r="I2563" s="5"/>
    </row>
    <row r="2564">
      <c r="F2564" s="3"/>
      <c r="G2564" s="4"/>
      <c r="H2564" s="5"/>
      <c r="I2564" s="5"/>
    </row>
    <row r="2565">
      <c r="F2565" s="3"/>
      <c r="G2565" s="4"/>
      <c r="H2565" s="5"/>
      <c r="I2565" s="5"/>
    </row>
    <row r="2566">
      <c r="F2566" s="3"/>
      <c r="G2566" s="4"/>
      <c r="H2566" s="5"/>
      <c r="I2566" s="5"/>
    </row>
    <row r="2567">
      <c r="F2567" s="3"/>
      <c r="G2567" s="4"/>
      <c r="H2567" s="5"/>
      <c r="I2567" s="5"/>
    </row>
    <row r="2568">
      <c r="F2568" s="3"/>
      <c r="G2568" s="4"/>
      <c r="H2568" s="5"/>
      <c r="I2568" s="5"/>
    </row>
    <row r="2569">
      <c r="F2569" s="3"/>
      <c r="G2569" s="4"/>
      <c r="H2569" s="5"/>
      <c r="I2569" s="5"/>
    </row>
    <row r="2570">
      <c r="F2570" s="3"/>
      <c r="G2570" s="4"/>
      <c r="H2570" s="5"/>
      <c r="I2570" s="5"/>
    </row>
    <row r="2571">
      <c r="F2571" s="3"/>
      <c r="G2571" s="4"/>
      <c r="H2571" s="5"/>
      <c r="I2571" s="5"/>
    </row>
    <row r="2572">
      <c r="F2572" s="3"/>
      <c r="G2572" s="4"/>
      <c r="H2572" s="5"/>
      <c r="I2572" s="5"/>
    </row>
    <row r="2573">
      <c r="F2573" s="3"/>
      <c r="G2573" s="4"/>
      <c r="H2573" s="5"/>
      <c r="I2573" s="5"/>
    </row>
    <row r="2574">
      <c r="F2574" s="3"/>
      <c r="G2574" s="4"/>
      <c r="H2574" s="5"/>
      <c r="I2574" s="5"/>
    </row>
    <row r="2575">
      <c r="F2575" s="3"/>
      <c r="G2575" s="4"/>
      <c r="H2575" s="5"/>
      <c r="I2575" s="5"/>
    </row>
    <row r="2576">
      <c r="F2576" s="3"/>
      <c r="G2576" s="4"/>
      <c r="H2576" s="5"/>
      <c r="I2576" s="5"/>
    </row>
    <row r="2577">
      <c r="F2577" s="3"/>
      <c r="G2577" s="4"/>
      <c r="H2577" s="5"/>
      <c r="I2577" s="5"/>
    </row>
    <row r="2578">
      <c r="F2578" s="3"/>
      <c r="G2578" s="4"/>
      <c r="H2578" s="5"/>
      <c r="I2578" s="5"/>
    </row>
    <row r="2579">
      <c r="F2579" s="3"/>
      <c r="G2579" s="4"/>
      <c r="H2579" s="5"/>
      <c r="I2579" s="5"/>
    </row>
    <row r="2580">
      <c r="F2580" s="3"/>
      <c r="G2580" s="4"/>
      <c r="H2580" s="5"/>
      <c r="I2580" s="5"/>
    </row>
    <row r="2581">
      <c r="F2581" s="3"/>
      <c r="G2581" s="4"/>
      <c r="H2581" s="5"/>
      <c r="I2581" s="5"/>
    </row>
    <row r="2582">
      <c r="F2582" s="3"/>
      <c r="G2582" s="4"/>
      <c r="H2582" s="5"/>
      <c r="I2582" s="5"/>
    </row>
    <row r="2583">
      <c r="F2583" s="3"/>
      <c r="G2583" s="4"/>
      <c r="H2583" s="5"/>
      <c r="I2583" s="5"/>
    </row>
    <row r="2584">
      <c r="F2584" s="3"/>
      <c r="G2584" s="4"/>
      <c r="H2584" s="5"/>
      <c r="I2584" s="5"/>
    </row>
    <row r="2585">
      <c r="F2585" s="3"/>
      <c r="G2585" s="4"/>
      <c r="H2585" s="5"/>
      <c r="I2585" s="5"/>
    </row>
    <row r="2586">
      <c r="F2586" s="3"/>
      <c r="G2586" s="4"/>
      <c r="H2586" s="5"/>
      <c r="I2586" s="5"/>
    </row>
    <row r="2587">
      <c r="F2587" s="3"/>
      <c r="G2587" s="4"/>
      <c r="H2587" s="5"/>
      <c r="I2587" s="5"/>
    </row>
    <row r="2588">
      <c r="F2588" s="3"/>
      <c r="G2588" s="4"/>
      <c r="H2588" s="5"/>
      <c r="I2588" s="5"/>
    </row>
    <row r="2589">
      <c r="F2589" s="3"/>
      <c r="G2589" s="4"/>
      <c r="H2589" s="5"/>
      <c r="I2589" s="5"/>
    </row>
    <row r="2590">
      <c r="F2590" s="3"/>
      <c r="G2590" s="4"/>
      <c r="H2590" s="5"/>
      <c r="I2590" s="5"/>
    </row>
    <row r="2591">
      <c r="F2591" s="3"/>
      <c r="G2591" s="4"/>
      <c r="H2591" s="5"/>
      <c r="I2591" s="5"/>
    </row>
    <row r="2592">
      <c r="F2592" s="3"/>
      <c r="G2592" s="4"/>
      <c r="H2592" s="5"/>
      <c r="I2592" s="5"/>
    </row>
    <row r="2593">
      <c r="F2593" s="3"/>
      <c r="G2593" s="4"/>
      <c r="H2593" s="5"/>
      <c r="I2593" s="5"/>
    </row>
    <row r="2594">
      <c r="F2594" s="3"/>
      <c r="G2594" s="4"/>
      <c r="H2594" s="5"/>
      <c r="I2594" s="5"/>
    </row>
    <row r="2595">
      <c r="F2595" s="3"/>
      <c r="G2595" s="4"/>
      <c r="H2595" s="5"/>
      <c r="I2595" s="5"/>
    </row>
    <row r="2596">
      <c r="F2596" s="3"/>
      <c r="G2596" s="4"/>
      <c r="H2596" s="5"/>
      <c r="I2596" s="5"/>
    </row>
    <row r="2597">
      <c r="F2597" s="3"/>
      <c r="G2597" s="4"/>
      <c r="H2597" s="5"/>
      <c r="I2597" s="5"/>
    </row>
    <row r="2598">
      <c r="F2598" s="3"/>
      <c r="G2598" s="4"/>
      <c r="H2598" s="5"/>
      <c r="I2598" s="5"/>
    </row>
    <row r="2599">
      <c r="F2599" s="3"/>
      <c r="G2599" s="4"/>
      <c r="H2599" s="5"/>
      <c r="I2599" s="5"/>
    </row>
    <row r="2600">
      <c r="F2600" s="3"/>
      <c r="G2600" s="4"/>
      <c r="H2600" s="5"/>
      <c r="I2600" s="5"/>
    </row>
    <row r="2601">
      <c r="F2601" s="3"/>
      <c r="G2601" s="4"/>
      <c r="H2601" s="5"/>
      <c r="I2601" s="5"/>
    </row>
    <row r="2602">
      <c r="F2602" s="3"/>
      <c r="G2602" s="4"/>
      <c r="H2602" s="5"/>
      <c r="I2602" s="5"/>
    </row>
    <row r="2603">
      <c r="F2603" s="3"/>
      <c r="G2603" s="4"/>
      <c r="H2603" s="5"/>
      <c r="I2603" s="5"/>
    </row>
    <row r="2604">
      <c r="F2604" s="3"/>
      <c r="G2604" s="4"/>
      <c r="H2604" s="5"/>
      <c r="I2604" s="5"/>
    </row>
    <row r="2605">
      <c r="F2605" s="3"/>
      <c r="G2605" s="4"/>
      <c r="H2605" s="5"/>
      <c r="I2605" s="5"/>
    </row>
    <row r="2606">
      <c r="F2606" s="3"/>
      <c r="G2606" s="4"/>
      <c r="H2606" s="5"/>
      <c r="I2606" s="5"/>
    </row>
    <row r="2607">
      <c r="F2607" s="3"/>
      <c r="G2607" s="4"/>
      <c r="H2607" s="5"/>
      <c r="I2607" s="5"/>
    </row>
    <row r="2608">
      <c r="F2608" s="3"/>
      <c r="G2608" s="4"/>
      <c r="H2608" s="5"/>
      <c r="I2608" s="5"/>
    </row>
    <row r="2609">
      <c r="F2609" s="3"/>
      <c r="G2609" s="4"/>
      <c r="H2609" s="5"/>
      <c r="I2609" s="5"/>
    </row>
    <row r="2610">
      <c r="F2610" s="3"/>
      <c r="G2610" s="4"/>
      <c r="H2610" s="5"/>
      <c r="I2610" s="5"/>
    </row>
    <row r="2611">
      <c r="F2611" s="3"/>
      <c r="G2611" s="4"/>
      <c r="H2611" s="5"/>
      <c r="I2611" s="5"/>
    </row>
    <row r="2612">
      <c r="F2612" s="3"/>
      <c r="G2612" s="4"/>
      <c r="H2612" s="5"/>
      <c r="I2612" s="5"/>
    </row>
    <row r="2613">
      <c r="F2613" s="3"/>
      <c r="G2613" s="4"/>
      <c r="H2613" s="5"/>
      <c r="I2613" s="5"/>
    </row>
    <row r="2614">
      <c r="F2614" s="3"/>
      <c r="G2614" s="4"/>
      <c r="H2614" s="5"/>
      <c r="I2614" s="5"/>
    </row>
    <row r="2615">
      <c r="F2615" s="3"/>
      <c r="G2615" s="4"/>
      <c r="H2615" s="5"/>
      <c r="I2615" s="5"/>
    </row>
    <row r="2616">
      <c r="F2616" s="3"/>
      <c r="G2616" s="4"/>
      <c r="H2616" s="5"/>
      <c r="I2616" s="5"/>
    </row>
    <row r="2617">
      <c r="F2617" s="3"/>
      <c r="G2617" s="4"/>
      <c r="H2617" s="5"/>
      <c r="I2617" s="5"/>
    </row>
    <row r="2618">
      <c r="F2618" s="3"/>
      <c r="G2618" s="4"/>
      <c r="H2618" s="5"/>
      <c r="I2618" s="5"/>
    </row>
    <row r="2619">
      <c r="F2619" s="3"/>
      <c r="G2619" s="4"/>
      <c r="H2619" s="5"/>
      <c r="I2619" s="5"/>
    </row>
    <row r="2620">
      <c r="F2620" s="3"/>
      <c r="G2620" s="4"/>
      <c r="H2620" s="5"/>
      <c r="I2620" s="5"/>
    </row>
    <row r="2621">
      <c r="F2621" s="3"/>
      <c r="G2621" s="4"/>
      <c r="H2621" s="5"/>
      <c r="I2621" s="5"/>
    </row>
    <row r="2622">
      <c r="F2622" s="3"/>
      <c r="G2622" s="4"/>
      <c r="H2622" s="5"/>
      <c r="I2622" s="5"/>
    </row>
    <row r="2623">
      <c r="F2623" s="3"/>
      <c r="G2623" s="4"/>
      <c r="H2623" s="5"/>
      <c r="I2623" s="5"/>
    </row>
    <row r="2624">
      <c r="F2624" s="3"/>
      <c r="G2624" s="4"/>
      <c r="H2624" s="5"/>
      <c r="I2624" s="5"/>
    </row>
    <row r="2625">
      <c r="F2625" s="3"/>
      <c r="G2625" s="4"/>
      <c r="H2625" s="5"/>
      <c r="I2625" s="5"/>
    </row>
    <row r="2626">
      <c r="F2626" s="3"/>
      <c r="G2626" s="4"/>
      <c r="H2626" s="5"/>
      <c r="I2626" s="5"/>
    </row>
    <row r="2627">
      <c r="F2627" s="3"/>
      <c r="G2627" s="4"/>
      <c r="H2627" s="5"/>
      <c r="I2627" s="5"/>
    </row>
    <row r="2628">
      <c r="F2628" s="3"/>
      <c r="G2628" s="4"/>
      <c r="H2628" s="5"/>
      <c r="I2628" s="5"/>
    </row>
    <row r="2629">
      <c r="F2629" s="3"/>
      <c r="G2629" s="4"/>
      <c r="H2629" s="5"/>
      <c r="I2629" s="5"/>
    </row>
    <row r="2630">
      <c r="F2630" s="3"/>
      <c r="G2630" s="4"/>
      <c r="H2630" s="5"/>
      <c r="I2630" s="5"/>
    </row>
    <row r="2631">
      <c r="F2631" s="3"/>
      <c r="G2631" s="4"/>
      <c r="H2631" s="5"/>
      <c r="I2631" s="5"/>
    </row>
    <row r="2632">
      <c r="F2632" s="3"/>
      <c r="G2632" s="4"/>
      <c r="H2632" s="5"/>
      <c r="I2632" s="5"/>
    </row>
    <row r="2633">
      <c r="F2633" s="3"/>
      <c r="G2633" s="4"/>
      <c r="H2633" s="5"/>
      <c r="I2633" s="5"/>
    </row>
    <row r="2634">
      <c r="F2634" s="3"/>
      <c r="G2634" s="4"/>
      <c r="H2634" s="5"/>
      <c r="I2634" s="5"/>
    </row>
    <row r="2635">
      <c r="F2635" s="3"/>
      <c r="G2635" s="4"/>
      <c r="H2635" s="5"/>
      <c r="I2635" s="5"/>
    </row>
    <row r="2636">
      <c r="F2636" s="3"/>
      <c r="G2636" s="4"/>
      <c r="H2636" s="5"/>
      <c r="I2636" s="5"/>
    </row>
    <row r="2637">
      <c r="F2637" s="3"/>
      <c r="G2637" s="4"/>
      <c r="H2637" s="5"/>
      <c r="I2637" s="5"/>
    </row>
    <row r="2638">
      <c r="F2638" s="3"/>
      <c r="G2638" s="4"/>
      <c r="H2638" s="5"/>
      <c r="I2638" s="5"/>
    </row>
    <row r="2639">
      <c r="F2639" s="3"/>
      <c r="G2639" s="4"/>
      <c r="H2639" s="5"/>
      <c r="I2639" s="5"/>
    </row>
    <row r="2640">
      <c r="F2640" s="3"/>
      <c r="G2640" s="4"/>
      <c r="H2640" s="5"/>
      <c r="I2640" s="5"/>
    </row>
    <row r="2641">
      <c r="F2641" s="3"/>
      <c r="G2641" s="4"/>
      <c r="H2641" s="5"/>
      <c r="I2641" s="5"/>
    </row>
    <row r="2642">
      <c r="F2642" s="3"/>
      <c r="G2642" s="4"/>
      <c r="H2642" s="5"/>
      <c r="I2642" s="5"/>
    </row>
    <row r="2643">
      <c r="F2643" s="3"/>
      <c r="G2643" s="4"/>
      <c r="H2643" s="5"/>
      <c r="I2643" s="5"/>
    </row>
    <row r="2644">
      <c r="F2644" s="3"/>
      <c r="G2644" s="4"/>
      <c r="H2644" s="5"/>
      <c r="I2644" s="5"/>
    </row>
    <row r="2645">
      <c r="F2645" s="3"/>
      <c r="G2645" s="4"/>
      <c r="H2645" s="5"/>
      <c r="I2645" s="5"/>
    </row>
    <row r="2646">
      <c r="F2646" s="3"/>
      <c r="G2646" s="4"/>
      <c r="H2646" s="5"/>
      <c r="I2646" s="5"/>
    </row>
    <row r="2647">
      <c r="F2647" s="3"/>
      <c r="G2647" s="4"/>
      <c r="H2647" s="5"/>
      <c r="I2647" s="5"/>
    </row>
    <row r="2648">
      <c r="F2648" s="3"/>
      <c r="G2648" s="4"/>
      <c r="H2648" s="5"/>
      <c r="I2648" s="5"/>
    </row>
    <row r="2649">
      <c r="F2649" s="3"/>
      <c r="G2649" s="4"/>
      <c r="H2649" s="5"/>
      <c r="I2649" s="5"/>
    </row>
    <row r="2650">
      <c r="F2650" s="3"/>
      <c r="G2650" s="4"/>
      <c r="H2650" s="5"/>
      <c r="I2650" s="5"/>
    </row>
    <row r="2651">
      <c r="F2651" s="3"/>
      <c r="G2651" s="4"/>
      <c r="H2651" s="5"/>
      <c r="I2651" s="5"/>
    </row>
    <row r="2652">
      <c r="F2652" s="3"/>
      <c r="G2652" s="4"/>
      <c r="H2652" s="5"/>
      <c r="I2652" s="5"/>
    </row>
    <row r="2653">
      <c r="F2653" s="3"/>
      <c r="G2653" s="4"/>
      <c r="H2653" s="5"/>
      <c r="I2653" s="5"/>
    </row>
    <row r="2654">
      <c r="F2654" s="3"/>
      <c r="G2654" s="4"/>
      <c r="H2654" s="5"/>
      <c r="I2654" s="5"/>
    </row>
    <row r="2655">
      <c r="F2655" s="3"/>
      <c r="G2655" s="4"/>
      <c r="H2655" s="5"/>
      <c r="I2655" s="5"/>
    </row>
    <row r="2656">
      <c r="F2656" s="3"/>
      <c r="G2656" s="4"/>
      <c r="H2656" s="5"/>
      <c r="I2656" s="5"/>
    </row>
    <row r="2657">
      <c r="F2657" s="3"/>
      <c r="G2657" s="4"/>
      <c r="H2657" s="5"/>
      <c r="I2657" s="5"/>
    </row>
    <row r="2658">
      <c r="F2658" s="3"/>
      <c r="G2658" s="4"/>
      <c r="H2658" s="5"/>
      <c r="I2658" s="5"/>
    </row>
    <row r="2659">
      <c r="F2659" s="3"/>
      <c r="G2659" s="4"/>
      <c r="H2659" s="5"/>
      <c r="I2659" s="5"/>
    </row>
    <row r="2660">
      <c r="F2660" s="3"/>
      <c r="G2660" s="4"/>
      <c r="H2660" s="5"/>
      <c r="I2660" s="5"/>
    </row>
    <row r="2661">
      <c r="F2661" s="3"/>
      <c r="G2661" s="4"/>
      <c r="H2661" s="5"/>
      <c r="I2661" s="5"/>
    </row>
    <row r="2662">
      <c r="F2662" s="3"/>
      <c r="G2662" s="4"/>
      <c r="H2662" s="5"/>
      <c r="I2662" s="5"/>
    </row>
    <row r="2663">
      <c r="F2663" s="3"/>
      <c r="G2663" s="4"/>
      <c r="H2663" s="5"/>
      <c r="I2663" s="5"/>
    </row>
    <row r="2664">
      <c r="F2664" s="3"/>
      <c r="G2664" s="4"/>
      <c r="H2664" s="5"/>
      <c r="I2664" s="5"/>
    </row>
    <row r="2665">
      <c r="F2665" s="3"/>
      <c r="G2665" s="4"/>
      <c r="H2665" s="5"/>
      <c r="I2665" s="5"/>
    </row>
    <row r="2666">
      <c r="F2666" s="3"/>
      <c r="G2666" s="4"/>
      <c r="H2666" s="5"/>
      <c r="I2666" s="5"/>
    </row>
    <row r="2667">
      <c r="F2667" s="3"/>
      <c r="G2667" s="4"/>
      <c r="H2667" s="5"/>
      <c r="I2667" s="5"/>
    </row>
    <row r="2668">
      <c r="F2668" s="3"/>
      <c r="G2668" s="4"/>
      <c r="H2668" s="5"/>
      <c r="I2668" s="5"/>
    </row>
    <row r="2669">
      <c r="F2669" s="3"/>
      <c r="G2669" s="4"/>
      <c r="H2669" s="5"/>
      <c r="I2669" s="5"/>
    </row>
    <row r="2670">
      <c r="F2670" s="3"/>
      <c r="G2670" s="4"/>
      <c r="H2670" s="5"/>
      <c r="I2670" s="5"/>
    </row>
    <row r="2671">
      <c r="F2671" s="3"/>
      <c r="G2671" s="4"/>
      <c r="H2671" s="5"/>
      <c r="I2671" s="5"/>
    </row>
    <row r="2672">
      <c r="F2672" s="3"/>
      <c r="G2672" s="4"/>
      <c r="H2672" s="5"/>
      <c r="I2672" s="5"/>
    </row>
    <row r="2673">
      <c r="F2673" s="3"/>
      <c r="G2673" s="4"/>
      <c r="H2673" s="5"/>
      <c r="I2673" s="5"/>
    </row>
    <row r="2674">
      <c r="F2674" s="3"/>
      <c r="G2674" s="4"/>
      <c r="H2674" s="5"/>
      <c r="I2674" s="5"/>
    </row>
    <row r="2675">
      <c r="F2675" s="3"/>
      <c r="G2675" s="4"/>
      <c r="H2675" s="5"/>
      <c r="I2675" s="5"/>
    </row>
    <row r="2676">
      <c r="F2676" s="3"/>
      <c r="G2676" s="4"/>
      <c r="H2676" s="5"/>
      <c r="I2676" s="5"/>
    </row>
    <row r="2677">
      <c r="F2677" s="3"/>
      <c r="G2677" s="4"/>
      <c r="H2677" s="5"/>
      <c r="I2677" s="5"/>
    </row>
    <row r="2678">
      <c r="F2678" s="3"/>
      <c r="G2678" s="4"/>
      <c r="H2678" s="5"/>
      <c r="I2678" s="5"/>
    </row>
    <row r="2679">
      <c r="F2679" s="3"/>
      <c r="G2679" s="4"/>
      <c r="H2679" s="5"/>
      <c r="I2679" s="5"/>
    </row>
    <row r="2680">
      <c r="F2680" s="3"/>
      <c r="G2680" s="4"/>
      <c r="H2680" s="5"/>
      <c r="I2680" s="5"/>
    </row>
    <row r="2681">
      <c r="F2681" s="3"/>
      <c r="G2681" s="4"/>
      <c r="H2681" s="5"/>
      <c r="I2681" s="5"/>
    </row>
    <row r="2682">
      <c r="F2682" s="3"/>
      <c r="G2682" s="4"/>
      <c r="H2682" s="5"/>
      <c r="I2682" s="5"/>
    </row>
    <row r="2683">
      <c r="F2683" s="3"/>
      <c r="G2683" s="4"/>
      <c r="H2683" s="5"/>
      <c r="I2683" s="5"/>
    </row>
    <row r="2684">
      <c r="F2684" s="3"/>
      <c r="G2684" s="4"/>
      <c r="H2684" s="5"/>
      <c r="I2684" s="5"/>
    </row>
    <row r="2685">
      <c r="F2685" s="3"/>
      <c r="G2685" s="4"/>
      <c r="H2685" s="5"/>
      <c r="I2685" s="5"/>
    </row>
    <row r="2686">
      <c r="F2686" s="3"/>
      <c r="G2686" s="4"/>
      <c r="H2686" s="5"/>
      <c r="I2686" s="5"/>
    </row>
    <row r="2687">
      <c r="F2687" s="3"/>
      <c r="G2687" s="4"/>
      <c r="H2687" s="5"/>
      <c r="I2687" s="5"/>
    </row>
    <row r="2688">
      <c r="F2688" s="3"/>
      <c r="G2688" s="4"/>
      <c r="H2688" s="5"/>
      <c r="I2688" s="5"/>
    </row>
    <row r="2689">
      <c r="F2689" s="3"/>
      <c r="G2689" s="4"/>
      <c r="H2689" s="5"/>
      <c r="I2689" s="5"/>
    </row>
    <row r="2690">
      <c r="F2690" s="3"/>
      <c r="G2690" s="4"/>
      <c r="H2690" s="5"/>
      <c r="I2690" s="5"/>
    </row>
    <row r="2691">
      <c r="F2691" s="3"/>
      <c r="G2691" s="4"/>
      <c r="H2691" s="5"/>
      <c r="I2691" s="5"/>
    </row>
    <row r="2692">
      <c r="F2692" s="3"/>
      <c r="G2692" s="4"/>
      <c r="H2692" s="5"/>
      <c r="I2692" s="5"/>
    </row>
    <row r="2693">
      <c r="F2693" s="3"/>
      <c r="G2693" s="4"/>
      <c r="H2693" s="5"/>
      <c r="I2693" s="5"/>
    </row>
    <row r="2694">
      <c r="F2694" s="3"/>
      <c r="G2694" s="4"/>
      <c r="H2694" s="5"/>
      <c r="I2694" s="5"/>
    </row>
    <row r="2695">
      <c r="F2695" s="3"/>
      <c r="G2695" s="4"/>
      <c r="H2695" s="5"/>
      <c r="I2695" s="5"/>
    </row>
    <row r="2696">
      <c r="F2696" s="3"/>
      <c r="G2696" s="4"/>
      <c r="H2696" s="5"/>
      <c r="I2696" s="5"/>
    </row>
    <row r="2697">
      <c r="F2697" s="3"/>
      <c r="G2697" s="4"/>
      <c r="H2697" s="5"/>
      <c r="I2697" s="5"/>
    </row>
    <row r="2698">
      <c r="F2698" s="3"/>
      <c r="G2698" s="4"/>
      <c r="H2698" s="5"/>
      <c r="I2698" s="5"/>
    </row>
    <row r="2699">
      <c r="F2699" s="3"/>
      <c r="G2699" s="4"/>
      <c r="H2699" s="5"/>
      <c r="I2699" s="5"/>
    </row>
    <row r="2700">
      <c r="F2700" s="3"/>
      <c r="G2700" s="4"/>
      <c r="H2700" s="5"/>
      <c r="I2700" s="5"/>
    </row>
    <row r="2701">
      <c r="F2701" s="3"/>
      <c r="G2701" s="4"/>
      <c r="H2701" s="5"/>
      <c r="I2701" s="5"/>
    </row>
    <row r="2702">
      <c r="F2702" s="3"/>
      <c r="G2702" s="4"/>
      <c r="H2702" s="5"/>
      <c r="I2702" s="5"/>
    </row>
    <row r="2703">
      <c r="F2703" s="3"/>
      <c r="G2703" s="4"/>
      <c r="H2703" s="5"/>
      <c r="I2703" s="5"/>
    </row>
    <row r="2704">
      <c r="F2704" s="3"/>
      <c r="G2704" s="4"/>
      <c r="H2704" s="5"/>
      <c r="I2704" s="5"/>
    </row>
    <row r="2705">
      <c r="F2705" s="3"/>
      <c r="G2705" s="4"/>
      <c r="H2705" s="5"/>
      <c r="I2705" s="5"/>
    </row>
    <row r="2706">
      <c r="F2706" s="3"/>
      <c r="G2706" s="4"/>
      <c r="H2706" s="5"/>
      <c r="I2706" s="5"/>
    </row>
    <row r="2707">
      <c r="F2707" s="3"/>
      <c r="G2707" s="4"/>
      <c r="H2707" s="5"/>
      <c r="I2707" s="5"/>
    </row>
    <row r="2708">
      <c r="F2708" s="3"/>
      <c r="G2708" s="4"/>
      <c r="H2708" s="5"/>
      <c r="I2708" s="5"/>
    </row>
    <row r="2709">
      <c r="F2709" s="3"/>
      <c r="G2709" s="4"/>
      <c r="H2709" s="5"/>
      <c r="I2709" s="5"/>
    </row>
    <row r="2710">
      <c r="F2710" s="3"/>
      <c r="G2710" s="4"/>
      <c r="H2710" s="5"/>
      <c r="I2710" s="5"/>
    </row>
    <row r="2711">
      <c r="F2711" s="3"/>
      <c r="G2711" s="4"/>
      <c r="H2711" s="5"/>
      <c r="I2711" s="5"/>
    </row>
    <row r="2712">
      <c r="F2712" s="3"/>
      <c r="G2712" s="4"/>
      <c r="H2712" s="5"/>
      <c r="I2712" s="5"/>
    </row>
    <row r="2713">
      <c r="F2713" s="3"/>
      <c r="G2713" s="4"/>
      <c r="H2713" s="5"/>
      <c r="I2713" s="5"/>
    </row>
    <row r="2714">
      <c r="F2714" s="3"/>
      <c r="G2714" s="4"/>
      <c r="H2714" s="5"/>
      <c r="I2714" s="5"/>
    </row>
    <row r="2715">
      <c r="F2715" s="3"/>
      <c r="G2715" s="4"/>
      <c r="H2715" s="5"/>
      <c r="I2715" s="5"/>
    </row>
    <row r="2716">
      <c r="F2716" s="3"/>
      <c r="G2716" s="4"/>
      <c r="H2716" s="5"/>
      <c r="I2716" s="5"/>
    </row>
    <row r="2717">
      <c r="F2717" s="3"/>
      <c r="G2717" s="4"/>
      <c r="H2717" s="5"/>
      <c r="I2717" s="5"/>
    </row>
    <row r="2718">
      <c r="F2718" s="3"/>
      <c r="G2718" s="4"/>
      <c r="H2718" s="5"/>
      <c r="I2718" s="5"/>
    </row>
    <row r="2719">
      <c r="F2719" s="3"/>
      <c r="G2719" s="4"/>
      <c r="H2719" s="5"/>
      <c r="I2719" s="5"/>
    </row>
    <row r="2720">
      <c r="F2720" s="3"/>
      <c r="G2720" s="4"/>
      <c r="H2720" s="5"/>
      <c r="I2720" s="5"/>
    </row>
    <row r="2721">
      <c r="F2721" s="3"/>
      <c r="G2721" s="4"/>
      <c r="H2721" s="5"/>
      <c r="I2721" s="5"/>
    </row>
    <row r="2722">
      <c r="F2722" s="3"/>
      <c r="G2722" s="4"/>
      <c r="H2722" s="5"/>
      <c r="I2722" s="5"/>
    </row>
    <row r="2723">
      <c r="F2723" s="3"/>
      <c r="G2723" s="4"/>
      <c r="H2723" s="5"/>
      <c r="I2723" s="5"/>
    </row>
    <row r="2724">
      <c r="F2724" s="3"/>
      <c r="G2724" s="4"/>
      <c r="H2724" s="5"/>
      <c r="I2724" s="5"/>
    </row>
    <row r="2725">
      <c r="F2725" s="3"/>
      <c r="G2725" s="4"/>
      <c r="H2725" s="5"/>
      <c r="I2725" s="5"/>
    </row>
    <row r="2726">
      <c r="F2726" s="3"/>
      <c r="G2726" s="4"/>
      <c r="H2726" s="5"/>
      <c r="I2726" s="5"/>
    </row>
    <row r="2727">
      <c r="F2727" s="3"/>
      <c r="G2727" s="4"/>
      <c r="H2727" s="5"/>
      <c r="I2727" s="5"/>
    </row>
    <row r="2728">
      <c r="F2728" s="3"/>
      <c r="G2728" s="4"/>
      <c r="H2728" s="5"/>
      <c r="I2728" s="5"/>
    </row>
    <row r="2729">
      <c r="F2729" s="3"/>
      <c r="G2729" s="4"/>
      <c r="H2729" s="5"/>
      <c r="I2729" s="5"/>
    </row>
    <row r="2730">
      <c r="F2730" s="3"/>
      <c r="G2730" s="4"/>
      <c r="H2730" s="5"/>
      <c r="I2730" s="5"/>
    </row>
    <row r="2731">
      <c r="F2731" s="3"/>
      <c r="G2731" s="4"/>
      <c r="H2731" s="5"/>
      <c r="I2731" s="5"/>
    </row>
    <row r="2732">
      <c r="F2732" s="3"/>
      <c r="G2732" s="4"/>
      <c r="H2732" s="5"/>
      <c r="I2732" s="5"/>
    </row>
    <row r="2733">
      <c r="F2733" s="3"/>
      <c r="G2733" s="4"/>
      <c r="H2733" s="5"/>
      <c r="I2733" s="5"/>
    </row>
    <row r="2734">
      <c r="F2734" s="3"/>
      <c r="G2734" s="4"/>
      <c r="H2734" s="5"/>
      <c r="I2734" s="5"/>
    </row>
    <row r="2735">
      <c r="F2735" s="3"/>
      <c r="G2735" s="4"/>
      <c r="H2735" s="5"/>
      <c r="I2735" s="5"/>
    </row>
    <row r="2736">
      <c r="F2736" s="3"/>
      <c r="G2736" s="4"/>
      <c r="H2736" s="5"/>
      <c r="I2736" s="5"/>
    </row>
    <row r="2737">
      <c r="F2737" s="3"/>
      <c r="G2737" s="4"/>
      <c r="H2737" s="5"/>
      <c r="I2737" s="5"/>
    </row>
    <row r="2738">
      <c r="F2738" s="3"/>
      <c r="G2738" s="4"/>
      <c r="H2738" s="5"/>
      <c r="I2738" s="5"/>
    </row>
    <row r="2739">
      <c r="F2739" s="3"/>
      <c r="G2739" s="4"/>
      <c r="H2739" s="5"/>
      <c r="I2739" s="5"/>
    </row>
    <row r="2740">
      <c r="F2740" s="3"/>
      <c r="G2740" s="4"/>
      <c r="H2740" s="5"/>
      <c r="I2740" s="5"/>
    </row>
    <row r="2741">
      <c r="F2741" s="3"/>
      <c r="G2741" s="4"/>
      <c r="H2741" s="5"/>
      <c r="I2741" s="5"/>
    </row>
    <row r="2742">
      <c r="F2742" s="3"/>
      <c r="G2742" s="4"/>
      <c r="H2742" s="5"/>
      <c r="I2742" s="5"/>
    </row>
    <row r="2743">
      <c r="F2743" s="3"/>
      <c r="G2743" s="4"/>
      <c r="H2743" s="5"/>
      <c r="I2743" s="5"/>
    </row>
    <row r="2744">
      <c r="F2744" s="3"/>
      <c r="G2744" s="4"/>
      <c r="H2744" s="5"/>
      <c r="I2744" s="5"/>
    </row>
    <row r="2745">
      <c r="F2745" s="3"/>
      <c r="G2745" s="4"/>
      <c r="H2745" s="5"/>
      <c r="I2745" s="5"/>
    </row>
    <row r="2746">
      <c r="F2746" s="3"/>
      <c r="G2746" s="4"/>
      <c r="H2746" s="5"/>
      <c r="I2746" s="5"/>
    </row>
    <row r="2747">
      <c r="F2747" s="3"/>
      <c r="G2747" s="4"/>
      <c r="H2747" s="5"/>
      <c r="I2747" s="5"/>
    </row>
    <row r="2748">
      <c r="F2748" s="3"/>
      <c r="G2748" s="4"/>
      <c r="H2748" s="5"/>
      <c r="I2748" s="5"/>
    </row>
    <row r="2749">
      <c r="F2749" s="3"/>
      <c r="G2749" s="4"/>
      <c r="H2749" s="5"/>
      <c r="I2749" s="5"/>
    </row>
    <row r="2750">
      <c r="F2750" s="3"/>
      <c r="G2750" s="4"/>
      <c r="H2750" s="5"/>
      <c r="I2750" s="5"/>
    </row>
    <row r="2751">
      <c r="F2751" s="3"/>
      <c r="G2751" s="4"/>
      <c r="H2751" s="5"/>
      <c r="I2751" s="5"/>
    </row>
    <row r="2752">
      <c r="F2752" s="3"/>
      <c r="G2752" s="4"/>
      <c r="H2752" s="5"/>
      <c r="I2752" s="5"/>
    </row>
    <row r="2753">
      <c r="F2753" s="3"/>
      <c r="G2753" s="4"/>
      <c r="H2753" s="5"/>
      <c r="I2753" s="5"/>
    </row>
    <row r="2754">
      <c r="F2754" s="3"/>
      <c r="G2754" s="4"/>
      <c r="H2754" s="5"/>
      <c r="I2754" s="5"/>
    </row>
    <row r="2755">
      <c r="F2755" s="3"/>
      <c r="G2755" s="4"/>
      <c r="H2755" s="5"/>
      <c r="I2755" s="5"/>
    </row>
    <row r="2756">
      <c r="F2756" s="3"/>
      <c r="G2756" s="4"/>
      <c r="H2756" s="5"/>
      <c r="I2756" s="5"/>
    </row>
    <row r="2757">
      <c r="F2757" s="3"/>
      <c r="G2757" s="4"/>
      <c r="H2757" s="5"/>
      <c r="I2757" s="5"/>
    </row>
    <row r="2758">
      <c r="F2758" s="3"/>
      <c r="G2758" s="4"/>
      <c r="H2758" s="5"/>
      <c r="I2758" s="5"/>
    </row>
    <row r="2759">
      <c r="F2759" s="3"/>
      <c r="G2759" s="4"/>
      <c r="H2759" s="5"/>
      <c r="I2759" s="5"/>
    </row>
    <row r="2760">
      <c r="F2760" s="3"/>
      <c r="G2760" s="4"/>
      <c r="H2760" s="5"/>
      <c r="I2760" s="5"/>
    </row>
    <row r="2761">
      <c r="F2761" s="3"/>
      <c r="G2761" s="4"/>
      <c r="H2761" s="5"/>
      <c r="I2761" s="5"/>
    </row>
    <row r="2762">
      <c r="F2762" s="3"/>
      <c r="G2762" s="4"/>
      <c r="H2762" s="5"/>
      <c r="I2762" s="5"/>
    </row>
    <row r="2763">
      <c r="F2763" s="3"/>
      <c r="G2763" s="4"/>
      <c r="H2763" s="5"/>
      <c r="I2763" s="5"/>
    </row>
    <row r="2764">
      <c r="F2764" s="3"/>
      <c r="G2764" s="4"/>
      <c r="H2764" s="5"/>
      <c r="I2764" s="5"/>
    </row>
    <row r="2765">
      <c r="F2765" s="3"/>
      <c r="G2765" s="4"/>
      <c r="H2765" s="5"/>
      <c r="I2765" s="5"/>
    </row>
    <row r="2766">
      <c r="F2766" s="3"/>
      <c r="G2766" s="4"/>
      <c r="H2766" s="5"/>
      <c r="I2766" s="5"/>
    </row>
    <row r="2767">
      <c r="F2767" s="3"/>
      <c r="G2767" s="4"/>
      <c r="H2767" s="5"/>
      <c r="I2767" s="5"/>
    </row>
    <row r="2768">
      <c r="F2768" s="3"/>
      <c r="G2768" s="4"/>
      <c r="H2768" s="5"/>
      <c r="I2768" s="5"/>
    </row>
    <row r="2769">
      <c r="F2769" s="3"/>
      <c r="G2769" s="4"/>
      <c r="H2769" s="5"/>
      <c r="I2769" s="5"/>
    </row>
    <row r="2770">
      <c r="F2770" s="3"/>
      <c r="G2770" s="4"/>
      <c r="H2770" s="5"/>
      <c r="I2770" s="5"/>
    </row>
    <row r="2771">
      <c r="F2771" s="3"/>
      <c r="G2771" s="4"/>
      <c r="H2771" s="5"/>
      <c r="I2771" s="5"/>
    </row>
    <row r="2772">
      <c r="F2772" s="3"/>
      <c r="G2772" s="4"/>
      <c r="H2772" s="5"/>
      <c r="I2772" s="5"/>
    </row>
    <row r="2773">
      <c r="F2773" s="3"/>
      <c r="G2773" s="4"/>
      <c r="H2773" s="5"/>
      <c r="I2773" s="5"/>
    </row>
    <row r="2774">
      <c r="F2774" s="3"/>
      <c r="G2774" s="4"/>
      <c r="H2774" s="5"/>
      <c r="I2774" s="5"/>
    </row>
    <row r="2775">
      <c r="F2775" s="3"/>
      <c r="G2775" s="4"/>
      <c r="H2775" s="5"/>
      <c r="I2775" s="5"/>
    </row>
    <row r="2776">
      <c r="F2776" s="3"/>
      <c r="G2776" s="4"/>
      <c r="H2776" s="5"/>
      <c r="I2776" s="5"/>
    </row>
    <row r="2777">
      <c r="F2777" s="3"/>
      <c r="G2777" s="4"/>
      <c r="H2777" s="5"/>
      <c r="I2777" s="5"/>
    </row>
    <row r="2778">
      <c r="F2778" s="3"/>
      <c r="G2778" s="4"/>
      <c r="H2778" s="5"/>
      <c r="I2778" s="5"/>
    </row>
    <row r="2779">
      <c r="F2779" s="3"/>
      <c r="G2779" s="4"/>
      <c r="H2779" s="5"/>
      <c r="I2779" s="5"/>
    </row>
    <row r="2780">
      <c r="F2780" s="3"/>
      <c r="G2780" s="4"/>
      <c r="H2780" s="5"/>
      <c r="I2780" s="5"/>
    </row>
    <row r="2781">
      <c r="F2781" s="3"/>
      <c r="G2781" s="4"/>
      <c r="H2781" s="5"/>
      <c r="I2781" s="5"/>
    </row>
    <row r="2782">
      <c r="F2782" s="3"/>
      <c r="G2782" s="4"/>
      <c r="H2782" s="5"/>
      <c r="I2782" s="5"/>
    </row>
    <row r="2783">
      <c r="F2783" s="3"/>
      <c r="G2783" s="4"/>
      <c r="H2783" s="5"/>
      <c r="I2783" s="5"/>
    </row>
    <row r="2784">
      <c r="F2784" s="3"/>
      <c r="G2784" s="4"/>
      <c r="H2784" s="5"/>
      <c r="I2784" s="5"/>
    </row>
    <row r="2785">
      <c r="F2785" s="3"/>
      <c r="G2785" s="4"/>
      <c r="H2785" s="5"/>
      <c r="I2785" s="5"/>
    </row>
    <row r="2786">
      <c r="F2786" s="3"/>
      <c r="G2786" s="4"/>
      <c r="H2786" s="5"/>
      <c r="I2786" s="5"/>
    </row>
    <row r="2787">
      <c r="F2787" s="3"/>
      <c r="G2787" s="4"/>
      <c r="H2787" s="5"/>
      <c r="I2787" s="5"/>
    </row>
    <row r="2788">
      <c r="F2788" s="3"/>
      <c r="G2788" s="4"/>
      <c r="H2788" s="5"/>
      <c r="I2788" s="5"/>
    </row>
    <row r="2789">
      <c r="F2789" s="3"/>
      <c r="G2789" s="4"/>
      <c r="H2789" s="5"/>
      <c r="I2789" s="5"/>
    </row>
    <row r="2790">
      <c r="F2790" s="3"/>
      <c r="G2790" s="4"/>
      <c r="H2790" s="5"/>
      <c r="I2790" s="5"/>
    </row>
    <row r="2791">
      <c r="F2791" s="3"/>
      <c r="G2791" s="4"/>
      <c r="H2791" s="5"/>
      <c r="I2791" s="5"/>
    </row>
    <row r="2792">
      <c r="F2792" s="3"/>
      <c r="G2792" s="4"/>
      <c r="H2792" s="5"/>
      <c r="I2792" s="5"/>
    </row>
    <row r="2793">
      <c r="F2793" s="3"/>
      <c r="G2793" s="4"/>
      <c r="H2793" s="5"/>
      <c r="I2793" s="5"/>
    </row>
    <row r="2794">
      <c r="F2794" s="3"/>
      <c r="G2794" s="4"/>
      <c r="H2794" s="5"/>
      <c r="I2794" s="5"/>
    </row>
    <row r="2795">
      <c r="F2795" s="3"/>
      <c r="G2795" s="4"/>
      <c r="H2795" s="5"/>
      <c r="I2795" s="5"/>
    </row>
    <row r="2796">
      <c r="F2796" s="3"/>
      <c r="G2796" s="4"/>
      <c r="H2796" s="5"/>
      <c r="I2796" s="5"/>
    </row>
    <row r="2797">
      <c r="F2797" s="3"/>
      <c r="G2797" s="4"/>
      <c r="H2797" s="5"/>
      <c r="I2797" s="5"/>
    </row>
    <row r="2798">
      <c r="F2798" s="3"/>
      <c r="G2798" s="4"/>
      <c r="H2798" s="5"/>
      <c r="I2798" s="5"/>
    </row>
    <row r="2799">
      <c r="F2799" s="3"/>
      <c r="G2799" s="4"/>
      <c r="H2799" s="5"/>
      <c r="I2799" s="5"/>
    </row>
    <row r="2800">
      <c r="F2800" s="3"/>
      <c r="G2800" s="4"/>
      <c r="H2800" s="5"/>
      <c r="I2800" s="5"/>
    </row>
    <row r="2801">
      <c r="F2801" s="3"/>
      <c r="G2801" s="4"/>
      <c r="H2801" s="5"/>
      <c r="I2801" s="5"/>
    </row>
    <row r="2802">
      <c r="F2802" s="3"/>
      <c r="G2802" s="4"/>
      <c r="H2802" s="5"/>
      <c r="I2802" s="5"/>
    </row>
    <row r="2803">
      <c r="F2803" s="3"/>
      <c r="G2803" s="4"/>
      <c r="H2803" s="5"/>
      <c r="I2803" s="5"/>
    </row>
    <row r="2804">
      <c r="F2804" s="3"/>
      <c r="G2804" s="4"/>
      <c r="H2804" s="5"/>
      <c r="I2804" s="5"/>
    </row>
    <row r="2805">
      <c r="F2805" s="3"/>
      <c r="G2805" s="4"/>
      <c r="H2805" s="5"/>
      <c r="I2805" s="5"/>
    </row>
    <row r="2806">
      <c r="F2806" s="3"/>
      <c r="G2806" s="4"/>
      <c r="H2806" s="5"/>
      <c r="I2806" s="5"/>
    </row>
    <row r="2807">
      <c r="F2807" s="3"/>
      <c r="G2807" s="4"/>
      <c r="H2807" s="5"/>
      <c r="I2807" s="5"/>
    </row>
    <row r="2808">
      <c r="F2808" s="3"/>
      <c r="G2808" s="4"/>
      <c r="H2808" s="5"/>
      <c r="I2808" s="5"/>
    </row>
    <row r="2809">
      <c r="F2809" s="3"/>
      <c r="G2809" s="4"/>
      <c r="H2809" s="5"/>
      <c r="I2809" s="5"/>
    </row>
    <row r="2810">
      <c r="F2810" s="3"/>
      <c r="G2810" s="4"/>
      <c r="H2810" s="5"/>
      <c r="I2810" s="5"/>
    </row>
    <row r="2811">
      <c r="F2811" s="3"/>
      <c r="G2811" s="4"/>
      <c r="H2811" s="5"/>
      <c r="I2811" s="5"/>
    </row>
    <row r="2812">
      <c r="F2812" s="3"/>
      <c r="G2812" s="4"/>
      <c r="H2812" s="5"/>
      <c r="I2812" s="5"/>
    </row>
    <row r="2813">
      <c r="F2813" s="3"/>
      <c r="G2813" s="4"/>
      <c r="H2813" s="5"/>
      <c r="I2813" s="5"/>
    </row>
    <row r="2814">
      <c r="F2814" s="3"/>
      <c r="G2814" s="4"/>
      <c r="H2814" s="5"/>
      <c r="I2814" s="5"/>
    </row>
    <row r="2815">
      <c r="F2815" s="3"/>
      <c r="G2815" s="4"/>
      <c r="H2815" s="5"/>
      <c r="I2815" s="5"/>
    </row>
    <row r="2816">
      <c r="F2816" s="3"/>
      <c r="G2816" s="4"/>
      <c r="H2816" s="5"/>
      <c r="I2816" s="5"/>
    </row>
    <row r="2817">
      <c r="F2817" s="3"/>
      <c r="G2817" s="4"/>
      <c r="H2817" s="5"/>
      <c r="I2817" s="5"/>
    </row>
    <row r="2818">
      <c r="F2818" s="3"/>
      <c r="G2818" s="4"/>
      <c r="H2818" s="5"/>
      <c r="I2818" s="5"/>
    </row>
    <row r="2819">
      <c r="F2819" s="3"/>
      <c r="G2819" s="4"/>
      <c r="H2819" s="5"/>
      <c r="I2819" s="5"/>
    </row>
    <row r="2820">
      <c r="F2820" s="3"/>
      <c r="G2820" s="4"/>
      <c r="H2820" s="5"/>
      <c r="I2820" s="5"/>
    </row>
    <row r="2821">
      <c r="F2821" s="3"/>
      <c r="G2821" s="4"/>
      <c r="H2821" s="5"/>
      <c r="I2821" s="5"/>
    </row>
    <row r="2822">
      <c r="F2822" s="3"/>
      <c r="G2822" s="4"/>
      <c r="H2822" s="5"/>
      <c r="I2822" s="5"/>
    </row>
    <row r="2823">
      <c r="F2823" s="3"/>
      <c r="G2823" s="4"/>
      <c r="H2823" s="5"/>
      <c r="I2823" s="5"/>
    </row>
    <row r="2824">
      <c r="F2824" s="3"/>
      <c r="G2824" s="4"/>
      <c r="H2824" s="5"/>
      <c r="I2824" s="5"/>
    </row>
    <row r="2825">
      <c r="F2825" s="3"/>
      <c r="G2825" s="4"/>
      <c r="H2825" s="5"/>
      <c r="I2825" s="5"/>
    </row>
    <row r="2826">
      <c r="F2826" s="3"/>
      <c r="G2826" s="4"/>
      <c r="H2826" s="5"/>
      <c r="I2826" s="5"/>
    </row>
    <row r="2827">
      <c r="F2827" s="3"/>
      <c r="G2827" s="4"/>
      <c r="H2827" s="5"/>
      <c r="I2827" s="5"/>
    </row>
    <row r="2828">
      <c r="F2828" s="3"/>
      <c r="G2828" s="4"/>
      <c r="H2828" s="5"/>
      <c r="I2828" s="5"/>
    </row>
    <row r="2829">
      <c r="F2829" s="3"/>
      <c r="G2829" s="4"/>
      <c r="H2829" s="5"/>
      <c r="I2829" s="5"/>
    </row>
    <row r="2830">
      <c r="F2830" s="3"/>
      <c r="G2830" s="4"/>
      <c r="H2830" s="5"/>
      <c r="I2830" s="5"/>
    </row>
    <row r="2831">
      <c r="F2831" s="3"/>
      <c r="G2831" s="4"/>
      <c r="H2831" s="5"/>
      <c r="I2831" s="5"/>
    </row>
    <row r="2832">
      <c r="F2832" s="3"/>
      <c r="G2832" s="4"/>
      <c r="H2832" s="5"/>
      <c r="I2832" s="5"/>
    </row>
    <row r="2833">
      <c r="F2833" s="3"/>
      <c r="G2833" s="4"/>
      <c r="H2833" s="5"/>
      <c r="I2833" s="5"/>
    </row>
    <row r="2834">
      <c r="F2834" s="3"/>
      <c r="G2834" s="4"/>
      <c r="H2834" s="5"/>
      <c r="I2834" s="5"/>
    </row>
    <row r="2835">
      <c r="F2835" s="3"/>
      <c r="G2835" s="4"/>
      <c r="H2835" s="5"/>
      <c r="I2835" s="5"/>
    </row>
    <row r="2836">
      <c r="F2836" s="3"/>
      <c r="G2836" s="4"/>
      <c r="H2836" s="5"/>
      <c r="I2836" s="5"/>
    </row>
    <row r="2837">
      <c r="F2837" s="3"/>
      <c r="G2837" s="4"/>
      <c r="H2837" s="5"/>
      <c r="I2837" s="5"/>
    </row>
    <row r="2838">
      <c r="F2838" s="3"/>
      <c r="G2838" s="4"/>
      <c r="H2838" s="5"/>
      <c r="I2838" s="5"/>
    </row>
    <row r="2839">
      <c r="F2839" s="3"/>
      <c r="G2839" s="4"/>
      <c r="H2839" s="5"/>
      <c r="I2839" s="5"/>
    </row>
    <row r="2840">
      <c r="F2840" s="3"/>
      <c r="G2840" s="4"/>
      <c r="H2840" s="5"/>
      <c r="I2840" s="5"/>
    </row>
    <row r="2841">
      <c r="F2841" s="3"/>
      <c r="G2841" s="4"/>
      <c r="H2841" s="5"/>
      <c r="I2841" s="5"/>
    </row>
    <row r="2842">
      <c r="F2842" s="3"/>
      <c r="G2842" s="4"/>
      <c r="H2842" s="5"/>
      <c r="I2842" s="5"/>
    </row>
    <row r="2843">
      <c r="F2843" s="3"/>
      <c r="G2843" s="4"/>
      <c r="H2843" s="5"/>
      <c r="I2843" s="5"/>
    </row>
    <row r="2844">
      <c r="F2844" s="3"/>
      <c r="G2844" s="4"/>
      <c r="H2844" s="5"/>
      <c r="I2844" s="5"/>
    </row>
    <row r="2845">
      <c r="F2845" s="3"/>
      <c r="G2845" s="4"/>
      <c r="H2845" s="5"/>
      <c r="I2845" s="5"/>
    </row>
    <row r="2846">
      <c r="F2846" s="3"/>
      <c r="G2846" s="4"/>
      <c r="H2846" s="5"/>
      <c r="I2846" s="5"/>
    </row>
    <row r="2847">
      <c r="F2847" s="3"/>
      <c r="G2847" s="4"/>
      <c r="H2847" s="5"/>
      <c r="I2847" s="5"/>
    </row>
    <row r="2848">
      <c r="F2848" s="3"/>
      <c r="G2848" s="4"/>
      <c r="H2848" s="5"/>
      <c r="I2848" s="5"/>
    </row>
    <row r="2849">
      <c r="F2849" s="3"/>
      <c r="G2849" s="4"/>
      <c r="H2849" s="5"/>
      <c r="I2849" s="5"/>
    </row>
    <row r="2850">
      <c r="F2850" s="3"/>
      <c r="G2850" s="4"/>
      <c r="H2850" s="5"/>
      <c r="I2850" s="5"/>
    </row>
    <row r="2851">
      <c r="F2851" s="3"/>
      <c r="G2851" s="4"/>
      <c r="H2851" s="5"/>
      <c r="I2851" s="5"/>
    </row>
    <row r="2852">
      <c r="F2852" s="3"/>
      <c r="G2852" s="4"/>
      <c r="H2852" s="5"/>
      <c r="I2852" s="5"/>
    </row>
    <row r="2853">
      <c r="F2853" s="3"/>
      <c r="G2853" s="4"/>
      <c r="H2853" s="5"/>
      <c r="I2853" s="5"/>
    </row>
    <row r="2854">
      <c r="F2854" s="3"/>
      <c r="G2854" s="4"/>
      <c r="H2854" s="5"/>
      <c r="I2854" s="5"/>
    </row>
    <row r="2855">
      <c r="F2855" s="3"/>
      <c r="G2855" s="4"/>
      <c r="H2855" s="5"/>
      <c r="I2855" s="5"/>
    </row>
    <row r="2856">
      <c r="F2856" s="3"/>
      <c r="G2856" s="4"/>
      <c r="H2856" s="5"/>
      <c r="I2856" s="5"/>
    </row>
    <row r="2857">
      <c r="F2857" s="3"/>
      <c r="G2857" s="4"/>
      <c r="H2857" s="5"/>
      <c r="I2857" s="5"/>
    </row>
    <row r="2858">
      <c r="F2858" s="3"/>
      <c r="G2858" s="4"/>
      <c r="H2858" s="5"/>
      <c r="I2858" s="5"/>
    </row>
    <row r="2859">
      <c r="F2859" s="3"/>
      <c r="G2859" s="4"/>
      <c r="H2859" s="5"/>
      <c r="I2859" s="5"/>
    </row>
    <row r="2860">
      <c r="F2860" s="3"/>
      <c r="G2860" s="4"/>
      <c r="H2860" s="5"/>
      <c r="I2860" s="5"/>
    </row>
    <row r="2861">
      <c r="F2861" s="3"/>
      <c r="G2861" s="4"/>
      <c r="H2861" s="5"/>
      <c r="I2861" s="5"/>
    </row>
    <row r="2862">
      <c r="F2862" s="3"/>
      <c r="G2862" s="4"/>
      <c r="H2862" s="5"/>
      <c r="I2862" s="5"/>
    </row>
    <row r="2863">
      <c r="F2863" s="3"/>
      <c r="G2863" s="4"/>
      <c r="H2863" s="5"/>
      <c r="I2863" s="5"/>
    </row>
    <row r="2864">
      <c r="F2864" s="3"/>
      <c r="G2864" s="4"/>
      <c r="H2864" s="5"/>
      <c r="I2864" s="5"/>
    </row>
    <row r="2865">
      <c r="F2865" s="3"/>
      <c r="G2865" s="4"/>
      <c r="H2865" s="5"/>
      <c r="I2865" s="5"/>
    </row>
    <row r="2866">
      <c r="F2866" s="3"/>
      <c r="G2866" s="4"/>
      <c r="H2866" s="5"/>
      <c r="I2866" s="5"/>
    </row>
    <row r="2867">
      <c r="F2867" s="3"/>
      <c r="G2867" s="4"/>
      <c r="H2867" s="5"/>
      <c r="I2867" s="5"/>
    </row>
    <row r="2868">
      <c r="F2868" s="3"/>
      <c r="G2868" s="4"/>
      <c r="H2868" s="5"/>
      <c r="I2868" s="5"/>
    </row>
    <row r="2869">
      <c r="F2869" s="3"/>
      <c r="G2869" s="4"/>
      <c r="H2869" s="5"/>
      <c r="I2869" s="5"/>
    </row>
    <row r="2870">
      <c r="F2870" s="3"/>
      <c r="G2870" s="4"/>
      <c r="H2870" s="5"/>
      <c r="I2870" s="5"/>
    </row>
    <row r="2871">
      <c r="F2871" s="3"/>
      <c r="G2871" s="4"/>
      <c r="H2871" s="5"/>
      <c r="I2871" s="5"/>
    </row>
    <row r="2872">
      <c r="F2872" s="3"/>
      <c r="G2872" s="4"/>
      <c r="H2872" s="5"/>
      <c r="I2872" s="5"/>
    </row>
    <row r="2873">
      <c r="F2873" s="3"/>
      <c r="G2873" s="4"/>
      <c r="H2873" s="5"/>
      <c r="I2873" s="5"/>
    </row>
    <row r="2874">
      <c r="F2874" s="3"/>
      <c r="G2874" s="4"/>
      <c r="H2874" s="5"/>
      <c r="I2874" s="5"/>
    </row>
    <row r="2875">
      <c r="F2875" s="3"/>
      <c r="G2875" s="4"/>
      <c r="H2875" s="5"/>
      <c r="I2875" s="5"/>
    </row>
    <row r="2876">
      <c r="F2876" s="3"/>
      <c r="G2876" s="4"/>
      <c r="H2876" s="5"/>
      <c r="I2876" s="5"/>
    </row>
    <row r="2877">
      <c r="F2877" s="3"/>
      <c r="G2877" s="4"/>
      <c r="H2877" s="5"/>
      <c r="I2877" s="5"/>
    </row>
    <row r="2878">
      <c r="F2878" s="3"/>
      <c r="G2878" s="4"/>
      <c r="H2878" s="5"/>
      <c r="I2878" s="5"/>
    </row>
    <row r="2879">
      <c r="F2879" s="3"/>
      <c r="G2879" s="4"/>
      <c r="H2879" s="5"/>
      <c r="I2879" s="5"/>
    </row>
    <row r="2880">
      <c r="F2880" s="3"/>
      <c r="G2880" s="4"/>
      <c r="H2880" s="5"/>
      <c r="I2880" s="5"/>
    </row>
    <row r="2881">
      <c r="F2881" s="3"/>
      <c r="G2881" s="4"/>
      <c r="H2881" s="5"/>
      <c r="I2881" s="5"/>
    </row>
    <row r="2882">
      <c r="F2882" s="3"/>
      <c r="G2882" s="4"/>
      <c r="H2882" s="5"/>
      <c r="I2882" s="5"/>
    </row>
    <row r="2883">
      <c r="F2883" s="3"/>
      <c r="G2883" s="4"/>
      <c r="H2883" s="5"/>
      <c r="I2883" s="5"/>
    </row>
    <row r="2884">
      <c r="F2884" s="3"/>
      <c r="G2884" s="4"/>
      <c r="H2884" s="5"/>
      <c r="I2884" s="5"/>
    </row>
    <row r="2885">
      <c r="F2885" s="3"/>
      <c r="G2885" s="4"/>
      <c r="H2885" s="5"/>
      <c r="I2885" s="5"/>
    </row>
    <row r="2886">
      <c r="F2886" s="3"/>
      <c r="G2886" s="4"/>
      <c r="H2886" s="5"/>
      <c r="I2886" s="5"/>
    </row>
    <row r="2887">
      <c r="F2887" s="3"/>
      <c r="G2887" s="4"/>
      <c r="H2887" s="5"/>
      <c r="I2887" s="5"/>
    </row>
    <row r="2888">
      <c r="F2888" s="3"/>
      <c r="G2888" s="4"/>
      <c r="H2888" s="5"/>
      <c r="I2888" s="5"/>
    </row>
    <row r="2889">
      <c r="F2889" s="3"/>
      <c r="G2889" s="4"/>
      <c r="H2889" s="5"/>
      <c r="I2889" s="5"/>
    </row>
    <row r="2890">
      <c r="F2890" s="3"/>
      <c r="G2890" s="4"/>
      <c r="H2890" s="5"/>
      <c r="I2890" s="5"/>
    </row>
    <row r="2891">
      <c r="F2891" s="3"/>
      <c r="G2891" s="4"/>
      <c r="H2891" s="5"/>
      <c r="I2891" s="5"/>
    </row>
    <row r="2892">
      <c r="F2892" s="3"/>
      <c r="G2892" s="4"/>
      <c r="H2892" s="5"/>
      <c r="I2892" s="5"/>
    </row>
    <row r="2893">
      <c r="F2893" s="3"/>
      <c r="G2893" s="4"/>
      <c r="H2893" s="5"/>
      <c r="I2893" s="5"/>
    </row>
    <row r="2894">
      <c r="F2894" s="3"/>
      <c r="G2894" s="4"/>
      <c r="H2894" s="5"/>
      <c r="I2894" s="5"/>
    </row>
    <row r="2895">
      <c r="F2895" s="3"/>
      <c r="G2895" s="4"/>
      <c r="H2895" s="5"/>
      <c r="I2895" s="5"/>
    </row>
    <row r="2896">
      <c r="F2896" s="3"/>
      <c r="G2896" s="4"/>
      <c r="H2896" s="5"/>
      <c r="I2896" s="5"/>
    </row>
    <row r="2897">
      <c r="F2897" s="3"/>
      <c r="G2897" s="4"/>
      <c r="H2897" s="5"/>
      <c r="I2897" s="5"/>
    </row>
    <row r="2898">
      <c r="F2898" s="3"/>
      <c r="G2898" s="4"/>
      <c r="H2898" s="5"/>
      <c r="I2898" s="5"/>
    </row>
    <row r="2899">
      <c r="F2899" s="3"/>
      <c r="G2899" s="4"/>
      <c r="H2899" s="5"/>
      <c r="I2899" s="5"/>
    </row>
    <row r="2900">
      <c r="F2900" s="3"/>
      <c r="G2900" s="4"/>
      <c r="H2900" s="5"/>
      <c r="I2900" s="5"/>
    </row>
    <row r="2901">
      <c r="F2901" s="3"/>
      <c r="G2901" s="4"/>
      <c r="H2901" s="5"/>
      <c r="I2901" s="5"/>
    </row>
    <row r="2902">
      <c r="F2902" s="3"/>
      <c r="G2902" s="4"/>
      <c r="H2902" s="5"/>
      <c r="I2902" s="5"/>
    </row>
    <row r="2903">
      <c r="F2903" s="3"/>
      <c r="G2903" s="4"/>
      <c r="H2903" s="5"/>
      <c r="I2903" s="5"/>
    </row>
    <row r="2904">
      <c r="F2904" s="3"/>
      <c r="G2904" s="4"/>
      <c r="H2904" s="5"/>
      <c r="I2904" s="5"/>
    </row>
    <row r="2905">
      <c r="F2905" s="3"/>
      <c r="G2905" s="4"/>
      <c r="H2905" s="5"/>
      <c r="I2905" s="5"/>
    </row>
    <row r="2906">
      <c r="F2906" s="3"/>
      <c r="G2906" s="4"/>
      <c r="H2906" s="5"/>
      <c r="I2906" s="5"/>
    </row>
    <row r="2907">
      <c r="F2907" s="3"/>
      <c r="G2907" s="4"/>
      <c r="H2907" s="5"/>
      <c r="I2907" s="5"/>
    </row>
    <row r="2908">
      <c r="F2908" s="3"/>
      <c r="G2908" s="4"/>
      <c r="H2908" s="5"/>
      <c r="I2908" s="5"/>
    </row>
    <row r="2909">
      <c r="F2909" s="3"/>
      <c r="G2909" s="4"/>
      <c r="H2909" s="5"/>
      <c r="I2909" s="5"/>
    </row>
    <row r="2910">
      <c r="F2910" s="3"/>
      <c r="G2910" s="4"/>
      <c r="H2910" s="5"/>
      <c r="I2910" s="5"/>
    </row>
    <row r="2911">
      <c r="F2911" s="3"/>
      <c r="G2911" s="4"/>
      <c r="H2911" s="5"/>
      <c r="I2911" s="5"/>
    </row>
    <row r="2912">
      <c r="F2912" s="3"/>
      <c r="G2912" s="4"/>
      <c r="H2912" s="5"/>
      <c r="I2912" s="5"/>
    </row>
    <row r="2913">
      <c r="F2913" s="3"/>
      <c r="G2913" s="4"/>
      <c r="H2913" s="5"/>
      <c r="I2913" s="5"/>
    </row>
    <row r="2914">
      <c r="F2914" s="3"/>
      <c r="G2914" s="4"/>
      <c r="H2914" s="5"/>
      <c r="I2914" s="5"/>
    </row>
    <row r="2915">
      <c r="F2915" s="3"/>
      <c r="G2915" s="4"/>
      <c r="H2915" s="5"/>
      <c r="I2915" s="5"/>
    </row>
    <row r="2916">
      <c r="F2916" s="3"/>
      <c r="G2916" s="4"/>
      <c r="H2916" s="5"/>
      <c r="I2916" s="5"/>
    </row>
    <row r="2917">
      <c r="F2917" s="3"/>
      <c r="G2917" s="4"/>
      <c r="H2917" s="5"/>
      <c r="I2917" s="5"/>
    </row>
    <row r="2918">
      <c r="F2918" s="3"/>
      <c r="G2918" s="4"/>
      <c r="H2918" s="5"/>
      <c r="I2918" s="5"/>
    </row>
    <row r="2919">
      <c r="F2919" s="3"/>
      <c r="G2919" s="4"/>
      <c r="H2919" s="5"/>
      <c r="I2919" s="5"/>
    </row>
    <row r="2920">
      <c r="F2920" s="3"/>
      <c r="G2920" s="4"/>
      <c r="H2920" s="5"/>
      <c r="I2920" s="5"/>
    </row>
    <row r="2921">
      <c r="F2921" s="3"/>
      <c r="G2921" s="4"/>
      <c r="H2921" s="5"/>
      <c r="I2921" s="5"/>
    </row>
    <row r="2922">
      <c r="F2922" s="3"/>
      <c r="G2922" s="4"/>
      <c r="H2922" s="5"/>
      <c r="I2922" s="5"/>
    </row>
    <row r="2923">
      <c r="F2923" s="3"/>
      <c r="G2923" s="4"/>
      <c r="H2923" s="5"/>
      <c r="I2923" s="5"/>
    </row>
    <row r="2924">
      <c r="F2924" s="3"/>
      <c r="G2924" s="4"/>
      <c r="H2924" s="5"/>
      <c r="I2924" s="5"/>
    </row>
    <row r="2925">
      <c r="F2925" s="3"/>
      <c r="G2925" s="4"/>
      <c r="H2925" s="5"/>
      <c r="I2925" s="5"/>
    </row>
    <row r="2926">
      <c r="F2926" s="3"/>
      <c r="G2926" s="4"/>
      <c r="H2926" s="5"/>
      <c r="I2926" s="5"/>
    </row>
    <row r="2927">
      <c r="F2927" s="3"/>
      <c r="G2927" s="4"/>
      <c r="H2927" s="5"/>
      <c r="I2927" s="5"/>
    </row>
    <row r="2928">
      <c r="F2928" s="3"/>
      <c r="G2928" s="4"/>
      <c r="H2928" s="5"/>
      <c r="I2928" s="5"/>
    </row>
    <row r="2929">
      <c r="F2929" s="3"/>
      <c r="G2929" s="4"/>
      <c r="H2929" s="5"/>
      <c r="I2929" s="5"/>
    </row>
    <row r="2930">
      <c r="F2930" s="3"/>
      <c r="G2930" s="4"/>
      <c r="H2930" s="5"/>
      <c r="I2930" s="5"/>
    </row>
    <row r="2931">
      <c r="F2931" s="3"/>
      <c r="G2931" s="4"/>
      <c r="H2931" s="5"/>
      <c r="I2931" s="5"/>
    </row>
    <row r="2932">
      <c r="F2932" s="3"/>
      <c r="G2932" s="4"/>
      <c r="H2932" s="5"/>
      <c r="I2932" s="5"/>
    </row>
    <row r="2933">
      <c r="F2933" s="3"/>
      <c r="G2933" s="4"/>
      <c r="H2933" s="5"/>
      <c r="I2933" s="5"/>
    </row>
    <row r="2934">
      <c r="F2934" s="3"/>
      <c r="G2934" s="4"/>
      <c r="H2934" s="5"/>
      <c r="I2934" s="5"/>
    </row>
    <row r="2935">
      <c r="F2935" s="3"/>
      <c r="G2935" s="4"/>
      <c r="H2935" s="5"/>
      <c r="I2935" s="5"/>
    </row>
    <row r="2936">
      <c r="F2936" s="3"/>
      <c r="G2936" s="4"/>
      <c r="H2936" s="5"/>
      <c r="I2936" s="5"/>
    </row>
    <row r="2937">
      <c r="F2937" s="3"/>
      <c r="G2937" s="4"/>
      <c r="H2937" s="5"/>
      <c r="I2937" s="5"/>
    </row>
    <row r="2938">
      <c r="F2938" s="3"/>
      <c r="G2938" s="4"/>
      <c r="H2938" s="5"/>
      <c r="I2938" s="5"/>
    </row>
    <row r="2939">
      <c r="F2939" s="3"/>
      <c r="G2939" s="4"/>
      <c r="H2939" s="5"/>
      <c r="I2939" s="5"/>
    </row>
    <row r="2940">
      <c r="F2940" s="3"/>
      <c r="G2940" s="4"/>
      <c r="H2940" s="5"/>
      <c r="I2940" s="5"/>
    </row>
    <row r="2941">
      <c r="F2941" s="3"/>
      <c r="G2941" s="4"/>
      <c r="H2941" s="5"/>
      <c r="I2941" s="5"/>
    </row>
    <row r="2942">
      <c r="F2942" s="3"/>
      <c r="G2942" s="4"/>
      <c r="H2942" s="5"/>
      <c r="I2942" s="5"/>
    </row>
    <row r="2943">
      <c r="F2943" s="3"/>
      <c r="G2943" s="4"/>
      <c r="H2943" s="5"/>
      <c r="I2943" s="5"/>
    </row>
    <row r="2944">
      <c r="F2944" s="3"/>
      <c r="G2944" s="4"/>
      <c r="H2944" s="5"/>
      <c r="I2944" s="5"/>
    </row>
    <row r="2945">
      <c r="F2945" s="3"/>
      <c r="G2945" s="4"/>
      <c r="H2945" s="5"/>
      <c r="I2945" s="5"/>
    </row>
    <row r="2946">
      <c r="F2946" s="3"/>
      <c r="G2946" s="4"/>
      <c r="H2946" s="5"/>
      <c r="I2946" s="5"/>
    </row>
    <row r="2947">
      <c r="F2947" s="3"/>
      <c r="G2947" s="4"/>
      <c r="H2947" s="5"/>
      <c r="I2947" s="5"/>
    </row>
    <row r="2948">
      <c r="F2948" s="3"/>
      <c r="G2948" s="4"/>
      <c r="H2948" s="5"/>
      <c r="I2948" s="5"/>
    </row>
    <row r="2949">
      <c r="F2949" s="3"/>
      <c r="G2949" s="4"/>
      <c r="H2949" s="5"/>
      <c r="I2949" s="5"/>
    </row>
    <row r="2950">
      <c r="F2950" s="3"/>
      <c r="G2950" s="4"/>
      <c r="H2950" s="5"/>
      <c r="I2950" s="5"/>
    </row>
    <row r="2951">
      <c r="F2951" s="3"/>
      <c r="G2951" s="4"/>
      <c r="H2951" s="5"/>
      <c r="I2951" s="5"/>
    </row>
    <row r="2952">
      <c r="F2952" s="3"/>
      <c r="G2952" s="4"/>
      <c r="H2952" s="5"/>
      <c r="I2952" s="5"/>
    </row>
    <row r="2953">
      <c r="F2953" s="3"/>
      <c r="G2953" s="4"/>
      <c r="H2953" s="5"/>
      <c r="I2953" s="5"/>
    </row>
    <row r="2954">
      <c r="F2954" s="3"/>
      <c r="G2954" s="4"/>
      <c r="H2954" s="5"/>
      <c r="I2954" s="5"/>
    </row>
    <row r="2955">
      <c r="F2955" s="3"/>
      <c r="G2955" s="4"/>
      <c r="H2955" s="5"/>
      <c r="I2955" s="5"/>
    </row>
    <row r="2956">
      <c r="F2956" s="3"/>
      <c r="G2956" s="4"/>
      <c r="H2956" s="5"/>
      <c r="I2956" s="5"/>
    </row>
    <row r="2957">
      <c r="F2957" s="3"/>
      <c r="G2957" s="4"/>
      <c r="H2957" s="5"/>
      <c r="I2957" s="5"/>
    </row>
    <row r="2958">
      <c r="F2958" s="3"/>
      <c r="G2958" s="4"/>
      <c r="H2958" s="5"/>
      <c r="I2958" s="5"/>
    </row>
    <row r="2959">
      <c r="F2959" s="3"/>
      <c r="G2959" s="4"/>
      <c r="H2959" s="5"/>
      <c r="I2959" s="5"/>
    </row>
    <row r="2960">
      <c r="F2960" s="3"/>
      <c r="G2960" s="4"/>
      <c r="H2960" s="5"/>
      <c r="I2960" s="5"/>
    </row>
    <row r="2961">
      <c r="F2961" s="3"/>
      <c r="G2961" s="4"/>
      <c r="H2961" s="5"/>
      <c r="I2961" s="5"/>
    </row>
    <row r="2962">
      <c r="F2962" s="3"/>
      <c r="G2962" s="4"/>
      <c r="H2962" s="5"/>
      <c r="I2962" s="5"/>
    </row>
    <row r="2963">
      <c r="F2963" s="3"/>
      <c r="G2963" s="4"/>
      <c r="H2963" s="5"/>
      <c r="I2963" s="5"/>
    </row>
    <row r="2964">
      <c r="F2964" s="3"/>
      <c r="G2964" s="4"/>
      <c r="H2964" s="5"/>
      <c r="I2964" s="5"/>
    </row>
    <row r="2965">
      <c r="F2965" s="3"/>
      <c r="G2965" s="4"/>
      <c r="H2965" s="5"/>
      <c r="I296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